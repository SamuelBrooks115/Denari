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enari\Denari\frontend\public\Templates\"/>
    </mc:Choice>
  </mc:AlternateContent>
  <xr:revisionPtr revIDLastSave="0" documentId="13_ncr:1_{070B11AD-9C84-42C2-B31D-BA1706F5E9F5}" xr6:coauthVersionLast="47" xr6:coauthVersionMax="47" xr10:uidLastSave="{00000000-0000-0000-0000-000000000000}"/>
  <bookViews>
    <workbookView xWindow="-98" yWindow="-98" windowWidth="21795" windowHeight="12975" activeTab="1" xr2:uid="{D27A375E-C620-4531-9C1E-E06BB48E6E6F}"/>
  </bookViews>
  <sheets>
    <sheet name="DCF 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H18" i="1"/>
  <c r="I18" i="1"/>
  <c r="G20" i="1"/>
  <c r="G24" i="1" s="1"/>
  <c r="G27" i="1" s="1"/>
  <c r="G31" i="1" s="1"/>
  <c r="H20" i="1"/>
  <c r="H24" i="1" s="1"/>
  <c r="H27" i="1" s="1"/>
  <c r="H31" i="1" s="1"/>
  <c r="I20" i="1"/>
  <c r="I24" i="1" s="1"/>
  <c r="I27" i="1" s="1"/>
  <c r="I31" i="1" s="1"/>
  <c r="G21" i="1"/>
  <c r="H21" i="1"/>
  <c r="I21" i="1"/>
  <c r="G25" i="1"/>
  <c r="H25" i="1"/>
  <c r="I25" i="1"/>
  <c r="J18" i="1"/>
  <c r="K18" i="1"/>
  <c r="J20" i="1"/>
  <c r="J24" i="1" s="1"/>
  <c r="J27" i="1" s="1"/>
  <c r="J31" i="1" s="1"/>
  <c r="K20" i="1"/>
  <c r="K24" i="1" s="1"/>
  <c r="K27" i="1" s="1"/>
  <c r="K31" i="1" s="1"/>
  <c r="J21" i="1"/>
  <c r="K21" i="1"/>
  <c r="J25" i="1"/>
  <c r="K25" i="1"/>
  <c r="E8" i="1"/>
  <c r="J10" i="1"/>
  <c r="E9" i="1" s="1"/>
  <c r="E11" i="1"/>
  <c r="E18" i="1"/>
  <c r="F18" i="1"/>
  <c r="D20" i="1"/>
  <c r="D24" i="1" s="1"/>
  <c r="E20" i="1"/>
  <c r="F20" i="1"/>
  <c r="F24" i="1" s="1"/>
  <c r="D21" i="1"/>
  <c r="E21" i="1"/>
  <c r="F21" i="1"/>
  <c r="E24" i="1"/>
  <c r="E27" i="1" s="1"/>
  <c r="E31" i="1" s="1"/>
  <c r="E25" i="1"/>
  <c r="G34" i="1"/>
  <c r="H34" i="1" s="1"/>
  <c r="I34" i="1" s="1"/>
  <c r="J34" i="1" s="1"/>
  <c r="K34" i="1" s="1"/>
  <c r="K44" i="1"/>
  <c r="K47" i="1"/>
  <c r="D25" i="1" l="1"/>
  <c r="D27" i="1"/>
  <c r="D31" i="1" s="1"/>
  <c r="E12" i="1"/>
  <c r="E14" i="1"/>
  <c r="F25" i="1"/>
  <c r="F27" i="1"/>
  <c r="F31" i="1" s="1"/>
  <c r="G35" i="1" l="1"/>
  <c r="G37" i="1" s="1"/>
  <c r="K38" i="1" s="1"/>
  <c r="H35" i="1"/>
  <c r="H37" i="1" s="1"/>
  <c r="I35" i="1"/>
  <c r="I37" i="1" s="1"/>
  <c r="K35" i="1"/>
  <c r="K37" i="1" s="1"/>
  <c r="J35" i="1"/>
  <c r="J37" i="1" s="1"/>
  <c r="K40" i="1"/>
  <c r="K41" i="1" l="1"/>
  <c r="K43" i="1" s="1"/>
  <c r="K45" i="1" s="1"/>
  <c r="K48" i="1" s="1"/>
  <c r="K4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Kulpins, Andrea</author>
    <author>Andrea Kulpins</author>
  </authors>
  <commentList>
    <comment ref="E6" authorId="0" shapeId="0" xr:uid="{C99C23F0-21D7-4123-AF80-805806019659}">
      <text>
        <r>
          <rPr>
            <b/>
            <sz val="9"/>
            <color indexed="81"/>
            <rFont val="Tahoma"/>
            <family val="2"/>
          </rPr>
          <t>Kulpins, Andrea:</t>
        </r>
        <r>
          <rPr>
            <sz val="9"/>
            <color indexed="81"/>
            <rFont val="Tahoma"/>
            <family val="2"/>
          </rPr>
          <t xml:space="preserve">
https://pages.stern.nyu.edu/~adamodar/New_Home_Page/datafile/ctryprem.html</t>
        </r>
      </text>
    </comment>
    <comment ref="E7" authorId="1" shapeId="0" xr:uid="{77F93534-BF44-4DE4-9A9F-7AB308E2038E}">
      <text>
        <r>
          <rPr>
            <b/>
            <sz val="9"/>
            <color indexed="81"/>
            <rFont val="Tahoma"/>
            <family val="2"/>
          </rPr>
          <t>Andrea Kulpins:</t>
        </r>
        <r>
          <rPr>
            <sz val="9"/>
            <color indexed="81"/>
            <rFont val="Tahoma"/>
            <family val="2"/>
          </rPr>
          <t xml:space="preserve">
https://www.wsj.com/market-data/quotes/bond/BX/TMBMKDK-05Y?mod=searchresults_companyquotes&amp;mod=md_bond_hdr_search</t>
        </r>
      </text>
    </comment>
  </commentList>
</comments>
</file>

<file path=xl/sharedStrings.xml><?xml version="1.0" encoding="utf-8"?>
<sst xmlns="http://schemas.openxmlformats.org/spreadsheetml/2006/main" count="112" uniqueCount="53">
  <si>
    <t>Implied Upside/Downside</t>
  </si>
  <si>
    <t xml:space="preserve">Per Share Price Target </t>
  </si>
  <si>
    <t xml:space="preserve">(/) Shares Outstanding </t>
  </si>
  <si>
    <t xml:space="preserve">Equity Value </t>
  </si>
  <si>
    <t xml:space="preserve">(-) Net Debt </t>
  </si>
  <si>
    <t xml:space="preserve">Enterprise Value </t>
  </si>
  <si>
    <t xml:space="preserve">PV of TV </t>
  </si>
  <si>
    <t xml:space="preserve">Terminal Value </t>
  </si>
  <si>
    <t xml:space="preserve">Total PV of UFCF </t>
  </si>
  <si>
    <t xml:space="preserve">PV of UFCF </t>
  </si>
  <si>
    <t xml:space="preserve">Discount Factor </t>
  </si>
  <si>
    <t xml:space="preserve">Discount Period </t>
  </si>
  <si>
    <t>Year"E"</t>
  </si>
  <si>
    <t xml:space="preserve">DCF </t>
  </si>
  <si>
    <t xml:space="preserve">Unlevered Free Cash Flow </t>
  </si>
  <si>
    <t>Forecast Formula</t>
  </si>
  <si>
    <t>HIST</t>
  </si>
  <si>
    <t xml:space="preserve">(-) Changes in WC </t>
  </si>
  <si>
    <t>(-) CapEx</t>
  </si>
  <si>
    <t xml:space="preserve">(+) D&amp;A </t>
  </si>
  <si>
    <t xml:space="preserve">NOPAT </t>
  </si>
  <si>
    <t>EBIT Margin (%)</t>
  </si>
  <si>
    <t xml:space="preserve">EBIT </t>
  </si>
  <si>
    <t>(-) Op Ex</t>
  </si>
  <si>
    <t xml:space="preserve">GP Margin (%) </t>
  </si>
  <si>
    <t xml:space="preserve">GP </t>
  </si>
  <si>
    <t xml:space="preserve">(-) COGS </t>
  </si>
  <si>
    <t xml:space="preserve">Revenue Growth (%) </t>
  </si>
  <si>
    <t xml:space="preserve">Revenue </t>
  </si>
  <si>
    <t>Year"A"</t>
  </si>
  <si>
    <t xml:space="preserve">Free Cash Flow  </t>
  </si>
  <si>
    <t xml:space="preserve">WACC </t>
  </si>
  <si>
    <t>#</t>
  </si>
  <si>
    <t xml:space="preserve">Tax Rate </t>
  </si>
  <si>
    <t>Financial Units</t>
  </si>
  <si>
    <t xml:space="preserve">Weight of Debt </t>
  </si>
  <si>
    <t xml:space="preserve">BV debt </t>
  </si>
  <si>
    <t xml:space="preserve">After Tax CoD </t>
  </si>
  <si>
    <t xml:space="preserve">Mkt Cap </t>
  </si>
  <si>
    <t xml:space="preserve">Cost of Debt </t>
  </si>
  <si>
    <t xml:space="preserve">Current Price </t>
  </si>
  <si>
    <t xml:space="preserve">Weight of Equity </t>
  </si>
  <si>
    <t>Diluted S/O</t>
  </si>
  <si>
    <t xml:space="preserve">Cost of Equity </t>
  </si>
  <si>
    <t>Cash &amp; Equivalents</t>
  </si>
  <si>
    <t xml:space="preserve">Risk Free Rate </t>
  </si>
  <si>
    <t xml:space="preserve">LTGR </t>
  </si>
  <si>
    <t xml:space="preserve">Market Risk Premium </t>
  </si>
  <si>
    <t xml:space="preserve">Fiscal Year End </t>
  </si>
  <si>
    <t xml:space="preserve">Beta </t>
  </si>
  <si>
    <t xml:space="preserve">Other Assumptions </t>
  </si>
  <si>
    <t>WACC</t>
  </si>
  <si>
    <t>DCF Analysis (UNITS)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</si>
</sst>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%_);\(0.0%\);0.0%_);@_)"/>
    <numFmt numFmtId="166" formatCode="0.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IBM Plex Sans"/>
      <family val="2"/>
    </font>
    <font>
      <sz val="10"/>
      <color rgb="FF000000"/>
      <name val="IBM Plex Sans"/>
      <family val="2"/>
    </font>
    <font>
      <b/>
      <sz val="11"/>
      <color theme="1"/>
      <name val="IBM Plex Sans"/>
      <family val="2"/>
    </font>
    <font>
      <b/>
      <sz val="10"/>
      <color rgb="FF000000"/>
      <name val="IBM Plex Sans"/>
      <family val="2"/>
    </font>
    <font>
      <sz val="11"/>
      <color rgb="FF000000"/>
      <name val="IBM Plex Sans"/>
      <family val="2"/>
    </font>
    <font>
      <sz val="11"/>
      <color rgb="FFFF0000"/>
      <name val="IBM Plex Sans"/>
      <family val="2"/>
    </font>
    <font>
      <sz val="11"/>
      <color rgb="FF0000FF"/>
      <name val="IBM Plex Sans"/>
      <family val="2"/>
    </font>
    <font>
      <b/>
      <sz val="11"/>
      <color rgb="FF000000"/>
      <name val="IBM Plex Sans"/>
      <family val="2"/>
    </font>
    <font>
      <i/>
      <sz val="11"/>
      <color rgb="FF000000"/>
      <name val="IBM Plex Sans"/>
      <family val="2"/>
    </font>
    <font>
      <sz val="11"/>
      <color rgb="FF00B050"/>
      <name val="IBM Plex Sans"/>
      <family val="2"/>
    </font>
    <font>
      <sz val="10"/>
      <color theme="1"/>
      <name val="Arial"/>
      <family val="2"/>
    </font>
    <font>
      <sz val="10"/>
      <color rgb="FF0000FF"/>
      <name val="IBM Plex Sans"/>
      <family val="2"/>
    </font>
    <font>
      <sz val="14"/>
      <color theme="1"/>
      <name val="IBM Plex Sans"/>
      <family val="2"/>
    </font>
    <font>
      <b/>
      <sz val="14"/>
      <color theme="1"/>
      <name val="IBM Plex San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theme="1"/>
      <name val="IBM Plex Sans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indent="2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5" fillId="0" borderId="1" xfId="0" applyFont="1" applyBorder="1"/>
    <xf numFmtId="164" fontId="2" fillId="0" borderId="0" xfId="0" applyNumberFormat="1" applyFont="1" applyAlignment="1">
      <alignment horizontal="center"/>
    </xf>
    <xf numFmtId="0" fontId="3" fillId="0" borderId="0" xfId="0" applyFont="1"/>
    <xf numFmtId="0" fontId="5" fillId="0" borderId="0" xfId="0" applyFont="1"/>
    <xf numFmtId="164" fontId="2" fillId="0" borderId="1" xfId="0" applyNumberFormat="1" applyFont="1" applyBorder="1" applyAlignment="1">
      <alignment horizontal="center"/>
    </xf>
    <xf numFmtId="0" fontId="3" fillId="0" borderId="1" xfId="0" applyFont="1" applyBorder="1"/>
    <xf numFmtId="164" fontId="6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6" fillId="0" borderId="0" xfId="1" applyNumberFormat="1" applyFont="1" applyBorder="1" applyAlignment="1">
      <alignment horizontal="center"/>
    </xf>
    <xf numFmtId="0" fontId="7" fillId="0" borderId="0" xfId="0" applyFont="1"/>
    <xf numFmtId="0" fontId="4" fillId="0" borderId="0" xfId="0" applyFont="1"/>
    <xf numFmtId="2" fontId="6" fillId="0" borderId="0" xfId="0" applyNumberFormat="1" applyFont="1"/>
    <xf numFmtId="0" fontId="6" fillId="0" borderId="0" xfId="0" applyFont="1"/>
    <xf numFmtId="165" fontId="6" fillId="0" borderId="0" xfId="0" applyNumberFormat="1" applyFont="1"/>
    <xf numFmtId="2" fontId="8" fillId="0" borderId="0" xfId="0" applyNumberFormat="1" applyFont="1"/>
    <xf numFmtId="0" fontId="2" fillId="2" borderId="0" xfId="0" applyFont="1" applyFill="1"/>
    <xf numFmtId="0" fontId="9" fillId="2" borderId="0" xfId="0" applyFont="1" applyFill="1"/>
    <xf numFmtId="37" fontId="2" fillId="0" borderId="1" xfId="0" applyNumberFormat="1" applyFont="1" applyBorder="1"/>
    <xf numFmtId="0" fontId="9" fillId="0" borderId="1" xfId="0" applyFont="1" applyBorder="1"/>
    <xf numFmtId="37" fontId="6" fillId="0" borderId="0" xfId="0" applyNumberFormat="1" applyFont="1"/>
    <xf numFmtId="0" fontId="9" fillId="0" borderId="0" xfId="0" applyFont="1"/>
    <xf numFmtId="0" fontId="10" fillId="0" borderId="0" xfId="0" applyFont="1" applyAlignment="1">
      <alignment horizontal="left" indent="1"/>
    </xf>
    <xf numFmtId="10" fontId="2" fillId="0" borderId="0" xfId="0" applyNumberFormat="1" applyFont="1"/>
    <xf numFmtId="9" fontId="2" fillId="0" borderId="0" xfId="2" applyFont="1"/>
    <xf numFmtId="0" fontId="10" fillId="0" borderId="0" xfId="0" applyFont="1" applyAlignment="1">
      <alignment horizontal="left" indent="2"/>
    </xf>
    <xf numFmtId="0" fontId="6" fillId="0" borderId="1" xfId="0" applyFont="1" applyBorder="1"/>
    <xf numFmtId="0" fontId="4" fillId="2" borderId="0" xfId="0" applyFont="1" applyFill="1"/>
    <xf numFmtId="10" fontId="6" fillId="0" borderId="2" xfId="0" applyNumberFormat="1" applyFont="1" applyBorder="1" applyAlignment="1">
      <alignment horizontal="left"/>
    </xf>
    <xf numFmtId="0" fontId="6" fillId="0" borderId="2" xfId="0" applyFont="1" applyBorder="1"/>
    <xf numFmtId="10" fontId="8" fillId="0" borderId="0" xfId="0" applyNumberFormat="1" applyFont="1" applyAlignment="1">
      <alignment horizontal="left"/>
    </xf>
    <xf numFmtId="0" fontId="8" fillId="0" borderId="0" xfId="0" applyFont="1"/>
    <xf numFmtId="166" fontId="6" fillId="0" borderId="0" xfId="0" applyNumberFormat="1" applyFont="1" applyAlignment="1">
      <alignment horizontal="left"/>
    </xf>
    <xf numFmtId="164" fontId="8" fillId="0" borderId="0" xfId="3" applyNumberFormat="1" applyFont="1" applyAlignment="1">
      <alignment horizontal="right"/>
    </xf>
    <xf numFmtId="165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 indent="1"/>
    </xf>
    <xf numFmtId="1" fontId="6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left"/>
    </xf>
    <xf numFmtId="43" fontId="8" fillId="0" borderId="0" xfId="3" applyFont="1" applyAlignment="1">
      <alignment horizontal="right"/>
    </xf>
    <xf numFmtId="0" fontId="11" fillId="0" borderId="0" xfId="0" applyFont="1"/>
    <xf numFmtId="164" fontId="8" fillId="0" borderId="0" xfId="4" applyNumberFormat="1" applyFont="1" applyAlignment="1">
      <alignment horizontal="right"/>
    </xf>
    <xf numFmtId="10" fontId="13" fillId="0" borderId="0" xfId="0" applyNumberFormat="1" applyFont="1" applyAlignment="1">
      <alignment horizontal="left"/>
    </xf>
    <xf numFmtId="10" fontId="8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right"/>
    </xf>
    <xf numFmtId="0" fontId="8" fillId="0" borderId="0" xfId="3" applyNumberFormat="1" applyFont="1" applyFill="1" applyBorder="1" applyAlignment="1">
      <alignment horizontal="left"/>
    </xf>
    <xf numFmtId="0" fontId="6" fillId="2" borderId="0" xfId="0" applyFont="1" applyFill="1"/>
    <xf numFmtId="0" fontId="14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8" fillId="2" borderId="0" xfId="0" applyFont="1" applyFill="1"/>
    <xf numFmtId="0" fontId="18" fillId="2" borderId="0" xfId="0" applyFont="1" applyFill="1" applyAlignment="1">
      <alignment vertical="center"/>
    </xf>
  </cellXfs>
  <cellStyles count="5">
    <cellStyle name="Comma" xfId="1" builtinId="3"/>
    <cellStyle name="Comma 10" xfId="3" xr:uid="{37F8380E-4A7B-433C-974B-BFE976E5C44E}"/>
    <cellStyle name="Comma 2" xfId="4" xr:uid="{2FC84F02-5F29-460C-A8CB-9230EF3458F3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OBA chair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2E98AB"/>
      </a:accent1>
      <a:accent2>
        <a:srgbClr val="BCAE51"/>
      </a:accent2>
      <a:accent3>
        <a:srgbClr val="588088"/>
      </a:accent3>
      <a:accent4>
        <a:srgbClr val="114874"/>
      </a:accent4>
      <a:accent5>
        <a:srgbClr val="3B594B"/>
      </a:accent5>
      <a:accent6>
        <a:srgbClr val="8AA59F"/>
      </a:accent6>
      <a:hlink>
        <a:srgbClr val="000000"/>
      </a:hlink>
      <a:folHlink>
        <a:srgbClr val="D9D9D9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F16B1-B705-42D8-96BC-46397B798823}">
  <sheetPr>
    <tabColor rgb="FFFF0000"/>
  </sheetPr>
  <dimension ref="A1:P49"/>
  <sheetViews>
    <sheetView showGridLines="0" tabSelected="1" zoomScale="85" zoomScaleNormal="85" workbookViewId="0">
      <selection activeCell="J2" sqref="J2"/>
    </sheetView>
  </sheetViews>
  <sheetFormatPr defaultColWidth="8.86328125" defaultRowHeight="15" x14ac:dyDescent="0.5"/>
  <cols>
    <col min="1" max="1" width="2.86328125" style="1" customWidth="1"/>
    <col min="2" max="2" width="21.1328125" style="1" bestFit="1" customWidth="1"/>
    <col min="3" max="3" width="2.86328125" style="1" customWidth="1"/>
    <col min="4" max="13" width="12.86328125" style="1" customWidth="1"/>
    <col min="14" max="16384" width="8.86328125" style="1"/>
  </cols>
  <sheetData>
    <row r="1" spans="1:14" x14ac:dyDescent="0.5">
      <c r="A1" s="15"/>
      <c r="K1" s="15"/>
    </row>
    <row r="2" spans="1:14" ht="21.6" customHeight="1" x14ac:dyDescent="0.6">
      <c r="B2" s="53"/>
      <c r="C2" s="52" t="s">
        <v>52</v>
      </c>
      <c r="D2" s="51"/>
      <c r="E2" s="51"/>
      <c r="F2" s="51"/>
      <c r="G2" s="51"/>
      <c r="H2" s="51"/>
      <c r="I2" s="51"/>
      <c r="J2" s="54"/>
      <c r="M2" s="15"/>
    </row>
    <row r="3" spans="1:14" x14ac:dyDescent="0.5">
      <c r="G3" s="15"/>
    </row>
    <row r="4" spans="1:14" x14ac:dyDescent="0.5">
      <c r="B4" s="22" t="s">
        <v>51</v>
      </c>
      <c r="C4" s="50"/>
      <c r="D4" s="50"/>
      <c r="E4" s="50"/>
      <c r="G4" s="22" t="s">
        <v>50</v>
      </c>
      <c r="H4" s="50"/>
      <c r="I4" s="50"/>
      <c r="J4" s="50"/>
    </row>
    <row r="5" spans="1:14" x14ac:dyDescent="0.5">
      <c r="B5" s="18" t="s">
        <v>49</v>
      </c>
      <c r="E5" s="49" t="s">
        <v>32</v>
      </c>
      <c r="G5" s="1" t="s">
        <v>48</v>
      </c>
      <c r="J5" s="48">
        <v>46022</v>
      </c>
    </row>
    <row r="6" spans="1:14" x14ac:dyDescent="0.5">
      <c r="B6" s="18" t="s">
        <v>47</v>
      </c>
      <c r="E6" s="46" t="s">
        <v>32</v>
      </c>
      <c r="G6" s="18" t="s">
        <v>46</v>
      </c>
      <c r="J6" s="47">
        <v>0.02</v>
      </c>
      <c r="N6" s="36"/>
    </row>
    <row r="7" spans="1:14" x14ac:dyDescent="0.5">
      <c r="B7" s="18" t="s">
        <v>45</v>
      </c>
      <c r="E7" s="46" t="s">
        <v>32</v>
      </c>
      <c r="G7" s="18" t="s">
        <v>44</v>
      </c>
      <c r="J7" s="45" t="s">
        <v>32</v>
      </c>
      <c r="N7" s="44"/>
    </row>
    <row r="8" spans="1:14" x14ac:dyDescent="0.5">
      <c r="B8" s="18" t="s">
        <v>43</v>
      </c>
      <c r="E8" s="39" t="e">
        <f>E7+(E5*E6)</f>
        <v>#VALUE!</v>
      </c>
      <c r="G8" s="18" t="s">
        <v>42</v>
      </c>
      <c r="J8" s="38" t="s">
        <v>32</v>
      </c>
    </row>
    <row r="9" spans="1:14" x14ac:dyDescent="0.5">
      <c r="B9" s="18" t="s">
        <v>41</v>
      </c>
      <c r="E9" s="39" t="e">
        <f>J10/SUM(J10:J11)</f>
        <v>#VALUE!</v>
      </c>
      <c r="G9" s="18" t="s">
        <v>40</v>
      </c>
      <c r="J9" s="43" t="s">
        <v>32</v>
      </c>
    </row>
    <row r="10" spans="1:14" x14ac:dyDescent="0.5">
      <c r="B10" s="18" t="s">
        <v>39</v>
      </c>
      <c r="E10" s="42" t="s">
        <v>32</v>
      </c>
      <c r="G10" s="18" t="s">
        <v>38</v>
      </c>
      <c r="J10" s="41" t="e">
        <f>J8*J9</f>
        <v>#VALUE!</v>
      </c>
    </row>
    <row r="11" spans="1:14" x14ac:dyDescent="0.5">
      <c r="B11" s="40" t="s">
        <v>37</v>
      </c>
      <c r="E11" s="39" t="e">
        <f>E10*(1-E13)</f>
        <v>#VALUE!</v>
      </c>
      <c r="G11" s="18" t="s">
        <v>36</v>
      </c>
      <c r="J11" s="38"/>
    </row>
    <row r="12" spans="1:14" x14ac:dyDescent="0.5">
      <c r="B12" s="18" t="s">
        <v>35</v>
      </c>
      <c r="E12" s="37" t="e">
        <f>1-E9</f>
        <v>#VALUE!</v>
      </c>
      <c r="G12" s="1" t="s">
        <v>34</v>
      </c>
      <c r="J12" s="36"/>
    </row>
    <row r="13" spans="1:14" x14ac:dyDescent="0.5">
      <c r="B13" s="18" t="s">
        <v>33</v>
      </c>
      <c r="E13" s="35" t="s">
        <v>32</v>
      </c>
    </row>
    <row r="14" spans="1:14" ht="15.4" thickBot="1" x14ac:dyDescent="0.55000000000000004">
      <c r="B14" s="34" t="s">
        <v>31</v>
      </c>
      <c r="C14" s="34"/>
      <c r="D14" s="34"/>
      <c r="E14" s="33" t="e">
        <f>(E9*E8)+(E11*E12)</f>
        <v>#VALUE!</v>
      </c>
    </row>
    <row r="15" spans="1:14" ht="15.4" thickTop="1" x14ac:dyDescent="0.5"/>
    <row r="16" spans="1:14" x14ac:dyDescent="0.5">
      <c r="B16" s="32" t="s">
        <v>30</v>
      </c>
      <c r="C16" s="21"/>
      <c r="D16" s="21" t="s">
        <v>29</v>
      </c>
      <c r="E16" s="21" t="s">
        <v>29</v>
      </c>
      <c r="F16" s="21" t="s">
        <v>29</v>
      </c>
      <c r="G16" s="21" t="s">
        <v>12</v>
      </c>
      <c r="H16" s="21" t="s">
        <v>12</v>
      </c>
      <c r="I16" s="21" t="s">
        <v>12</v>
      </c>
      <c r="J16" s="21" t="s">
        <v>12</v>
      </c>
      <c r="K16" s="21" t="s">
        <v>12</v>
      </c>
    </row>
    <row r="17" spans="2:14" x14ac:dyDescent="0.5">
      <c r="B17" s="18" t="s">
        <v>28</v>
      </c>
      <c r="D17" s="1" t="s">
        <v>16</v>
      </c>
      <c r="E17" s="1" t="s">
        <v>16</v>
      </c>
      <c r="F17" s="1" t="s">
        <v>16</v>
      </c>
      <c r="G17" s="1" t="s">
        <v>15</v>
      </c>
      <c r="H17" s="1" t="s">
        <v>15</v>
      </c>
      <c r="I17" s="1" t="s">
        <v>15</v>
      </c>
      <c r="J17" s="1" t="s">
        <v>15</v>
      </c>
      <c r="K17" s="1" t="s">
        <v>15</v>
      </c>
    </row>
    <row r="18" spans="2:14" x14ac:dyDescent="0.5">
      <c r="B18" s="30" t="s">
        <v>27</v>
      </c>
      <c r="E18" s="29" t="str">
        <f>IFERROR(E17/D17-1,"")</f>
        <v/>
      </c>
      <c r="F18" s="29" t="str">
        <f>IFERROR(F17/E17-1,"")</f>
        <v/>
      </c>
      <c r="G18" s="1" t="e">
        <f>G17/#REF!-1</f>
        <v>#VALUE!</v>
      </c>
      <c r="H18" s="1" t="e">
        <f>H17/G17-1</f>
        <v>#VALUE!</v>
      </c>
      <c r="I18" s="1" t="e">
        <f>I17/H17-1</f>
        <v>#VALUE!</v>
      </c>
      <c r="J18" s="1" t="e">
        <f>J17/I17-1</f>
        <v>#VALUE!</v>
      </c>
      <c r="K18" s="1" t="e">
        <f>K17/J17-1</f>
        <v>#VALUE!</v>
      </c>
    </row>
    <row r="19" spans="2:14" x14ac:dyDescent="0.5">
      <c r="B19" s="18" t="s">
        <v>26</v>
      </c>
      <c r="D19" s="1" t="s">
        <v>16</v>
      </c>
      <c r="E19" s="1" t="s">
        <v>16</v>
      </c>
      <c r="F19" s="1" t="s">
        <v>16</v>
      </c>
    </row>
    <row r="20" spans="2:14" x14ac:dyDescent="0.5">
      <c r="B20" s="31" t="s">
        <v>25</v>
      </c>
      <c r="C20" s="5"/>
      <c r="D20" s="5" t="e">
        <f>D17+D19</f>
        <v>#VALUE!</v>
      </c>
      <c r="E20" s="5" t="e">
        <f>E17+E19</f>
        <v>#VALUE!</v>
      </c>
      <c r="F20" s="5" t="e">
        <f>F17+F19</f>
        <v>#VALUE!</v>
      </c>
      <c r="G20" s="5" t="e">
        <f>G17+G19</f>
        <v>#VALUE!</v>
      </c>
      <c r="H20" s="5" t="e">
        <f>H17+H19</f>
        <v>#VALUE!</v>
      </c>
      <c r="I20" s="5" t="e">
        <f>I17+I19</f>
        <v>#VALUE!</v>
      </c>
      <c r="J20" s="5" t="e">
        <f>J17+J19</f>
        <v>#VALUE!</v>
      </c>
      <c r="K20" s="5" t="e">
        <f>K17+K19</f>
        <v>#VALUE!</v>
      </c>
    </row>
    <row r="21" spans="2:14" x14ac:dyDescent="0.5">
      <c r="B21" s="30" t="s">
        <v>24</v>
      </c>
      <c r="D21" s="28" t="e">
        <f>D19/D17</f>
        <v>#VALUE!</v>
      </c>
      <c r="E21" s="28" t="e">
        <f>E19/E17</f>
        <v>#VALUE!</v>
      </c>
      <c r="F21" s="28" t="e">
        <f>F19/F17</f>
        <v>#VALUE!</v>
      </c>
      <c r="G21" s="28" t="e">
        <f>G19/G17</f>
        <v>#VALUE!</v>
      </c>
      <c r="H21" s="28" t="e">
        <f>H19/H17</f>
        <v>#VALUE!</v>
      </c>
      <c r="I21" s="28" t="e">
        <f>I19/I17</f>
        <v>#VALUE!</v>
      </c>
      <c r="J21" s="28" t="e">
        <f>J19/J17</f>
        <v>#VALUE!</v>
      </c>
      <c r="K21" s="28" t="e">
        <f>K19/K17</f>
        <v>#VALUE!</v>
      </c>
      <c r="N21" s="15"/>
    </row>
    <row r="22" spans="2:14" x14ac:dyDescent="0.5">
      <c r="B22" s="27"/>
    </row>
    <row r="23" spans="2:14" x14ac:dyDescent="0.5">
      <c r="B23" s="18" t="s">
        <v>23</v>
      </c>
      <c r="D23" s="1" t="s">
        <v>16</v>
      </c>
      <c r="E23" s="1" t="s">
        <v>16</v>
      </c>
      <c r="F23" s="1" t="s">
        <v>16</v>
      </c>
      <c r="G23" s="1" t="s">
        <v>15</v>
      </c>
      <c r="H23" s="1" t="s">
        <v>15</v>
      </c>
      <c r="I23" s="1" t="s">
        <v>15</v>
      </c>
      <c r="J23" s="1" t="s">
        <v>15</v>
      </c>
      <c r="K23" s="1" t="s">
        <v>15</v>
      </c>
    </row>
    <row r="24" spans="2:14" x14ac:dyDescent="0.5">
      <c r="B24" s="24" t="s">
        <v>22</v>
      </c>
      <c r="C24" s="5"/>
      <c r="D24" s="5" t="e">
        <f>D20+D23</f>
        <v>#VALUE!</v>
      </c>
      <c r="E24" s="5" t="e">
        <f>E20+E23</f>
        <v>#VALUE!</v>
      </c>
      <c r="F24" s="5" t="e">
        <f>F20+F23</f>
        <v>#VALUE!</v>
      </c>
      <c r="G24" s="5" t="e">
        <f>G20+G23</f>
        <v>#VALUE!</v>
      </c>
      <c r="H24" s="5" t="e">
        <f>H20+H23</f>
        <v>#VALUE!</v>
      </c>
      <c r="I24" s="5" t="e">
        <f>I20+I23</f>
        <v>#VALUE!</v>
      </c>
      <c r="J24" s="5" t="e">
        <f>J20+J23</f>
        <v>#VALUE!</v>
      </c>
      <c r="K24" s="5" t="e">
        <f>K20+K23</f>
        <v>#VALUE!</v>
      </c>
    </row>
    <row r="25" spans="2:14" x14ac:dyDescent="0.5">
      <c r="B25" s="27" t="s">
        <v>21</v>
      </c>
      <c r="D25" s="29" t="e">
        <f>D24/D17</f>
        <v>#VALUE!</v>
      </c>
      <c r="E25" s="29" t="e">
        <f>E24/E17</f>
        <v>#VALUE!</v>
      </c>
      <c r="F25" s="29" t="e">
        <f>F24/F17</f>
        <v>#VALUE!</v>
      </c>
      <c r="G25" s="28" t="e">
        <f>G23/G17</f>
        <v>#VALUE!</v>
      </c>
      <c r="H25" s="28" t="e">
        <f>H23/H17</f>
        <v>#VALUE!</v>
      </c>
      <c r="I25" s="28" t="e">
        <f>I23/I17</f>
        <v>#VALUE!</v>
      </c>
      <c r="J25" s="28" t="e">
        <f>J23/J17</f>
        <v>#VALUE!</v>
      </c>
      <c r="K25" s="28" t="e">
        <f>K23/K17</f>
        <v>#VALUE!</v>
      </c>
      <c r="N25" s="15"/>
    </row>
    <row r="26" spans="2:14" x14ac:dyDescent="0.5">
      <c r="B26" s="27"/>
    </row>
    <row r="27" spans="2:14" x14ac:dyDescent="0.5">
      <c r="B27" s="26" t="s">
        <v>20</v>
      </c>
      <c r="D27" s="25" t="e">
        <f>D24*(1-$E$13)</f>
        <v>#VALUE!</v>
      </c>
      <c r="E27" s="25" t="e">
        <f>E24*(1-$E$13)</f>
        <v>#VALUE!</v>
      </c>
      <c r="F27" s="25" t="e">
        <f>F24*(1-$E$13)</f>
        <v>#VALUE!</v>
      </c>
      <c r="G27" s="25" t="e">
        <f>G24*(1-$E$13)</f>
        <v>#VALUE!</v>
      </c>
      <c r="H27" s="25" t="e">
        <f>H24*(1-$E$13)</f>
        <v>#VALUE!</v>
      </c>
      <c r="I27" s="25" t="e">
        <f>I24*(1-$E$13)</f>
        <v>#VALUE!</v>
      </c>
      <c r="J27" s="25" t="e">
        <f>J24*(1-$E$13)</f>
        <v>#VALUE!</v>
      </c>
      <c r="K27" s="25" t="e">
        <f>K24*(1-$E$13)</f>
        <v>#VALUE!</v>
      </c>
    </row>
    <row r="28" spans="2:14" x14ac:dyDescent="0.5">
      <c r="B28" s="18" t="s">
        <v>19</v>
      </c>
      <c r="D28" s="1" t="s">
        <v>16</v>
      </c>
      <c r="E28" s="1" t="s">
        <v>16</v>
      </c>
      <c r="F28" s="1" t="s">
        <v>16</v>
      </c>
      <c r="G28" s="1" t="s">
        <v>15</v>
      </c>
      <c r="H28" s="1" t="s">
        <v>15</v>
      </c>
      <c r="I28" s="1" t="s">
        <v>15</v>
      </c>
      <c r="J28" s="1" t="s">
        <v>15</v>
      </c>
      <c r="K28" s="1" t="s">
        <v>15</v>
      </c>
    </row>
    <row r="29" spans="2:14" x14ac:dyDescent="0.5">
      <c r="B29" s="18" t="s">
        <v>18</v>
      </c>
      <c r="D29" s="1" t="s">
        <v>16</v>
      </c>
      <c r="E29" s="1" t="s">
        <v>16</v>
      </c>
      <c r="F29" s="1" t="s">
        <v>16</v>
      </c>
      <c r="G29" s="1" t="s">
        <v>15</v>
      </c>
      <c r="H29" s="1" t="s">
        <v>15</v>
      </c>
      <c r="I29" s="1" t="s">
        <v>15</v>
      </c>
      <c r="J29" s="1" t="s">
        <v>15</v>
      </c>
      <c r="K29" s="1" t="s">
        <v>15</v>
      </c>
    </row>
    <row r="30" spans="2:14" x14ac:dyDescent="0.5">
      <c r="B30" s="18" t="s">
        <v>17</v>
      </c>
      <c r="D30" s="1" t="s">
        <v>16</v>
      </c>
      <c r="E30" s="1" t="s">
        <v>16</v>
      </c>
      <c r="F30" s="1" t="s">
        <v>16</v>
      </c>
      <c r="G30" s="1" t="s">
        <v>15</v>
      </c>
      <c r="H30" s="1" t="s">
        <v>15</v>
      </c>
      <c r="I30" s="1" t="s">
        <v>15</v>
      </c>
      <c r="J30" s="1" t="s">
        <v>15</v>
      </c>
      <c r="K30" s="1" t="s">
        <v>15</v>
      </c>
    </row>
    <row r="31" spans="2:14" x14ac:dyDescent="0.5">
      <c r="B31" s="24" t="s">
        <v>14</v>
      </c>
      <c r="C31" s="5"/>
      <c r="D31" s="23" t="e">
        <f>D27+D28+D29+D30</f>
        <v>#VALUE!</v>
      </c>
      <c r="E31" s="23" t="e">
        <f>E27+E28+E29+E30</f>
        <v>#VALUE!</v>
      </c>
      <c r="F31" s="23" t="e">
        <f>F27+F28+F29+F30</f>
        <v>#VALUE!</v>
      </c>
      <c r="G31" s="23" t="e">
        <f>G27+G28+G29+G30</f>
        <v>#VALUE!</v>
      </c>
      <c r="H31" s="23" t="e">
        <f>H27+H28+H29+H30</f>
        <v>#VALUE!</v>
      </c>
      <c r="I31" s="23" t="e">
        <f>I27+I28+I29+I30</f>
        <v>#VALUE!</v>
      </c>
      <c r="J31" s="23" t="e">
        <f>J27+J28+J29+J30</f>
        <v>#VALUE!</v>
      </c>
      <c r="K31" s="23" t="e">
        <f>K27+K28+K29+K30</f>
        <v>#VALUE!</v>
      </c>
    </row>
    <row r="33" spans="2:16" x14ac:dyDescent="0.5">
      <c r="B33" s="22" t="s">
        <v>13</v>
      </c>
      <c r="C33" s="21"/>
      <c r="D33" s="21"/>
      <c r="E33" s="21"/>
      <c r="F33" s="21"/>
      <c r="G33" s="21" t="s">
        <v>12</v>
      </c>
      <c r="H33" s="21" t="s">
        <v>12</v>
      </c>
      <c r="I33" s="21" t="s">
        <v>12</v>
      </c>
      <c r="J33" s="21" t="s">
        <v>12</v>
      </c>
      <c r="K33" s="21" t="s">
        <v>12</v>
      </c>
    </row>
    <row r="34" spans="2:16" x14ac:dyDescent="0.5">
      <c r="B34" s="18" t="s">
        <v>11</v>
      </c>
      <c r="G34" s="20">
        <f ca="1">YEARFRAC(TODAY(),$J$5)</f>
        <v>0.11388888888888889</v>
      </c>
      <c r="H34" s="20">
        <f ca="1">G34+1</f>
        <v>1.1138888888888889</v>
      </c>
      <c r="I34" s="20">
        <f ca="1">H34+1</f>
        <v>2.1138888888888889</v>
      </c>
      <c r="J34" s="20">
        <f ca="1">I34+1</f>
        <v>3.1138888888888889</v>
      </c>
      <c r="K34" s="20">
        <f ca="1">J34+1</f>
        <v>4.1138888888888889</v>
      </c>
      <c r="N34" s="19"/>
      <c r="O34" s="19"/>
      <c r="P34" s="19"/>
    </row>
    <row r="35" spans="2:16" x14ac:dyDescent="0.5">
      <c r="B35" s="18" t="s">
        <v>10</v>
      </c>
      <c r="G35" s="17" t="e">
        <f ca="1">(1/(1+$E$14))^G34</f>
        <v>#VALUE!</v>
      </c>
      <c r="H35" s="17" t="e">
        <f ca="1">(1/(1+$E$14))^H34</f>
        <v>#VALUE!</v>
      </c>
      <c r="I35" s="17" t="e">
        <f ca="1">(1/(1+$E$14))^I34</f>
        <v>#VALUE!</v>
      </c>
      <c r="J35" s="17" t="e">
        <f ca="1">(1/(1+$E$14))^J34</f>
        <v>#VALUE!</v>
      </c>
      <c r="K35" s="17" t="e">
        <f ca="1">(1/(1+$E$14))^K34</f>
        <v>#VALUE!</v>
      </c>
      <c r="N35" s="17"/>
      <c r="O35" s="17"/>
      <c r="P35" s="17"/>
    </row>
    <row r="36" spans="2:16" x14ac:dyDescent="0.5">
      <c r="B36" s="18"/>
      <c r="N36" s="17"/>
      <c r="O36" s="17"/>
      <c r="P36" s="17"/>
    </row>
    <row r="37" spans="2:16" x14ac:dyDescent="0.5">
      <c r="B37" s="8" t="s">
        <v>9</v>
      </c>
      <c r="G37" s="1" t="e">
        <f ca="1">G31*G35</f>
        <v>#VALUE!</v>
      </c>
      <c r="H37" s="1" t="e">
        <f ca="1">H31*H35</f>
        <v>#VALUE!</v>
      </c>
      <c r="I37" s="1" t="e">
        <f ca="1">I31*I35</f>
        <v>#VALUE!</v>
      </c>
      <c r="J37" s="1" t="e">
        <f ca="1">J31*J35</f>
        <v>#VALUE!</v>
      </c>
      <c r="K37" s="1" t="e">
        <f ca="1">K31*K35</f>
        <v>#VALUE!</v>
      </c>
    </row>
    <row r="38" spans="2:16" x14ac:dyDescent="0.5">
      <c r="B38" s="9" t="s">
        <v>8</v>
      </c>
      <c r="K38" s="16" t="e">
        <f ca="1">SUM(G37:K37)</f>
        <v>#VALUE!</v>
      </c>
      <c r="N38" s="15"/>
    </row>
    <row r="39" spans="2:16" x14ac:dyDescent="0.5">
      <c r="B39" s="9"/>
    </row>
    <row r="40" spans="2:16" x14ac:dyDescent="0.5">
      <c r="B40" s="8" t="s">
        <v>7</v>
      </c>
      <c r="K40" s="14" t="e">
        <f>(K31*(1+J6))/(E14-F2)</f>
        <v>#VALUE!</v>
      </c>
    </row>
    <row r="41" spans="2:16" x14ac:dyDescent="0.5">
      <c r="B41" s="9" t="s">
        <v>6</v>
      </c>
      <c r="K41" s="13" t="e">
        <f ca="1">K40*K35</f>
        <v>#VALUE!</v>
      </c>
    </row>
    <row r="42" spans="2:16" x14ac:dyDescent="0.5">
      <c r="B42" s="9"/>
      <c r="K42" s="2"/>
    </row>
    <row r="43" spans="2:16" x14ac:dyDescent="0.5">
      <c r="B43" s="9" t="s">
        <v>5</v>
      </c>
      <c r="K43" s="2" t="e">
        <f ca="1">K38+K41</f>
        <v>#VALUE!</v>
      </c>
    </row>
    <row r="44" spans="2:16" x14ac:dyDescent="0.5">
      <c r="B44" s="8" t="s">
        <v>4</v>
      </c>
      <c r="K44" s="12" t="e">
        <f>-($J$11-$J$7)</f>
        <v>#VALUE!</v>
      </c>
    </row>
    <row r="45" spans="2:16" x14ac:dyDescent="0.5">
      <c r="B45" s="11" t="s">
        <v>3</v>
      </c>
      <c r="C45" s="5"/>
      <c r="D45" s="5"/>
      <c r="E45" s="5"/>
      <c r="F45" s="5"/>
      <c r="G45" s="5"/>
      <c r="H45" s="5"/>
      <c r="I45" s="5"/>
      <c r="J45" s="5"/>
      <c r="K45" s="10" t="e">
        <f ca="1">K43+K44</f>
        <v>#VALUE!</v>
      </c>
    </row>
    <row r="46" spans="2:16" x14ac:dyDescent="0.5">
      <c r="B46" s="9"/>
      <c r="K46" s="2"/>
    </row>
    <row r="47" spans="2:16" x14ac:dyDescent="0.5">
      <c r="B47" s="8" t="s">
        <v>2</v>
      </c>
      <c r="K47" s="7" t="str">
        <f>J8</f>
        <v>#</v>
      </c>
    </row>
    <row r="48" spans="2:16" x14ac:dyDescent="0.5">
      <c r="B48" s="6" t="s">
        <v>1</v>
      </c>
      <c r="C48" s="5"/>
      <c r="D48" s="5"/>
      <c r="E48" s="5"/>
      <c r="F48" s="5"/>
      <c r="G48" s="5"/>
      <c r="H48" s="5"/>
      <c r="I48" s="5"/>
      <c r="J48" s="5"/>
      <c r="K48" s="4" t="e">
        <f ca="1">K45/K47</f>
        <v>#VALUE!</v>
      </c>
    </row>
    <row r="49" spans="2:11" x14ac:dyDescent="0.5">
      <c r="B49" s="3" t="s">
        <v>0</v>
      </c>
      <c r="K49" s="2" t="e">
        <f ca="1">K48/J9-1</f>
        <v>#VALUE!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Ortega, Ian</dc:creator>
  <cp:lastModifiedBy>Ortega, Ian</cp:lastModifiedBy>
  <dcterms:created xsi:type="dcterms:W3CDTF">2025-11-20T23:17:49Z</dcterms:created>
  <dcterms:modified xsi:type="dcterms:W3CDTF">2025-11-21T00:41:26Z</dcterms:modified>
</cp:coreProperties>
</file>