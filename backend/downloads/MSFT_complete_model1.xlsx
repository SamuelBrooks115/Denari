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24d02efce4e3682/Desktop/Denari/Denari/backend/downloads/"/>
    </mc:Choice>
  </mc:AlternateContent>
  <xr:revisionPtr revIDLastSave="0" documentId="11_5B5413877470162DDAA620536F05B603A1CCED0F" xr6:coauthVersionLast="47" xr6:coauthVersionMax="47" xr10:uidLastSave="{00000000-0000-0000-0000-000000000000}"/>
  <bookViews>
    <workbookView xWindow="-98" yWindow="-98" windowWidth="21795" windowHeight="12975" activeTab="5" xr2:uid="{00000000-000D-0000-FFFF-FFFF00000000}"/>
  </bookViews>
  <sheets>
    <sheet name="Cover" sheetId="1" r:id="rId1"/>
    <sheet name="Summary" sheetId="2" r:id="rId2"/>
    <sheet name="DCF Base" sheetId="3" r:id="rId3"/>
    <sheet name="DCF Bear" sheetId="4" r:id="rId4"/>
    <sheet name="DCF Bull" sheetId="5" r:id="rId5"/>
    <sheet name="3 Statement" sheetId="6" r:id="rId6"/>
    <sheet name="RV" sheetId="7" r:id="rId7"/>
    <sheet name="Beta" sheetId="8" r:id="rId8"/>
    <sheet name="DCF Q" sheetId="9" state="hidden" r:id="rId9"/>
    <sheet name="3-STMT Q" sheetId="10" state="hidden" r:id="rId10"/>
    <sheet name="3-STMT Quarterly" sheetId="11" state="hidden" r:id="rId11"/>
    <sheet name="CF STMT Annual " sheetId="12" state="hidden" r:id="rId12"/>
    <sheet name="CF STMT Quarterly" sheetId="13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7" i="9" l="1"/>
  <c r="M44" i="9"/>
  <c r="I34" i="9"/>
  <c r="J34" i="9" s="1"/>
  <c r="K34" i="9" s="1"/>
  <c r="L34" i="9" s="1"/>
  <c r="D31" i="9"/>
  <c r="M30" i="9"/>
  <c r="H30" i="9"/>
  <c r="M29" i="9"/>
  <c r="H29" i="9"/>
  <c r="M28" i="9"/>
  <c r="H28" i="9"/>
  <c r="L25" i="9"/>
  <c r="K25" i="9"/>
  <c r="J25" i="9"/>
  <c r="I25" i="9"/>
  <c r="H25" i="9"/>
  <c r="G25" i="9"/>
  <c r="F25" i="9"/>
  <c r="E25" i="9"/>
  <c r="D25" i="9"/>
  <c r="M23" i="9"/>
  <c r="H23" i="9"/>
  <c r="L21" i="9"/>
  <c r="K21" i="9"/>
  <c r="J21" i="9"/>
  <c r="I21" i="9"/>
  <c r="G21" i="9"/>
  <c r="F21" i="9"/>
  <c r="E21" i="9"/>
  <c r="D21" i="9"/>
  <c r="M20" i="9"/>
  <c r="M24" i="9" s="1"/>
  <c r="M27" i="9" s="1"/>
  <c r="M31" i="9" s="1"/>
  <c r="L20" i="9"/>
  <c r="L24" i="9" s="1"/>
  <c r="L27" i="9" s="1"/>
  <c r="L31" i="9" s="1"/>
  <c r="K20" i="9"/>
  <c r="K24" i="9" s="1"/>
  <c r="K27" i="9" s="1"/>
  <c r="K31" i="9" s="1"/>
  <c r="J20" i="9"/>
  <c r="J24" i="9" s="1"/>
  <c r="J27" i="9" s="1"/>
  <c r="J31" i="9" s="1"/>
  <c r="I20" i="9"/>
  <c r="I24" i="9" s="1"/>
  <c r="I27" i="9" s="1"/>
  <c r="I31" i="9" s="1"/>
  <c r="H20" i="9"/>
  <c r="H24" i="9" s="1"/>
  <c r="H27" i="9" s="1"/>
  <c r="H31" i="9" s="1"/>
  <c r="G20" i="9"/>
  <c r="G24" i="9" s="1"/>
  <c r="G27" i="9" s="1"/>
  <c r="G31" i="9" s="1"/>
  <c r="F20" i="9"/>
  <c r="F24" i="9" s="1"/>
  <c r="F27" i="9" s="1"/>
  <c r="F31" i="9" s="1"/>
  <c r="E20" i="9"/>
  <c r="E24" i="9" s="1"/>
  <c r="E27" i="9" s="1"/>
  <c r="E31" i="9" s="1"/>
  <c r="D20" i="9"/>
  <c r="D24" i="9" s="1"/>
  <c r="D27" i="9" s="1"/>
  <c r="M19" i="9"/>
  <c r="H19" i="9"/>
  <c r="L18" i="9"/>
  <c r="K18" i="9"/>
  <c r="J18" i="9"/>
  <c r="G18" i="9"/>
  <c r="F18" i="9"/>
  <c r="E18" i="9"/>
  <c r="M17" i="9"/>
  <c r="H17" i="9"/>
  <c r="I18" i="9" s="1"/>
  <c r="E11" i="9"/>
  <c r="J10" i="9"/>
  <c r="E9" i="9"/>
  <c r="E8" i="9"/>
  <c r="F1260" i="8"/>
  <c r="E1260" i="8"/>
  <c r="F1259" i="8"/>
  <c r="E1259" i="8"/>
  <c r="F1258" i="8"/>
  <c r="E1258" i="8"/>
  <c r="F1257" i="8"/>
  <c r="E1257" i="8"/>
  <c r="F1256" i="8"/>
  <c r="E1256" i="8"/>
  <c r="F1255" i="8"/>
  <c r="E1255" i="8"/>
  <c r="F1254" i="8"/>
  <c r="E1254" i="8"/>
  <c r="F1253" i="8"/>
  <c r="E1253" i="8"/>
  <c r="F1252" i="8"/>
  <c r="E1252" i="8"/>
  <c r="F1251" i="8"/>
  <c r="E1251" i="8"/>
  <c r="F1250" i="8"/>
  <c r="E1250" i="8"/>
  <c r="F1249" i="8"/>
  <c r="E1249" i="8"/>
  <c r="F1248" i="8"/>
  <c r="E1248" i="8"/>
  <c r="F1247" i="8"/>
  <c r="E1247" i="8"/>
  <c r="F1246" i="8"/>
  <c r="E1246" i="8"/>
  <c r="F1245" i="8"/>
  <c r="E1245" i="8"/>
  <c r="F1244" i="8"/>
  <c r="E1244" i="8"/>
  <c r="F1243" i="8"/>
  <c r="E1243" i="8"/>
  <c r="F1242" i="8"/>
  <c r="E1242" i="8"/>
  <c r="F1241" i="8"/>
  <c r="E1241" i="8"/>
  <c r="F1240" i="8"/>
  <c r="E1240" i="8"/>
  <c r="F1239" i="8"/>
  <c r="E1239" i="8"/>
  <c r="F1238" i="8"/>
  <c r="E1238" i="8"/>
  <c r="F1237" i="8"/>
  <c r="E1237" i="8"/>
  <c r="F1236" i="8"/>
  <c r="E1236" i="8"/>
  <c r="F1235" i="8"/>
  <c r="E1235" i="8"/>
  <c r="F1234" i="8"/>
  <c r="E1234" i="8"/>
  <c r="F1233" i="8"/>
  <c r="E1233" i="8"/>
  <c r="F1232" i="8"/>
  <c r="E1232" i="8"/>
  <c r="F1231" i="8"/>
  <c r="E1231" i="8"/>
  <c r="F1230" i="8"/>
  <c r="E1230" i="8"/>
  <c r="F1229" i="8"/>
  <c r="E1229" i="8"/>
  <c r="F1228" i="8"/>
  <c r="E1228" i="8"/>
  <c r="F1227" i="8"/>
  <c r="E1227" i="8"/>
  <c r="F1226" i="8"/>
  <c r="E1226" i="8"/>
  <c r="F1225" i="8"/>
  <c r="E1225" i="8"/>
  <c r="F1224" i="8"/>
  <c r="E1224" i="8"/>
  <c r="F1223" i="8"/>
  <c r="E1223" i="8"/>
  <c r="F1222" i="8"/>
  <c r="E1222" i="8"/>
  <c r="F1221" i="8"/>
  <c r="E1221" i="8"/>
  <c r="F1220" i="8"/>
  <c r="E1220" i="8"/>
  <c r="F1219" i="8"/>
  <c r="E1219" i="8"/>
  <c r="F1218" i="8"/>
  <c r="E1218" i="8"/>
  <c r="F1217" i="8"/>
  <c r="E1217" i="8"/>
  <c r="F1216" i="8"/>
  <c r="E1216" i="8"/>
  <c r="F1215" i="8"/>
  <c r="E1215" i="8"/>
  <c r="F1214" i="8"/>
  <c r="E1214" i="8"/>
  <c r="F1213" i="8"/>
  <c r="E1213" i="8"/>
  <c r="F1212" i="8"/>
  <c r="E1212" i="8"/>
  <c r="F1211" i="8"/>
  <c r="E1211" i="8"/>
  <c r="F1210" i="8"/>
  <c r="E1210" i="8"/>
  <c r="F1209" i="8"/>
  <c r="E1209" i="8"/>
  <c r="F1208" i="8"/>
  <c r="E1208" i="8"/>
  <c r="F1207" i="8"/>
  <c r="E1207" i="8"/>
  <c r="F1206" i="8"/>
  <c r="E1206" i="8"/>
  <c r="F1205" i="8"/>
  <c r="E1205" i="8"/>
  <c r="F1204" i="8"/>
  <c r="E1204" i="8"/>
  <c r="F1203" i="8"/>
  <c r="E1203" i="8"/>
  <c r="F1202" i="8"/>
  <c r="E1202" i="8"/>
  <c r="F1201" i="8"/>
  <c r="E1201" i="8"/>
  <c r="F1200" i="8"/>
  <c r="E1200" i="8"/>
  <c r="F1199" i="8"/>
  <c r="E1199" i="8"/>
  <c r="F1198" i="8"/>
  <c r="E1198" i="8"/>
  <c r="F1197" i="8"/>
  <c r="E1197" i="8"/>
  <c r="F1196" i="8"/>
  <c r="E1196" i="8"/>
  <c r="F1195" i="8"/>
  <c r="E1195" i="8"/>
  <c r="F1194" i="8"/>
  <c r="E1194" i="8"/>
  <c r="F1193" i="8"/>
  <c r="E1193" i="8"/>
  <c r="F1192" i="8"/>
  <c r="E1192" i="8"/>
  <c r="F1191" i="8"/>
  <c r="E1191" i="8"/>
  <c r="F1190" i="8"/>
  <c r="E1190" i="8"/>
  <c r="F1189" i="8"/>
  <c r="E1189" i="8"/>
  <c r="F1188" i="8"/>
  <c r="E1188" i="8"/>
  <c r="F1187" i="8"/>
  <c r="E1187" i="8"/>
  <c r="F1186" i="8"/>
  <c r="E1186" i="8"/>
  <c r="F1185" i="8"/>
  <c r="E1185" i="8"/>
  <c r="F1184" i="8"/>
  <c r="E1184" i="8"/>
  <c r="F1183" i="8"/>
  <c r="E1183" i="8"/>
  <c r="F1182" i="8"/>
  <c r="E1182" i="8"/>
  <c r="F1181" i="8"/>
  <c r="E1181" i="8"/>
  <c r="F1180" i="8"/>
  <c r="E1180" i="8"/>
  <c r="F1179" i="8"/>
  <c r="E1179" i="8"/>
  <c r="F1178" i="8"/>
  <c r="E1178" i="8"/>
  <c r="F1177" i="8"/>
  <c r="E1177" i="8"/>
  <c r="F1176" i="8"/>
  <c r="E1176" i="8"/>
  <c r="F1175" i="8"/>
  <c r="E1175" i="8"/>
  <c r="F1174" i="8"/>
  <c r="E1174" i="8"/>
  <c r="F1173" i="8"/>
  <c r="E1173" i="8"/>
  <c r="F1172" i="8"/>
  <c r="E1172" i="8"/>
  <c r="F1171" i="8"/>
  <c r="E1171" i="8"/>
  <c r="F1170" i="8"/>
  <c r="E1170" i="8"/>
  <c r="F1169" i="8"/>
  <c r="E1169" i="8"/>
  <c r="F1168" i="8"/>
  <c r="E1168" i="8"/>
  <c r="F1167" i="8"/>
  <c r="E1167" i="8"/>
  <c r="F1166" i="8"/>
  <c r="E1166" i="8"/>
  <c r="F1165" i="8"/>
  <c r="E1165" i="8"/>
  <c r="F1164" i="8"/>
  <c r="E1164" i="8"/>
  <c r="F1163" i="8"/>
  <c r="E1163" i="8"/>
  <c r="F1162" i="8"/>
  <c r="E1162" i="8"/>
  <c r="F1161" i="8"/>
  <c r="E1161" i="8"/>
  <c r="F1160" i="8"/>
  <c r="E1160" i="8"/>
  <c r="F1159" i="8"/>
  <c r="E1159" i="8"/>
  <c r="F1158" i="8"/>
  <c r="E1158" i="8"/>
  <c r="F1157" i="8"/>
  <c r="E1157" i="8"/>
  <c r="F1156" i="8"/>
  <c r="E1156" i="8"/>
  <c r="F1155" i="8"/>
  <c r="E1155" i="8"/>
  <c r="F1154" i="8"/>
  <c r="E1154" i="8"/>
  <c r="F1153" i="8"/>
  <c r="E1153" i="8"/>
  <c r="F1152" i="8"/>
  <c r="E1152" i="8"/>
  <c r="F1151" i="8"/>
  <c r="E1151" i="8"/>
  <c r="F1150" i="8"/>
  <c r="E1150" i="8"/>
  <c r="F1149" i="8"/>
  <c r="E1149" i="8"/>
  <c r="F1148" i="8"/>
  <c r="E1148" i="8"/>
  <c r="F1147" i="8"/>
  <c r="E1147" i="8"/>
  <c r="F1146" i="8"/>
  <c r="E1146" i="8"/>
  <c r="F1145" i="8"/>
  <c r="E1145" i="8"/>
  <c r="F1144" i="8"/>
  <c r="E1144" i="8"/>
  <c r="F1143" i="8"/>
  <c r="E1143" i="8"/>
  <c r="F1142" i="8"/>
  <c r="E1142" i="8"/>
  <c r="F1141" i="8"/>
  <c r="E1141" i="8"/>
  <c r="F1140" i="8"/>
  <c r="E1140" i="8"/>
  <c r="F1139" i="8"/>
  <c r="E1139" i="8"/>
  <c r="F1138" i="8"/>
  <c r="E1138" i="8"/>
  <c r="F1137" i="8"/>
  <c r="E1137" i="8"/>
  <c r="F1136" i="8"/>
  <c r="E1136" i="8"/>
  <c r="F1135" i="8"/>
  <c r="E1135" i="8"/>
  <c r="F1134" i="8"/>
  <c r="E1134" i="8"/>
  <c r="F1133" i="8"/>
  <c r="E1133" i="8"/>
  <c r="F1132" i="8"/>
  <c r="E1132" i="8"/>
  <c r="F1131" i="8"/>
  <c r="E1131" i="8"/>
  <c r="F1130" i="8"/>
  <c r="E1130" i="8"/>
  <c r="F1129" i="8"/>
  <c r="E1129" i="8"/>
  <c r="F1128" i="8"/>
  <c r="E1128" i="8"/>
  <c r="F1127" i="8"/>
  <c r="E1127" i="8"/>
  <c r="F1126" i="8"/>
  <c r="E1126" i="8"/>
  <c r="F1125" i="8"/>
  <c r="E1125" i="8"/>
  <c r="F1124" i="8"/>
  <c r="E1124" i="8"/>
  <c r="F1123" i="8"/>
  <c r="E1123" i="8"/>
  <c r="F1122" i="8"/>
  <c r="E1122" i="8"/>
  <c r="F1121" i="8"/>
  <c r="E1121" i="8"/>
  <c r="F1120" i="8"/>
  <c r="E1120" i="8"/>
  <c r="F1119" i="8"/>
  <c r="E1119" i="8"/>
  <c r="F1118" i="8"/>
  <c r="E1118" i="8"/>
  <c r="F1117" i="8"/>
  <c r="E1117" i="8"/>
  <c r="F1116" i="8"/>
  <c r="E1116" i="8"/>
  <c r="F1115" i="8"/>
  <c r="E1115" i="8"/>
  <c r="F1114" i="8"/>
  <c r="E1114" i="8"/>
  <c r="F1113" i="8"/>
  <c r="E1113" i="8"/>
  <c r="F1112" i="8"/>
  <c r="E1112" i="8"/>
  <c r="F1111" i="8"/>
  <c r="E1111" i="8"/>
  <c r="F1110" i="8"/>
  <c r="E1110" i="8"/>
  <c r="F1109" i="8"/>
  <c r="E1109" i="8"/>
  <c r="F1108" i="8"/>
  <c r="E1108" i="8"/>
  <c r="F1107" i="8"/>
  <c r="E1107" i="8"/>
  <c r="F1106" i="8"/>
  <c r="E1106" i="8"/>
  <c r="F1105" i="8"/>
  <c r="E1105" i="8"/>
  <c r="F1104" i="8"/>
  <c r="E1104" i="8"/>
  <c r="F1103" i="8"/>
  <c r="E1103" i="8"/>
  <c r="F1102" i="8"/>
  <c r="E1102" i="8"/>
  <c r="F1101" i="8"/>
  <c r="E1101" i="8"/>
  <c r="F1100" i="8"/>
  <c r="E1100" i="8"/>
  <c r="F1099" i="8"/>
  <c r="E1099" i="8"/>
  <c r="F1098" i="8"/>
  <c r="E1098" i="8"/>
  <c r="F1097" i="8"/>
  <c r="E1097" i="8"/>
  <c r="F1096" i="8"/>
  <c r="E1096" i="8"/>
  <c r="F1095" i="8"/>
  <c r="E1095" i="8"/>
  <c r="F1094" i="8"/>
  <c r="E1094" i="8"/>
  <c r="F1093" i="8"/>
  <c r="E1093" i="8"/>
  <c r="F1092" i="8"/>
  <c r="E1092" i="8"/>
  <c r="F1091" i="8"/>
  <c r="E1091" i="8"/>
  <c r="F1090" i="8"/>
  <c r="E1090" i="8"/>
  <c r="F1089" i="8"/>
  <c r="E1089" i="8"/>
  <c r="F1088" i="8"/>
  <c r="E1088" i="8"/>
  <c r="F1087" i="8"/>
  <c r="E1087" i="8"/>
  <c r="F1086" i="8"/>
  <c r="E1086" i="8"/>
  <c r="F1085" i="8"/>
  <c r="E1085" i="8"/>
  <c r="F1084" i="8"/>
  <c r="E1084" i="8"/>
  <c r="F1083" i="8"/>
  <c r="E1083" i="8"/>
  <c r="F1082" i="8"/>
  <c r="E1082" i="8"/>
  <c r="F1081" i="8"/>
  <c r="E1081" i="8"/>
  <c r="F1080" i="8"/>
  <c r="E1080" i="8"/>
  <c r="F1079" i="8"/>
  <c r="E1079" i="8"/>
  <c r="F1078" i="8"/>
  <c r="E1078" i="8"/>
  <c r="F1077" i="8"/>
  <c r="E1077" i="8"/>
  <c r="F1076" i="8"/>
  <c r="E1076" i="8"/>
  <c r="F1075" i="8"/>
  <c r="E1075" i="8"/>
  <c r="F1074" i="8"/>
  <c r="E1074" i="8"/>
  <c r="F1073" i="8"/>
  <c r="E1073" i="8"/>
  <c r="F1072" i="8"/>
  <c r="E1072" i="8"/>
  <c r="F1071" i="8"/>
  <c r="E1071" i="8"/>
  <c r="F1070" i="8"/>
  <c r="E1070" i="8"/>
  <c r="F1069" i="8"/>
  <c r="E1069" i="8"/>
  <c r="F1068" i="8"/>
  <c r="E1068" i="8"/>
  <c r="F1067" i="8"/>
  <c r="E1067" i="8"/>
  <c r="F1066" i="8"/>
  <c r="E1066" i="8"/>
  <c r="F1065" i="8"/>
  <c r="E1065" i="8"/>
  <c r="F1064" i="8"/>
  <c r="E1064" i="8"/>
  <c r="F1063" i="8"/>
  <c r="E1063" i="8"/>
  <c r="F1062" i="8"/>
  <c r="E1062" i="8"/>
  <c r="F1061" i="8"/>
  <c r="E1061" i="8"/>
  <c r="F1060" i="8"/>
  <c r="E1060" i="8"/>
  <c r="F1059" i="8"/>
  <c r="E1059" i="8"/>
  <c r="F1058" i="8"/>
  <c r="E1058" i="8"/>
  <c r="F1057" i="8"/>
  <c r="E1057" i="8"/>
  <c r="F1056" i="8"/>
  <c r="E1056" i="8"/>
  <c r="F1055" i="8"/>
  <c r="E1055" i="8"/>
  <c r="F1054" i="8"/>
  <c r="E1054" i="8"/>
  <c r="F1053" i="8"/>
  <c r="E1053" i="8"/>
  <c r="F1052" i="8"/>
  <c r="E1052" i="8"/>
  <c r="F1051" i="8"/>
  <c r="E1051" i="8"/>
  <c r="F1050" i="8"/>
  <c r="E1050" i="8"/>
  <c r="F1049" i="8"/>
  <c r="E1049" i="8"/>
  <c r="F1048" i="8"/>
  <c r="E1048" i="8"/>
  <c r="F1047" i="8"/>
  <c r="E1047" i="8"/>
  <c r="F1046" i="8"/>
  <c r="E1046" i="8"/>
  <c r="F1045" i="8"/>
  <c r="E1045" i="8"/>
  <c r="F1044" i="8"/>
  <c r="E1044" i="8"/>
  <c r="F1043" i="8"/>
  <c r="E1043" i="8"/>
  <c r="F1042" i="8"/>
  <c r="E1042" i="8"/>
  <c r="F1041" i="8"/>
  <c r="E1041" i="8"/>
  <c r="F1040" i="8"/>
  <c r="E1040" i="8"/>
  <c r="F1039" i="8"/>
  <c r="E1039" i="8"/>
  <c r="F1038" i="8"/>
  <c r="E1038" i="8"/>
  <c r="F1037" i="8"/>
  <c r="E1037" i="8"/>
  <c r="F1036" i="8"/>
  <c r="E1036" i="8"/>
  <c r="F1035" i="8"/>
  <c r="E1035" i="8"/>
  <c r="F1034" i="8"/>
  <c r="E1034" i="8"/>
  <c r="F1033" i="8"/>
  <c r="E1033" i="8"/>
  <c r="F1032" i="8"/>
  <c r="E1032" i="8"/>
  <c r="F1031" i="8"/>
  <c r="E1031" i="8"/>
  <c r="F1030" i="8"/>
  <c r="E1030" i="8"/>
  <c r="F1029" i="8"/>
  <c r="E1029" i="8"/>
  <c r="F1028" i="8"/>
  <c r="E1028" i="8"/>
  <c r="F1027" i="8"/>
  <c r="E1027" i="8"/>
  <c r="F1026" i="8"/>
  <c r="E1026" i="8"/>
  <c r="F1025" i="8"/>
  <c r="E1025" i="8"/>
  <c r="F1024" i="8"/>
  <c r="E1024" i="8"/>
  <c r="F1023" i="8"/>
  <c r="E1023" i="8"/>
  <c r="F1022" i="8"/>
  <c r="E1022" i="8"/>
  <c r="F1021" i="8"/>
  <c r="E1021" i="8"/>
  <c r="F1020" i="8"/>
  <c r="E1020" i="8"/>
  <c r="F1019" i="8"/>
  <c r="E1019" i="8"/>
  <c r="F1018" i="8"/>
  <c r="E1018" i="8"/>
  <c r="F1017" i="8"/>
  <c r="E1017" i="8"/>
  <c r="F1016" i="8"/>
  <c r="E1016" i="8"/>
  <c r="F1015" i="8"/>
  <c r="E1015" i="8"/>
  <c r="F1014" i="8"/>
  <c r="E1014" i="8"/>
  <c r="F1013" i="8"/>
  <c r="E1013" i="8"/>
  <c r="F1012" i="8"/>
  <c r="E1012" i="8"/>
  <c r="F1011" i="8"/>
  <c r="E1011" i="8"/>
  <c r="F1010" i="8"/>
  <c r="E1010" i="8"/>
  <c r="F1009" i="8"/>
  <c r="E1009" i="8"/>
  <c r="F1008" i="8"/>
  <c r="E1008" i="8"/>
  <c r="F1007" i="8"/>
  <c r="E1007" i="8"/>
  <c r="F1006" i="8"/>
  <c r="E1006" i="8"/>
  <c r="F1005" i="8"/>
  <c r="E1005" i="8"/>
  <c r="F1004" i="8"/>
  <c r="E1004" i="8"/>
  <c r="F1003" i="8"/>
  <c r="E1003" i="8"/>
  <c r="F1002" i="8"/>
  <c r="E1002" i="8"/>
  <c r="F1001" i="8"/>
  <c r="E1001" i="8"/>
  <c r="F1000" i="8"/>
  <c r="E1000" i="8"/>
  <c r="F999" i="8"/>
  <c r="E999" i="8"/>
  <c r="F998" i="8"/>
  <c r="E998" i="8"/>
  <c r="F997" i="8"/>
  <c r="E997" i="8"/>
  <c r="F996" i="8"/>
  <c r="E996" i="8"/>
  <c r="F995" i="8"/>
  <c r="E995" i="8"/>
  <c r="F994" i="8"/>
  <c r="E994" i="8"/>
  <c r="F993" i="8"/>
  <c r="E993" i="8"/>
  <c r="F992" i="8"/>
  <c r="E992" i="8"/>
  <c r="F991" i="8"/>
  <c r="E991" i="8"/>
  <c r="F990" i="8"/>
  <c r="E990" i="8"/>
  <c r="F989" i="8"/>
  <c r="E989" i="8"/>
  <c r="F988" i="8"/>
  <c r="E988" i="8"/>
  <c r="F987" i="8"/>
  <c r="E987" i="8"/>
  <c r="F986" i="8"/>
  <c r="E986" i="8"/>
  <c r="F985" i="8"/>
  <c r="E985" i="8"/>
  <c r="F984" i="8"/>
  <c r="E984" i="8"/>
  <c r="F983" i="8"/>
  <c r="E983" i="8"/>
  <c r="F982" i="8"/>
  <c r="E982" i="8"/>
  <c r="F981" i="8"/>
  <c r="E981" i="8"/>
  <c r="F980" i="8"/>
  <c r="E980" i="8"/>
  <c r="F979" i="8"/>
  <c r="E979" i="8"/>
  <c r="F978" i="8"/>
  <c r="E978" i="8"/>
  <c r="F977" i="8"/>
  <c r="E977" i="8"/>
  <c r="F976" i="8"/>
  <c r="E976" i="8"/>
  <c r="F975" i="8"/>
  <c r="E975" i="8"/>
  <c r="F974" i="8"/>
  <c r="E974" i="8"/>
  <c r="F973" i="8"/>
  <c r="E973" i="8"/>
  <c r="F972" i="8"/>
  <c r="E972" i="8"/>
  <c r="F971" i="8"/>
  <c r="E971" i="8"/>
  <c r="F970" i="8"/>
  <c r="E970" i="8"/>
  <c r="F969" i="8"/>
  <c r="E969" i="8"/>
  <c r="F968" i="8"/>
  <c r="E968" i="8"/>
  <c r="F967" i="8"/>
  <c r="E967" i="8"/>
  <c r="F966" i="8"/>
  <c r="E966" i="8"/>
  <c r="F965" i="8"/>
  <c r="E965" i="8"/>
  <c r="F964" i="8"/>
  <c r="E964" i="8"/>
  <c r="F963" i="8"/>
  <c r="E963" i="8"/>
  <c r="F962" i="8"/>
  <c r="E962" i="8"/>
  <c r="F961" i="8"/>
  <c r="E961" i="8"/>
  <c r="F960" i="8"/>
  <c r="E960" i="8"/>
  <c r="F959" i="8"/>
  <c r="E959" i="8"/>
  <c r="F958" i="8"/>
  <c r="E958" i="8"/>
  <c r="F957" i="8"/>
  <c r="E957" i="8"/>
  <c r="F956" i="8"/>
  <c r="E956" i="8"/>
  <c r="F955" i="8"/>
  <c r="E955" i="8"/>
  <c r="F954" i="8"/>
  <c r="E954" i="8"/>
  <c r="F953" i="8"/>
  <c r="E953" i="8"/>
  <c r="F952" i="8"/>
  <c r="E952" i="8"/>
  <c r="F951" i="8"/>
  <c r="E951" i="8"/>
  <c r="F950" i="8"/>
  <c r="E950" i="8"/>
  <c r="F949" i="8"/>
  <c r="E949" i="8"/>
  <c r="F948" i="8"/>
  <c r="E948" i="8"/>
  <c r="F947" i="8"/>
  <c r="E947" i="8"/>
  <c r="F946" i="8"/>
  <c r="E946" i="8"/>
  <c r="F945" i="8"/>
  <c r="E945" i="8"/>
  <c r="F944" i="8"/>
  <c r="E944" i="8"/>
  <c r="F943" i="8"/>
  <c r="E943" i="8"/>
  <c r="F942" i="8"/>
  <c r="E942" i="8"/>
  <c r="F941" i="8"/>
  <c r="E941" i="8"/>
  <c r="F940" i="8"/>
  <c r="E940" i="8"/>
  <c r="F939" i="8"/>
  <c r="E939" i="8"/>
  <c r="F938" i="8"/>
  <c r="E938" i="8"/>
  <c r="F937" i="8"/>
  <c r="E937" i="8"/>
  <c r="F936" i="8"/>
  <c r="E936" i="8"/>
  <c r="F935" i="8"/>
  <c r="E935" i="8"/>
  <c r="F934" i="8"/>
  <c r="E934" i="8"/>
  <c r="F933" i="8"/>
  <c r="E933" i="8"/>
  <c r="F932" i="8"/>
  <c r="E932" i="8"/>
  <c r="F931" i="8"/>
  <c r="E931" i="8"/>
  <c r="F930" i="8"/>
  <c r="E930" i="8"/>
  <c r="F929" i="8"/>
  <c r="E929" i="8"/>
  <c r="F928" i="8"/>
  <c r="E928" i="8"/>
  <c r="F927" i="8"/>
  <c r="E927" i="8"/>
  <c r="F926" i="8"/>
  <c r="E926" i="8"/>
  <c r="F925" i="8"/>
  <c r="E925" i="8"/>
  <c r="F924" i="8"/>
  <c r="E924" i="8"/>
  <c r="F923" i="8"/>
  <c r="E923" i="8"/>
  <c r="F922" i="8"/>
  <c r="E922" i="8"/>
  <c r="F921" i="8"/>
  <c r="E921" i="8"/>
  <c r="F920" i="8"/>
  <c r="E920" i="8"/>
  <c r="F919" i="8"/>
  <c r="E919" i="8"/>
  <c r="F918" i="8"/>
  <c r="E918" i="8"/>
  <c r="F917" i="8"/>
  <c r="E917" i="8"/>
  <c r="F916" i="8"/>
  <c r="E916" i="8"/>
  <c r="F915" i="8"/>
  <c r="E915" i="8"/>
  <c r="F914" i="8"/>
  <c r="E914" i="8"/>
  <c r="F913" i="8"/>
  <c r="E913" i="8"/>
  <c r="F912" i="8"/>
  <c r="E912" i="8"/>
  <c r="F911" i="8"/>
  <c r="E911" i="8"/>
  <c r="F910" i="8"/>
  <c r="E910" i="8"/>
  <c r="F909" i="8"/>
  <c r="E909" i="8"/>
  <c r="F908" i="8"/>
  <c r="E908" i="8"/>
  <c r="F907" i="8"/>
  <c r="E907" i="8"/>
  <c r="F906" i="8"/>
  <c r="E906" i="8"/>
  <c r="F905" i="8"/>
  <c r="E905" i="8"/>
  <c r="F904" i="8"/>
  <c r="E904" i="8"/>
  <c r="F903" i="8"/>
  <c r="E903" i="8"/>
  <c r="F902" i="8"/>
  <c r="E902" i="8"/>
  <c r="F901" i="8"/>
  <c r="E901" i="8"/>
  <c r="F900" i="8"/>
  <c r="E900" i="8"/>
  <c r="F899" i="8"/>
  <c r="E899" i="8"/>
  <c r="F898" i="8"/>
  <c r="E898" i="8"/>
  <c r="F897" i="8"/>
  <c r="E897" i="8"/>
  <c r="F896" i="8"/>
  <c r="E896" i="8"/>
  <c r="F895" i="8"/>
  <c r="E895" i="8"/>
  <c r="F894" i="8"/>
  <c r="E894" i="8"/>
  <c r="F893" i="8"/>
  <c r="E893" i="8"/>
  <c r="F892" i="8"/>
  <c r="E892" i="8"/>
  <c r="F891" i="8"/>
  <c r="E891" i="8"/>
  <c r="F890" i="8"/>
  <c r="E890" i="8"/>
  <c r="F889" i="8"/>
  <c r="E889" i="8"/>
  <c r="F888" i="8"/>
  <c r="E888" i="8"/>
  <c r="F887" i="8"/>
  <c r="E887" i="8"/>
  <c r="F886" i="8"/>
  <c r="E886" i="8"/>
  <c r="F885" i="8"/>
  <c r="E885" i="8"/>
  <c r="F884" i="8"/>
  <c r="E884" i="8"/>
  <c r="F883" i="8"/>
  <c r="E883" i="8"/>
  <c r="F882" i="8"/>
  <c r="E882" i="8"/>
  <c r="F881" i="8"/>
  <c r="E881" i="8"/>
  <c r="F880" i="8"/>
  <c r="E880" i="8"/>
  <c r="F879" i="8"/>
  <c r="E879" i="8"/>
  <c r="F878" i="8"/>
  <c r="E878" i="8"/>
  <c r="F877" i="8"/>
  <c r="E877" i="8"/>
  <c r="F876" i="8"/>
  <c r="E876" i="8"/>
  <c r="F875" i="8"/>
  <c r="E875" i="8"/>
  <c r="F874" i="8"/>
  <c r="E874" i="8"/>
  <c r="F873" i="8"/>
  <c r="E873" i="8"/>
  <c r="F872" i="8"/>
  <c r="E872" i="8"/>
  <c r="F871" i="8"/>
  <c r="E871" i="8"/>
  <c r="F870" i="8"/>
  <c r="E870" i="8"/>
  <c r="F869" i="8"/>
  <c r="E869" i="8"/>
  <c r="F868" i="8"/>
  <c r="E868" i="8"/>
  <c r="F867" i="8"/>
  <c r="E867" i="8"/>
  <c r="F866" i="8"/>
  <c r="E866" i="8"/>
  <c r="F865" i="8"/>
  <c r="E865" i="8"/>
  <c r="F864" i="8"/>
  <c r="E864" i="8"/>
  <c r="F863" i="8"/>
  <c r="E863" i="8"/>
  <c r="F862" i="8"/>
  <c r="E862" i="8"/>
  <c r="F861" i="8"/>
  <c r="E861" i="8"/>
  <c r="F860" i="8"/>
  <c r="E860" i="8"/>
  <c r="F859" i="8"/>
  <c r="E859" i="8"/>
  <c r="F858" i="8"/>
  <c r="E858" i="8"/>
  <c r="F857" i="8"/>
  <c r="E857" i="8"/>
  <c r="F856" i="8"/>
  <c r="E856" i="8"/>
  <c r="F855" i="8"/>
  <c r="E855" i="8"/>
  <c r="F854" i="8"/>
  <c r="E854" i="8"/>
  <c r="F853" i="8"/>
  <c r="E853" i="8"/>
  <c r="F852" i="8"/>
  <c r="E852" i="8"/>
  <c r="F851" i="8"/>
  <c r="E851" i="8"/>
  <c r="F850" i="8"/>
  <c r="E850" i="8"/>
  <c r="F849" i="8"/>
  <c r="E849" i="8"/>
  <c r="F848" i="8"/>
  <c r="E848" i="8"/>
  <c r="F847" i="8"/>
  <c r="E847" i="8"/>
  <c r="F846" i="8"/>
  <c r="E846" i="8"/>
  <c r="F845" i="8"/>
  <c r="E845" i="8"/>
  <c r="F844" i="8"/>
  <c r="E844" i="8"/>
  <c r="F843" i="8"/>
  <c r="E843" i="8"/>
  <c r="F842" i="8"/>
  <c r="E842" i="8"/>
  <c r="F841" i="8"/>
  <c r="E841" i="8"/>
  <c r="F840" i="8"/>
  <c r="E840" i="8"/>
  <c r="F839" i="8"/>
  <c r="E839" i="8"/>
  <c r="F838" i="8"/>
  <c r="E838" i="8"/>
  <c r="F837" i="8"/>
  <c r="E837" i="8"/>
  <c r="F836" i="8"/>
  <c r="E836" i="8"/>
  <c r="F835" i="8"/>
  <c r="E835" i="8"/>
  <c r="F834" i="8"/>
  <c r="E834" i="8"/>
  <c r="F833" i="8"/>
  <c r="E833" i="8"/>
  <c r="F832" i="8"/>
  <c r="E832" i="8"/>
  <c r="F831" i="8"/>
  <c r="E831" i="8"/>
  <c r="F830" i="8"/>
  <c r="E830" i="8"/>
  <c r="F829" i="8"/>
  <c r="E829" i="8"/>
  <c r="F828" i="8"/>
  <c r="E828" i="8"/>
  <c r="F827" i="8"/>
  <c r="E827" i="8"/>
  <c r="F826" i="8"/>
  <c r="E826" i="8"/>
  <c r="F825" i="8"/>
  <c r="E825" i="8"/>
  <c r="F824" i="8"/>
  <c r="E824" i="8"/>
  <c r="F823" i="8"/>
  <c r="E823" i="8"/>
  <c r="F822" i="8"/>
  <c r="E822" i="8"/>
  <c r="F821" i="8"/>
  <c r="E821" i="8"/>
  <c r="F820" i="8"/>
  <c r="E820" i="8"/>
  <c r="F819" i="8"/>
  <c r="E819" i="8"/>
  <c r="F818" i="8"/>
  <c r="E818" i="8"/>
  <c r="F817" i="8"/>
  <c r="E817" i="8"/>
  <c r="F816" i="8"/>
  <c r="E816" i="8"/>
  <c r="F815" i="8"/>
  <c r="E815" i="8"/>
  <c r="F814" i="8"/>
  <c r="E814" i="8"/>
  <c r="F813" i="8"/>
  <c r="E813" i="8"/>
  <c r="F812" i="8"/>
  <c r="E812" i="8"/>
  <c r="F811" i="8"/>
  <c r="E811" i="8"/>
  <c r="F810" i="8"/>
  <c r="E810" i="8"/>
  <c r="F809" i="8"/>
  <c r="E809" i="8"/>
  <c r="F808" i="8"/>
  <c r="E808" i="8"/>
  <c r="F807" i="8"/>
  <c r="E807" i="8"/>
  <c r="F806" i="8"/>
  <c r="E806" i="8"/>
  <c r="F805" i="8"/>
  <c r="E805" i="8"/>
  <c r="F804" i="8"/>
  <c r="E804" i="8"/>
  <c r="F803" i="8"/>
  <c r="E803" i="8"/>
  <c r="F802" i="8"/>
  <c r="E802" i="8"/>
  <c r="F801" i="8"/>
  <c r="E801" i="8"/>
  <c r="F800" i="8"/>
  <c r="E800" i="8"/>
  <c r="F799" i="8"/>
  <c r="E799" i="8"/>
  <c r="F798" i="8"/>
  <c r="E798" i="8"/>
  <c r="F797" i="8"/>
  <c r="E797" i="8"/>
  <c r="F796" i="8"/>
  <c r="E796" i="8"/>
  <c r="F795" i="8"/>
  <c r="E795" i="8"/>
  <c r="F794" i="8"/>
  <c r="E794" i="8"/>
  <c r="F793" i="8"/>
  <c r="E793" i="8"/>
  <c r="F792" i="8"/>
  <c r="E792" i="8"/>
  <c r="F791" i="8"/>
  <c r="E791" i="8"/>
  <c r="F790" i="8"/>
  <c r="E790" i="8"/>
  <c r="F789" i="8"/>
  <c r="E789" i="8"/>
  <c r="F788" i="8"/>
  <c r="E788" i="8"/>
  <c r="F787" i="8"/>
  <c r="E787" i="8"/>
  <c r="F786" i="8"/>
  <c r="E786" i="8"/>
  <c r="F785" i="8"/>
  <c r="E785" i="8"/>
  <c r="F784" i="8"/>
  <c r="E784" i="8"/>
  <c r="F783" i="8"/>
  <c r="E783" i="8"/>
  <c r="F782" i="8"/>
  <c r="E782" i="8"/>
  <c r="F781" i="8"/>
  <c r="E781" i="8"/>
  <c r="F780" i="8"/>
  <c r="E780" i="8"/>
  <c r="F779" i="8"/>
  <c r="E779" i="8"/>
  <c r="F778" i="8"/>
  <c r="E778" i="8"/>
  <c r="F777" i="8"/>
  <c r="E777" i="8"/>
  <c r="F776" i="8"/>
  <c r="E776" i="8"/>
  <c r="F775" i="8"/>
  <c r="E775" i="8"/>
  <c r="F774" i="8"/>
  <c r="E774" i="8"/>
  <c r="F773" i="8"/>
  <c r="E773" i="8"/>
  <c r="F772" i="8"/>
  <c r="E772" i="8"/>
  <c r="F771" i="8"/>
  <c r="E771" i="8"/>
  <c r="F770" i="8"/>
  <c r="E770" i="8"/>
  <c r="F769" i="8"/>
  <c r="E769" i="8"/>
  <c r="F768" i="8"/>
  <c r="E768" i="8"/>
  <c r="F767" i="8"/>
  <c r="E767" i="8"/>
  <c r="F766" i="8"/>
  <c r="E766" i="8"/>
  <c r="F765" i="8"/>
  <c r="E765" i="8"/>
  <c r="F764" i="8"/>
  <c r="E764" i="8"/>
  <c r="F763" i="8"/>
  <c r="E763" i="8"/>
  <c r="F762" i="8"/>
  <c r="E762" i="8"/>
  <c r="F761" i="8"/>
  <c r="E761" i="8"/>
  <c r="F760" i="8"/>
  <c r="E760" i="8"/>
  <c r="F759" i="8"/>
  <c r="E759" i="8"/>
  <c r="F758" i="8"/>
  <c r="E758" i="8"/>
  <c r="F757" i="8"/>
  <c r="E757" i="8"/>
  <c r="F756" i="8"/>
  <c r="E756" i="8"/>
  <c r="F755" i="8"/>
  <c r="E755" i="8"/>
  <c r="F754" i="8"/>
  <c r="E754" i="8"/>
  <c r="F753" i="8"/>
  <c r="E753" i="8"/>
  <c r="F752" i="8"/>
  <c r="E752" i="8"/>
  <c r="F751" i="8"/>
  <c r="E751" i="8"/>
  <c r="F750" i="8"/>
  <c r="E750" i="8"/>
  <c r="F749" i="8"/>
  <c r="E749" i="8"/>
  <c r="F748" i="8"/>
  <c r="E748" i="8"/>
  <c r="F747" i="8"/>
  <c r="E747" i="8"/>
  <c r="F746" i="8"/>
  <c r="E746" i="8"/>
  <c r="F745" i="8"/>
  <c r="E745" i="8"/>
  <c r="F744" i="8"/>
  <c r="E744" i="8"/>
  <c r="F743" i="8"/>
  <c r="E743" i="8"/>
  <c r="F742" i="8"/>
  <c r="E742" i="8"/>
  <c r="F741" i="8"/>
  <c r="E741" i="8"/>
  <c r="F740" i="8"/>
  <c r="E740" i="8"/>
  <c r="F739" i="8"/>
  <c r="E739" i="8"/>
  <c r="F738" i="8"/>
  <c r="E738" i="8"/>
  <c r="F737" i="8"/>
  <c r="E737" i="8"/>
  <c r="F736" i="8"/>
  <c r="E736" i="8"/>
  <c r="F735" i="8"/>
  <c r="E735" i="8"/>
  <c r="F734" i="8"/>
  <c r="E734" i="8"/>
  <c r="F733" i="8"/>
  <c r="E733" i="8"/>
  <c r="F732" i="8"/>
  <c r="E732" i="8"/>
  <c r="F731" i="8"/>
  <c r="E731" i="8"/>
  <c r="F730" i="8"/>
  <c r="E730" i="8"/>
  <c r="F729" i="8"/>
  <c r="E729" i="8"/>
  <c r="F728" i="8"/>
  <c r="E728" i="8"/>
  <c r="F727" i="8"/>
  <c r="E727" i="8"/>
  <c r="F726" i="8"/>
  <c r="E726" i="8"/>
  <c r="F725" i="8"/>
  <c r="E725" i="8"/>
  <c r="F724" i="8"/>
  <c r="E724" i="8"/>
  <c r="F723" i="8"/>
  <c r="E723" i="8"/>
  <c r="F722" i="8"/>
  <c r="E722" i="8"/>
  <c r="F721" i="8"/>
  <c r="E721" i="8"/>
  <c r="F720" i="8"/>
  <c r="E720" i="8"/>
  <c r="F719" i="8"/>
  <c r="E719" i="8"/>
  <c r="F718" i="8"/>
  <c r="E718" i="8"/>
  <c r="F717" i="8"/>
  <c r="E717" i="8"/>
  <c r="F716" i="8"/>
  <c r="E716" i="8"/>
  <c r="F715" i="8"/>
  <c r="E715" i="8"/>
  <c r="F714" i="8"/>
  <c r="E714" i="8"/>
  <c r="F713" i="8"/>
  <c r="E713" i="8"/>
  <c r="F712" i="8"/>
  <c r="E712" i="8"/>
  <c r="F711" i="8"/>
  <c r="E711" i="8"/>
  <c r="F710" i="8"/>
  <c r="E710" i="8"/>
  <c r="F709" i="8"/>
  <c r="E709" i="8"/>
  <c r="F708" i="8"/>
  <c r="E708" i="8"/>
  <c r="F707" i="8"/>
  <c r="E707" i="8"/>
  <c r="F706" i="8"/>
  <c r="E706" i="8"/>
  <c r="F705" i="8"/>
  <c r="E705" i="8"/>
  <c r="F704" i="8"/>
  <c r="E704" i="8"/>
  <c r="F703" i="8"/>
  <c r="E703" i="8"/>
  <c r="F702" i="8"/>
  <c r="E702" i="8"/>
  <c r="F701" i="8"/>
  <c r="E701" i="8"/>
  <c r="F700" i="8"/>
  <c r="E700" i="8"/>
  <c r="F699" i="8"/>
  <c r="E699" i="8"/>
  <c r="F698" i="8"/>
  <c r="E698" i="8"/>
  <c r="F697" i="8"/>
  <c r="E697" i="8"/>
  <c r="F696" i="8"/>
  <c r="E696" i="8"/>
  <c r="F695" i="8"/>
  <c r="E695" i="8"/>
  <c r="F694" i="8"/>
  <c r="E694" i="8"/>
  <c r="F693" i="8"/>
  <c r="E693" i="8"/>
  <c r="F692" i="8"/>
  <c r="E692" i="8"/>
  <c r="F691" i="8"/>
  <c r="E691" i="8"/>
  <c r="F690" i="8"/>
  <c r="E690" i="8"/>
  <c r="F689" i="8"/>
  <c r="E689" i="8"/>
  <c r="F688" i="8"/>
  <c r="E688" i="8"/>
  <c r="F687" i="8"/>
  <c r="E687" i="8"/>
  <c r="F686" i="8"/>
  <c r="E686" i="8"/>
  <c r="F685" i="8"/>
  <c r="E685" i="8"/>
  <c r="F684" i="8"/>
  <c r="E684" i="8"/>
  <c r="F683" i="8"/>
  <c r="E683" i="8"/>
  <c r="F682" i="8"/>
  <c r="E682" i="8"/>
  <c r="F681" i="8"/>
  <c r="E681" i="8"/>
  <c r="F680" i="8"/>
  <c r="E680" i="8"/>
  <c r="F679" i="8"/>
  <c r="E679" i="8"/>
  <c r="F678" i="8"/>
  <c r="E678" i="8"/>
  <c r="F677" i="8"/>
  <c r="E677" i="8"/>
  <c r="F676" i="8"/>
  <c r="E676" i="8"/>
  <c r="F675" i="8"/>
  <c r="E675" i="8"/>
  <c r="F674" i="8"/>
  <c r="E674" i="8"/>
  <c r="F673" i="8"/>
  <c r="E673" i="8"/>
  <c r="F672" i="8"/>
  <c r="E672" i="8"/>
  <c r="F671" i="8"/>
  <c r="E671" i="8"/>
  <c r="F670" i="8"/>
  <c r="E670" i="8"/>
  <c r="F669" i="8"/>
  <c r="E669" i="8"/>
  <c r="F668" i="8"/>
  <c r="E668" i="8"/>
  <c r="F667" i="8"/>
  <c r="E667" i="8"/>
  <c r="F666" i="8"/>
  <c r="E666" i="8"/>
  <c r="F665" i="8"/>
  <c r="E665" i="8"/>
  <c r="F664" i="8"/>
  <c r="E664" i="8"/>
  <c r="F663" i="8"/>
  <c r="E663" i="8"/>
  <c r="F662" i="8"/>
  <c r="E662" i="8"/>
  <c r="F661" i="8"/>
  <c r="E661" i="8"/>
  <c r="F660" i="8"/>
  <c r="E660" i="8"/>
  <c r="F659" i="8"/>
  <c r="E659" i="8"/>
  <c r="F658" i="8"/>
  <c r="E658" i="8"/>
  <c r="F657" i="8"/>
  <c r="E657" i="8"/>
  <c r="F656" i="8"/>
  <c r="E656" i="8"/>
  <c r="F655" i="8"/>
  <c r="E655" i="8"/>
  <c r="F654" i="8"/>
  <c r="E654" i="8"/>
  <c r="F653" i="8"/>
  <c r="E653" i="8"/>
  <c r="F652" i="8"/>
  <c r="E652" i="8"/>
  <c r="F651" i="8"/>
  <c r="E651" i="8"/>
  <c r="F650" i="8"/>
  <c r="E650" i="8"/>
  <c r="F649" i="8"/>
  <c r="E649" i="8"/>
  <c r="F648" i="8"/>
  <c r="E648" i="8"/>
  <c r="F647" i="8"/>
  <c r="E647" i="8"/>
  <c r="F646" i="8"/>
  <c r="E646" i="8"/>
  <c r="F645" i="8"/>
  <c r="E645" i="8"/>
  <c r="F644" i="8"/>
  <c r="E644" i="8"/>
  <c r="F643" i="8"/>
  <c r="E643" i="8"/>
  <c r="F642" i="8"/>
  <c r="E642" i="8"/>
  <c r="F641" i="8"/>
  <c r="E641" i="8"/>
  <c r="F640" i="8"/>
  <c r="E640" i="8"/>
  <c r="F639" i="8"/>
  <c r="E639" i="8"/>
  <c r="F638" i="8"/>
  <c r="E638" i="8"/>
  <c r="F637" i="8"/>
  <c r="E637" i="8"/>
  <c r="F636" i="8"/>
  <c r="E636" i="8"/>
  <c r="F635" i="8"/>
  <c r="E635" i="8"/>
  <c r="F634" i="8"/>
  <c r="E634" i="8"/>
  <c r="F633" i="8"/>
  <c r="E633" i="8"/>
  <c r="F632" i="8"/>
  <c r="E632" i="8"/>
  <c r="F631" i="8"/>
  <c r="E631" i="8"/>
  <c r="F630" i="8"/>
  <c r="E630" i="8"/>
  <c r="F629" i="8"/>
  <c r="E629" i="8"/>
  <c r="F628" i="8"/>
  <c r="E628" i="8"/>
  <c r="F627" i="8"/>
  <c r="E627" i="8"/>
  <c r="F626" i="8"/>
  <c r="E626" i="8"/>
  <c r="F625" i="8"/>
  <c r="E625" i="8"/>
  <c r="F624" i="8"/>
  <c r="E624" i="8"/>
  <c r="F623" i="8"/>
  <c r="E623" i="8"/>
  <c r="F622" i="8"/>
  <c r="E622" i="8"/>
  <c r="F621" i="8"/>
  <c r="E621" i="8"/>
  <c r="F620" i="8"/>
  <c r="E620" i="8"/>
  <c r="F619" i="8"/>
  <c r="E619" i="8"/>
  <c r="F618" i="8"/>
  <c r="E618" i="8"/>
  <c r="F617" i="8"/>
  <c r="E617" i="8"/>
  <c r="F616" i="8"/>
  <c r="E616" i="8"/>
  <c r="F615" i="8"/>
  <c r="E615" i="8"/>
  <c r="F614" i="8"/>
  <c r="E614" i="8"/>
  <c r="F613" i="8"/>
  <c r="E613" i="8"/>
  <c r="F612" i="8"/>
  <c r="E612" i="8"/>
  <c r="F611" i="8"/>
  <c r="E611" i="8"/>
  <c r="F610" i="8"/>
  <c r="E610" i="8"/>
  <c r="F609" i="8"/>
  <c r="E609" i="8"/>
  <c r="F608" i="8"/>
  <c r="E608" i="8"/>
  <c r="F607" i="8"/>
  <c r="E607" i="8"/>
  <c r="F606" i="8"/>
  <c r="E606" i="8"/>
  <c r="F605" i="8"/>
  <c r="E605" i="8"/>
  <c r="F604" i="8"/>
  <c r="E604" i="8"/>
  <c r="F603" i="8"/>
  <c r="E603" i="8"/>
  <c r="F602" i="8"/>
  <c r="E602" i="8"/>
  <c r="F601" i="8"/>
  <c r="E601" i="8"/>
  <c r="F600" i="8"/>
  <c r="E600" i="8"/>
  <c r="F599" i="8"/>
  <c r="E599" i="8"/>
  <c r="F598" i="8"/>
  <c r="E598" i="8"/>
  <c r="F597" i="8"/>
  <c r="E597" i="8"/>
  <c r="F596" i="8"/>
  <c r="E596" i="8"/>
  <c r="F595" i="8"/>
  <c r="E595" i="8"/>
  <c r="F594" i="8"/>
  <c r="E594" i="8"/>
  <c r="F593" i="8"/>
  <c r="E593" i="8"/>
  <c r="F592" i="8"/>
  <c r="E592" i="8"/>
  <c r="F591" i="8"/>
  <c r="E591" i="8"/>
  <c r="F590" i="8"/>
  <c r="E590" i="8"/>
  <c r="F589" i="8"/>
  <c r="E589" i="8"/>
  <c r="F588" i="8"/>
  <c r="E588" i="8"/>
  <c r="F587" i="8"/>
  <c r="E587" i="8"/>
  <c r="F586" i="8"/>
  <c r="E586" i="8"/>
  <c r="F585" i="8"/>
  <c r="E585" i="8"/>
  <c r="F584" i="8"/>
  <c r="E584" i="8"/>
  <c r="F583" i="8"/>
  <c r="E583" i="8"/>
  <c r="F582" i="8"/>
  <c r="E582" i="8"/>
  <c r="F581" i="8"/>
  <c r="E581" i="8"/>
  <c r="F580" i="8"/>
  <c r="E580" i="8"/>
  <c r="F579" i="8"/>
  <c r="E579" i="8"/>
  <c r="F578" i="8"/>
  <c r="E578" i="8"/>
  <c r="F577" i="8"/>
  <c r="E577" i="8"/>
  <c r="F576" i="8"/>
  <c r="E576" i="8"/>
  <c r="F575" i="8"/>
  <c r="E575" i="8"/>
  <c r="F574" i="8"/>
  <c r="E574" i="8"/>
  <c r="F573" i="8"/>
  <c r="E573" i="8"/>
  <c r="F572" i="8"/>
  <c r="E572" i="8"/>
  <c r="F571" i="8"/>
  <c r="E571" i="8"/>
  <c r="F570" i="8"/>
  <c r="E570" i="8"/>
  <c r="F569" i="8"/>
  <c r="E569" i="8"/>
  <c r="F568" i="8"/>
  <c r="E568" i="8"/>
  <c r="F567" i="8"/>
  <c r="E567" i="8"/>
  <c r="F566" i="8"/>
  <c r="E566" i="8"/>
  <c r="F565" i="8"/>
  <c r="E565" i="8"/>
  <c r="F564" i="8"/>
  <c r="E564" i="8"/>
  <c r="F563" i="8"/>
  <c r="E563" i="8"/>
  <c r="F562" i="8"/>
  <c r="E562" i="8"/>
  <c r="F561" i="8"/>
  <c r="E561" i="8"/>
  <c r="F560" i="8"/>
  <c r="E560" i="8"/>
  <c r="F559" i="8"/>
  <c r="E559" i="8"/>
  <c r="F558" i="8"/>
  <c r="E558" i="8"/>
  <c r="F557" i="8"/>
  <c r="E557" i="8"/>
  <c r="F556" i="8"/>
  <c r="E556" i="8"/>
  <c r="F555" i="8"/>
  <c r="E555" i="8"/>
  <c r="F554" i="8"/>
  <c r="E554" i="8"/>
  <c r="F553" i="8"/>
  <c r="E553" i="8"/>
  <c r="F552" i="8"/>
  <c r="E552" i="8"/>
  <c r="F551" i="8"/>
  <c r="E551" i="8"/>
  <c r="F550" i="8"/>
  <c r="E550" i="8"/>
  <c r="F549" i="8"/>
  <c r="E549" i="8"/>
  <c r="F548" i="8"/>
  <c r="E548" i="8"/>
  <c r="F547" i="8"/>
  <c r="E547" i="8"/>
  <c r="F546" i="8"/>
  <c r="E546" i="8"/>
  <c r="F545" i="8"/>
  <c r="E545" i="8"/>
  <c r="F544" i="8"/>
  <c r="E544" i="8"/>
  <c r="F543" i="8"/>
  <c r="E543" i="8"/>
  <c r="F542" i="8"/>
  <c r="E542" i="8"/>
  <c r="F541" i="8"/>
  <c r="E541" i="8"/>
  <c r="F540" i="8"/>
  <c r="E540" i="8"/>
  <c r="F539" i="8"/>
  <c r="E539" i="8"/>
  <c r="F538" i="8"/>
  <c r="E538" i="8"/>
  <c r="F537" i="8"/>
  <c r="E537" i="8"/>
  <c r="F536" i="8"/>
  <c r="E536" i="8"/>
  <c r="F535" i="8"/>
  <c r="E535" i="8"/>
  <c r="F534" i="8"/>
  <c r="E534" i="8"/>
  <c r="F533" i="8"/>
  <c r="E533" i="8"/>
  <c r="F532" i="8"/>
  <c r="E532" i="8"/>
  <c r="F531" i="8"/>
  <c r="E531" i="8"/>
  <c r="F530" i="8"/>
  <c r="E530" i="8"/>
  <c r="F529" i="8"/>
  <c r="E529" i="8"/>
  <c r="F528" i="8"/>
  <c r="E528" i="8"/>
  <c r="F527" i="8"/>
  <c r="E527" i="8"/>
  <c r="F526" i="8"/>
  <c r="E526" i="8"/>
  <c r="F525" i="8"/>
  <c r="E525" i="8"/>
  <c r="F524" i="8"/>
  <c r="E524" i="8"/>
  <c r="F523" i="8"/>
  <c r="E523" i="8"/>
  <c r="F522" i="8"/>
  <c r="E522" i="8"/>
  <c r="F521" i="8"/>
  <c r="E521" i="8"/>
  <c r="F520" i="8"/>
  <c r="E520" i="8"/>
  <c r="F519" i="8"/>
  <c r="E519" i="8"/>
  <c r="F518" i="8"/>
  <c r="E518" i="8"/>
  <c r="F517" i="8"/>
  <c r="E517" i="8"/>
  <c r="F516" i="8"/>
  <c r="E516" i="8"/>
  <c r="F515" i="8"/>
  <c r="E515" i="8"/>
  <c r="F514" i="8"/>
  <c r="E514" i="8"/>
  <c r="F513" i="8"/>
  <c r="E513" i="8"/>
  <c r="F512" i="8"/>
  <c r="E512" i="8"/>
  <c r="F511" i="8"/>
  <c r="E511" i="8"/>
  <c r="F510" i="8"/>
  <c r="E510" i="8"/>
  <c r="F509" i="8"/>
  <c r="E509" i="8"/>
  <c r="F508" i="8"/>
  <c r="E508" i="8"/>
  <c r="F507" i="8"/>
  <c r="E507" i="8"/>
  <c r="F506" i="8"/>
  <c r="E506" i="8"/>
  <c r="F505" i="8"/>
  <c r="E505" i="8"/>
  <c r="F504" i="8"/>
  <c r="E504" i="8"/>
  <c r="F503" i="8"/>
  <c r="E503" i="8"/>
  <c r="F502" i="8"/>
  <c r="E502" i="8"/>
  <c r="F501" i="8"/>
  <c r="E501" i="8"/>
  <c r="F500" i="8"/>
  <c r="E500" i="8"/>
  <c r="F499" i="8"/>
  <c r="E499" i="8"/>
  <c r="F498" i="8"/>
  <c r="E498" i="8"/>
  <c r="F497" i="8"/>
  <c r="E497" i="8"/>
  <c r="F496" i="8"/>
  <c r="E496" i="8"/>
  <c r="F495" i="8"/>
  <c r="E495" i="8"/>
  <c r="F494" i="8"/>
  <c r="E494" i="8"/>
  <c r="F493" i="8"/>
  <c r="E493" i="8"/>
  <c r="F492" i="8"/>
  <c r="E492" i="8"/>
  <c r="F491" i="8"/>
  <c r="E491" i="8"/>
  <c r="F490" i="8"/>
  <c r="E490" i="8"/>
  <c r="F489" i="8"/>
  <c r="E489" i="8"/>
  <c r="F488" i="8"/>
  <c r="E488" i="8"/>
  <c r="F487" i="8"/>
  <c r="E487" i="8"/>
  <c r="F486" i="8"/>
  <c r="E486" i="8"/>
  <c r="F485" i="8"/>
  <c r="E485" i="8"/>
  <c r="F484" i="8"/>
  <c r="E484" i="8"/>
  <c r="F483" i="8"/>
  <c r="E483" i="8"/>
  <c r="F482" i="8"/>
  <c r="E482" i="8"/>
  <c r="F481" i="8"/>
  <c r="E481" i="8"/>
  <c r="F480" i="8"/>
  <c r="E480" i="8"/>
  <c r="F479" i="8"/>
  <c r="E479" i="8"/>
  <c r="F478" i="8"/>
  <c r="E478" i="8"/>
  <c r="F477" i="8"/>
  <c r="E477" i="8"/>
  <c r="F476" i="8"/>
  <c r="E476" i="8"/>
  <c r="F475" i="8"/>
  <c r="E475" i="8"/>
  <c r="F474" i="8"/>
  <c r="E474" i="8"/>
  <c r="F473" i="8"/>
  <c r="E473" i="8"/>
  <c r="F472" i="8"/>
  <c r="E472" i="8"/>
  <c r="F471" i="8"/>
  <c r="E471" i="8"/>
  <c r="F470" i="8"/>
  <c r="E470" i="8"/>
  <c r="F469" i="8"/>
  <c r="E469" i="8"/>
  <c r="F468" i="8"/>
  <c r="E468" i="8"/>
  <c r="F467" i="8"/>
  <c r="E467" i="8"/>
  <c r="F466" i="8"/>
  <c r="E466" i="8"/>
  <c r="F465" i="8"/>
  <c r="E465" i="8"/>
  <c r="F464" i="8"/>
  <c r="E464" i="8"/>
  <c r="F463" i="8"/>
  <c r="E463" i="8"/>
  <c r="F462" i="8"/>
  <c r="E462" i="8"/>
  <c r="F461" i="8"/>
  <c r="E461" i="8"/>
  <c r="F460" i="8"/>
  <c r="E460" i="8"/>
  <c r="F459" i="8"/>
  <c r="E459" i="8"/>
  <c r="F458" i="8"/>
  <c r="E458" i="8"/>
  <c r="F457" i="8"/>
  <c r="E457" i="8"/>
  <c r="F456" i="8"/>
  <c r="E456" i="8"/>
  <c r="F455" i="8"/>
  <c r="E455" i="8"/>
  <c r="F454" i="8"/>
  <c r="E454" i="8"/>
  <c r="F453" i="8"/>
  <c r="E453" i="8"/>
  <c r="F452" i="8"/>
  <c r="E452" i="8"/>
  <c r="F451" i="8"/>
  <c r="E451" i="8"/>
  <c r="F450" i="8"/>
  <c r="E450" i="8"/>
  <c r="F449" i="8"/>
  <c r="E449" i="8"/>
  <c r="F448" i="8"/>
  <c r="E448" i="8"/>
  <c r="F447" i="8"/>
  <c r="E447" i="8"/>
  <c r="F446" i="8"/>
  <c r="E446" i="8"/>
  <c r="F445" i="8"/>
  <c r="E445" i="8"/>
  <c r="F444" i="8"/>
  <c r="E444" i="8"/>
  <c r="F443" i="8"/>
  <c r="E443" i="8"/>
  <c r="F442" i="8"/>
  <c r="E442" i="8"/>
  <c r="F441" i="8"/>
  <c r="E441" i="8"/>
  <c r="F440" i="8"/>
  <c r="E440" i="8"/>
  <c r="F439" i="8"/>
  <c r="E439" i="8"/>
  <c r="F438" i="8"/>
  <c r="E438" i="8"/>
  <c r="F437" i="8"/>
  <c r="E437" i="8"/>
  <c r="F436" i="8"/>
  <c r="E436" i="8"/>
  <c r="F435" i="8"/>
  <c r="E435" i="8"/>
  <c r="F434" i="8"/>
  <c r="E434" i="8"/>
  <c r="F433" i="8"/>
  <c r="E433" i="8"/>
  <c r="F432" i="8"/>
  <c r="E432" i="8"/>
  <c r="F431" i="8"/>
  <c r="E431" i="8"/>
  <c r="F430" i="8"/>
  <c r="E430" i="8"/>
  <c r="F429" i="8"/>
  <c r="E429" i="8"/>
  <c r="F428" i="8"/>
  <c r="E428" i="8"/>
  <c r="F427" i="8"/>
  <c r="E427" i="8"/>
  <c r="F426" i="8"/>
  <c r="E426" i="8"/>
  <c r="F425" i="8"/>
  <c r="E425" i="8"/>
  <c r="F424" i="8"/>
  <c r="E424" i="8"/>
  <c r="F423" i="8"/>
  <c r="E423" i="8"/>
  <c r="F422" i="8"/>
  <c r="E422" i="8"/>
  <c r="F421" i="8"/>
  <c r="E421" i="8"/>
  <c r="F420" i="8"/>
  <c r="E420" i="8"/>
  <c r="F419" i="8"/>
  <c r="E419" i="8"/>
  <c r="F418" i="8"/>
  <c r="E418" i="8"/>
  <c r="F417" i="8"/>
  <c r="E417" i="8"/>
  <c r="F416" i="8"/>
  <c r="E416" i="8"/>
  <c r="F415" i="8"/>
  <c r="E415" i="8"/>
  <c r="F414" i="8"/>
  <c r="E414" i="8"/>
  <c r="F413" i="8"/>
  <c r="E413" i="8"/>
  <c r="F412" i="8"/>
  <c r="E412" i="8"/>
  <c r="F411" i="8"/>
  <c r="E411" i="8"/>
  <c r="F410" i="8"/>
  <c r="E410" i="8"/>
  <c r="F409" i="8"/>
  <c r="E409" i="8"/>
  <c r="F408" i="8"/>
  <c r="E408" i="8"/>
  <c r="F407" i="8"/>
  <c r="E407" i="8"/>
  <c r="F406" i="8"/>
  <c r="E406" i="8"/>
  <c r="F405" i="8"/>
  <c r="E405" i="8"/>
  <c r="F404" i="8"/>
  <c r="E404" i="8"/>
  <c r="F403" i="8"/>
  <c r="E403" i="8"/>
  <c r="F402" i="8"/>
  <c r="E402" i="8"/>
  <c r="F401" i="8"/>
  <c r="E401" i="8"/>
  <c r="F400" i="8"/>
  <c r="E400" i="8"/>
  <c r="F399" i="8"/>
  <c r="E399" i="8"/>
  <c r="F398" i="8"/>
  <c r="E398" i="8"/>
  <c r="F397" i="8"/>
  <c r="E397" i="8"/>
  <c r="F396" i="8"/>
  <c r="E396" i="8"/>
  <c r="F395" i="8"/>
  <c r="E395" i="8"/>
  <c r="F394" i="8"/>
  <c r="E394" i="8"/>
  <c r="F393" i="8"/>
  <c r="E393" i="8"/>
  <c r="F392" i="8"/>
  <c r="E392" i="8"/>
  <c r="F391" i="8"/>
  <c r="E391" i="8"/>
  <c r="F390" i="8"/>
  <c r="E390" i="8"/>
  <c r="F389" i="8"/>
  <c r="E389" i="8"/>
  <c r="F388" i="8"/>
  <c r="E388" i="8"/>
  <c r="F387" i="8"/>
  <c r="E387" i="8"/>
  <c r="F386" i="8"/>
  <c r="E386" i="8"/>
  <c r="F385" i="8"/>
  <c r="E385" i="8"/>
  <c r="F384" i="8"/>
  <c r="E384" i="8"/>
  <c r="F383" i="8"/>
  <c r="E383" i="8"/>
  <c r="F382" i="8"/>
  <c r="E382" i="8"/>
  <c r="F381" i="8"/>
  <c r="E381" i="8"/>
  <c r="F380" i="8"/>
  <c r="E380" i="8"/>
  <c r="F379" i="8"/>
  <c r="E379" i="8"/>
  <c r="F378" i="8"/>
  <c r="E378" i="8"/>
  <c r="F377" i="8"/>
  <c r="E377" i="8"/>
  <c r="F376" i="8"/>
  <c r="E376" i="8"/>
  <c r="F375" i="8"/>
  <c r="E375" i="8"/>
  <c r="F374" i="8"/>
  <c r="E374" i="8"/>
  <c r="F373" i="8"/>
  <c r="E373" i="8"/>
  <c r="F372" i="8"/>
  <c r="E372" i="8"/>
  <c r="F371" i="8"/>
  <c r="E371" i="8"/>
  <c r="F370" i="8"/>
  <c r="E370" i="8"/>
  <c r="F369" i="8"/>
  <c r="E369" i="8"/>
  <c r="F368" i="8"/>
  <c r="E368" i="8"/>
  <c r="F367" i="8"/>
  <c r="E367" i="8"/>
  <c r="F366" i="8"/>
  <c r="E366" i="8"/>
  <c r="F365" i="8"/>
  <c r="E365" i="8"/>
  <c r="F364" i="8"/>
  <c r="E364" i="8"/>
  <c r="F363" i="8"/>
  <c r="E363" i="8"/>
  <c r="F362" i="8"/>
  <c r="E362" i="8"/>
  <c r="F361" i="8"/>
  <c r="E361" i="8"/>
  <c r="F360" i="8"/>
  <c r="E360" i="8"/>
  <c r="F359" i="8"/>
  <c r="E359" i="8"/>
  <c r="F358" i="8"/>
  <c r="E358" i="8"/>
  <c r="F357" i="8"/>
  <c r="E357" i="8"/>
  <c r="F356" i="8"/>
  <c r="E356" i="8"/>
  <c r="F355" i="8"/>
  <c r="E355" i="8"/>
  <c r="F354" i="8"/>
  <c r="E354" i="8"/>
  <c r="F353" i="8"/>
  <c r="E353" i="8"/>
  <c r="F352" i="8"/>
  <c r="E352" i="8"/>
  <c r="F351" i="8"/>
  <c r="E351" i="8"/>
  <c r="F350" i="8"/>
  <c r="E350" i="8"/>
  <c r="F349" i="8"/>
  <c r="E349" i="8"/>
  <c r="F348" i="8"/>
  <c r="E348" i="8"/>
  <c r="F347" i="8"/>
  <c r="E347" i="8"/>
  <c r="F346" i="8"/>
  <c r="E346" i="8"/>
  <c r="F345" i="8"/>
  <c r="E345" i="8"/>
  <c r="F344" i="8"/>
  <c r="E344" i="8"/>
  <c r="F343" i="8"/>
  <c r="E343" i="8"/>
  <c r="F342" i="8"/>
  <c r="E342" i="8"/>
  <c r="F341" i="8"/>
  <c r="E341" i="8"/>
  <c r="F340" i="8"/>
  <c r="E340" i="8"/>
  <c r="F339" i="8"/>
  <c r="E339" i="8"/>
  <c r="F338" i="8"/>
  <c r="E338" i="8"/>
  <c r="F337" i="8"/>
  <c r="E337" i="8"/>
  <c r="F336" i="8"/>
  <c r="E336" i="8"/>
  <c r="F335" i="8"/>
  <c r="E335" i="8"/>
  <c r="F334" i="8"/>
  <c r="E334" i="8"/>
  <c r="F333" i="8"/>
  <c r="E333" i="8"/>
  <c r="F332" i="8"/>
  <c r="E332" i="8"/>
  <c r="F331" i="8"/>
  <c r="E331" i="8"/>
  <c r="F330" i="8"/>
  <c r="E330" i="8"/>
  <c r="F329" i="8"/>
  <c r="E329" i="8"/>
  <c r="F328" i="8"/>
  <c r="E328" i="8"/>
  <c r="F327" i="8"/>
  <c r="E327" i="8"/>
  <c r="F326" i="8"/>
  <c r="E326" i="8"/>
  <c r="F325" i="8"/>
  <c r="E325" i="8"/>
  <c r="F324" i="8"/>
  <c r="E324" i="8"/>
  <c r="F323" i="8"/>
  <c r="E323" i="8"/>
  <c r="F322" i="8"/>
  <c r="E322" i="8"/>
  <c r="F321" i="8"/>
  <c r="E321" i="8"/>
  <c r="F320" i="8"/>
  <c r="E320" i="8"/>
  <c r="F319" i="8"/>
  <c r="E319" i="8"/>
  <c r="F318" i="8"/>
  <c r="E318" i="8"/>
  <c r="F317" i="8"/>
  <c r="E317" i="8"/>
  <c r="F316" i="8"/>
  <c r="E316" i="8"/>
  <c r="F315" i="8"/>
  <c r="E315" i="8"/>
  <c r="F314" i="8"/>
  <c r="E314" i="8"/>
  <c r="F313" i="8"/>
  <c r="E313" i="8"/>
  <c r="F312" i="8"/>
  <c r="E312" i="8"/>
  <c r="F311" i="8"/>
  <c r="E311" i="8"/>
  <c r="F310" i="8"/>
  <c r="E310" i="8"/>
  <c r="F309" i="8"/>
  <c r="E309" i="8"/>
  <c r="F308" i="8"/>
  <c r="E308" i="8"/>
  <c r="F307" i="8"/>
  <c r="E307" i="8"/>
  <c r="F306" i="8"/>
  <c r="E306" i="8"/>
  <c r="F305" i="8"/>
  <c r="E305" i="8"/>
  <c r="F304" i="8"/>
  <c r="E304" i="8"/>
  <c r="F303" i="8"/>
  <c r="E303" i="8"/>
  <c r="F302" i="8"/>
  <c r="E302" i="8"/>
  <c r="F301" i="8"/>
  <c r="E301" i="8"/>
  <c r="F300" i="8"/>
  <c r="E300" i="8"/>
  <c r="F299" i="8"/>
  <c r="E299" i="8"/>
  <c r="F298" i="8"/>
  <c r="E298" i="8"/>
  <c r="F297" i="8"/>
  <c r="E297" i="8"/>
  <c r="F296" i="8"/>
  <c r="E296" i="8"/>
  <c r="F295" i="8"/>
  <c r="E295" i="8"/>
  <c r="F294" i="8"/>
  <c r="E294" i="8"/>
  <c r="F293" i="8"/>
  <c r="E293" i="8"/>
  <c r="F292" i="8"/>
  <c r="E292" i="8"/>
  <c r="F291" i="8"/>
  <c r="E291" i="8"/>
  <c r="F290" i="8"/>
  <c r="E290" i="8"/>
  <c r="F289" i="8"/>
  <c r="E289" i="8"/>
  <c r="F288" i="8"/>
  <c r="E288" i="8"/>
  <c r="F287" i="8"/>
  <c r="E287" i="8"/>
  <c r="F286" i="8"/>
  <c r="E286" i="8"/>
  <c r="F285" i="8"/>
  <c r="E285" i="8"/>
  <c r="F284" i="8"/>
  <c r="E284" i="8"/>
  <c r="F283" i="8"/>
  <c r="E283" i="8"/>
  <c r="F282" i="8"/>
  <c r="E282" i="8"/>
  <c r="F281" i="8"/>
  <c r="E281" i="8"/>
  <c r="F280" i="8"/>
  <c r="E280" i="8"/>
  <c r="F279" i="8"/>
  <c r="E279" i="8"/>
  <c r="F278" i="8"/>
  <c r="E278" i="8"/>
  <c r="F277" i="8"/>
  <c r="E277" i="8"/>
  <c r="F276" i="8"/>
  <c r="E276" i="8"/>
  <c r="F275" i="8"/>
  <c r="E275" i="8"/>
  <c r="F274" i="8"/>
  <c r="E274" i="8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C5" i="8" s="1"/>
  <c r="E5" i="3" s="1"/>
  <c r="E8" i="3" s="1"/>
  <c r="E14" i="3" s="1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G13" i="7"/>
  <c r="D21" i="2" s="1"/>
  <c r="G11" i="7"/>
  <c r="G9" i="7"/>
  <c r="F9" i="7"/>
  <c r="E9" i="7"/>
  <c r="D9" i="7"/>
  <c r="G8" i="7"/>
  <c r="G10" i="7" s="1"/>
  <c r="F8" i="7"/>
  <c r="E8" i="7"/>
  <c r="E10" i="7" s="1"/>
  <c r="D8" i="7"/>
  <c r="D10" i="7" s="1"/>
  <c r="G7" i="7"/>
  <c r="F7" i="7"/>
  <c r="E7" i="7"/>
  <c r="D7" i="7"/>
  <c r="G6" i="7"/>
  <c r="F6" i="7"/>
  <c r="E6" i="7"/>
  <c r="D6" i="7"/>
  <c r="G5" i="7"/>
  <c r="G12" i="7" s="1"/>
  <c r="F5" i="7"/>
  <c r="F10" i="7" s="1"/>
  <c r="E5" i="7"/>
  <c r="D5" i="7"/>
  <c r="F106" i="6"/>
  <c r="E106" i="6"/>
  <c r="D106" i="6"/>
  <c r="G99" i="6"/>
  <c r="K86" i="6"/>
  <c r="J86" i="6"/>
  <c r="I86" i="6"/>
  <c r="H86" i="6"/>
  <c r="G86" i="6"/>
  <c r="K78" i="6"/>
  <c r="J78" i="6"/>
  <c r="I78" i="6"/>
  <c r="H78" i="6"/>
  <c r="G78" i="6"/>
  <c r="G29" i="3" s="1"/>
  <c r="G71" i="6"/>
  <c r="G28" i="3" s="1"/>
  <c r="F67" i="6"/>
  <c r="E67" i="6"/>
  <c r="D67" i="6"/>
  <c r="G65" i="6"/>
  <c r="H65" i="6" s="1"/>
  <c r="I65" i="6" s="1"/>
  <c r="J65" i="6" s="1"/>
  <c r="K65" i="6" s="1"/>
  <c r="I64" i="6"/>
  <c r="J64" i="6" s="1"/>
  <c r="K64" i="6" s="1"/>
  <c r="H64" i="6"/>
  <c r="G64" i="6"/>
  <c r="I63" i="6"/>
  <c r="J63" i="6" s="1"/>
  <c r="K63" i="6" s="1"/>
  <c r="H63" i="6"/>
  <c r="G63" i="6"/>
  <c r="H60" i="6"/>
  <c r="I60" i="6" s="1"/>
  <c r="J60" i="6" s="1"/>
  <c r="K60" i="6" s="1"/>
  <c r="G60" i="6"/>
  <c r="G59" i="6"/>
  <c r="G55" i="6"/>
  <c r="H55" i="6" s="1"/>
  <c r="I55" i="6" s="1"/>
  <c r="J55" i="6" s="1"/>
  <c r="K55" i="6" s="1"/>
  <c r="G52" i="6"/>
  <c r="H52" i="6" s="1"/>
  <c r="I52" i="6" s="1"/>
  <c r="J52" i="6" s="1"/>
  <c r="K52" i="6" s="1"/>
  <c r="G51" i="6"/>
  <c r="H51" i="6" s="1"/>
  <c r="G47" i="6"/>
  <c r="G37" i="6"/>
  <c r="G34" i="6"/>
  <c r="H34" i="6" s="1"/>
  <c r="I34" i="6" s="1"/>
  <c r="J34" i="6" s="1"/>
  <c r="K34" i="6" s="1"/>
  <c r="G33" i="6"/>
  <c r="H33" i="6" s="1"/>
  <c r="I33" i="6" s="1"/>
  <c r="J33" i="6" s="1"/>
  <c r="K33" i="6" s="1"/>
  <c r="H21" i="6"/>
  <c r="I21" i="6" s="1"/>
  <c r="J21" i="6" s="1"/>
  <c r="K21" i="6" s="1"/>
  <c r="G21" i="6"/>
  <c r="I15" i="6"/>
  <c r="J15" i="6" s="1"/>
  <c r="K15" i="6" s="1"/>
  <c r="H15" i="6"/>
  <c r="G15" i="6"/>
  <c r="F13" i="6"/>
  <c r="G13" i="6" s="1"/>
  <c r="H13" i="6" s="1"/>
  <c r="I13" i="6" s="1"/>
  <c r="J13" i="6" s="1"/>
  <c r="E13" i="6"/>
  <c r="D13" i="6"/>
  <c r="G12" i="6"/>
  <c r="G8" i="6"/>
  <c r="G21" i="3" s="1"/>
  <c r="F8" i="6"/>
  <c r="E8" i="6"/>
  <c r="D8" i="6"/>
  <c r="G5" i="6"/>
  <c r="G46" i="6" s="1"/>
  <c r="H53" i="5"/>
  <c r="I53" i="5" s="1"/>
  <c r="J53" i="5" s="1"/>
  <c r="G53" i="5"/>
  <c r="F53" i="5"/>
  <c r="G34" i="5"/>
  <c r="H34" i="5" s="1"/>
  <c r="I34" i="5" s="1"/>
  <c r="J34" i="5" s="1"/>
  <c r="K34" i="5" s="1"/>
  <c r="K30" i="5"/>
  <c r="J30" i="5"/>
  <c r="I30" i="5"/>
  <c r="H30" i="5"/>
  <c r="G30" i="5"/>
  <c r="F30" i="5"/>
  <c r="E30" i="5"/>
  <c r="D30" i="5"/>
  <c r="F29" i="5"/>
  <c r="E29" i="5"/>
  <c r="D29" i="5"/>
  <c r="F28" i="5"/>
  <c r="E28" i="5"/>
  <c r="D28" i="5"/>
  <c r="K25" i="5"/>
  <c r="J25" i="5"/>
  <c r="I25" i="5"/>
  <c r="H25" i="5"/>
  <c r="G25" i="5"/>
  <c r="F23" i="5"/>
  <c r="E23" i="5"/>
  <c r="D23" i="5"/>
  <c r="K21" i="5"/>
  <c r="J21" i="5"/>
  <c r="I21" i="5"/>
  <c r="H21" i="5"/>
  <c r="G21" i="5"/>
  <c r="F19" i="5"/>
  <c r="E19" i="5"/>
  <c r="D19" i="5"/>
  <c r="K18" i="5"/>
  <c r="J18" i="5"/>
  <c r="I18" i="5"/>
  <c r="H18" i="5"/>
  <c r="G18" i="5"/>
  <c r="F17" i="5"/>
  <c r="E17" i="5"/>
  <c r="E20" i="5" s="1"/>
  <c r="D17" i="5"/>
  <c r="D20" i="5" s="1"/>
  <c r="D24" i="5" s="1"/>
  <c r="E13" i="5"/>
  <c r="E11" i="5" s="1"/>
  <c r="J11" i="5"/>
  <c r="K44" i="5" s="1"/>
  <c r="E10" i="5"/>
  <c r="J9" i="5"/>
  <c r="J8" i="5"/>
  <c r="J10" i="5" s="1"/>
  <c r="E8" i="5"/>
  <c r="J7" i="5"/>
  <c r="H53" i="4"/>
  <c r="I53" i="4" s="1"/>
  <c r="J53" i="4" s="1"/>
  <c r="G53" i="4"/>
  <c r="F53" i="4"/>
  <c r="G34" i="4"/>
  <c r="H34" i="4" s="1"/>
  <c r="I34" i="4" s="1"/>
  <c r="J34" i="4" s="1"/>
  <c r="K34" i="4" s="1"/>
  <c r="K30" i="4"/>
  <c r="J30" i="4"/>
  <c r="I30" i="4"/>
  <c r="H30" i="4"/>
  <c r="G30" i="4"/>
  <c r="F30" i="4"/>
  <c r="E30" i="4"/>
  <c r="D30" i="4"/>
  <c r="F29" i="4"/>
  <c r="E29" i="4"/>
  <c r="D29" i="4"/>
  <c r="F28" i="4"/>
  <c r="E28" i="4"/>
  <c r="D28" i="4"/>
  <c r="K25" i="4"/>
  <c r="J25" i="4"/>
  <c r="I25" i="4"/>
  <c r="H25" i="4"/>
  <c r="G25" i="4"/>
  <c r="F24" i="4"/>
  <c r="F23" i="4"/>
  <c r="E23" i="4"/>
  <c r="D23" i="4"/>
  <c r="K21" i="4"/>
  <c r="J21" i="4"/>
  <c r="I21" i="4"/>
  <c r="H21" i="4"/>
  <c r="G21" i="4"/>
  <c r="F20" i="4"/>
  <c r="E20" i="4"/>
  <c r="E24" i="4" s="1"/>
  <c r="E25" i="4" s="1"/>
  <c r="D20" i="4"/>
  <c r="D24" i="4" s="1"/>
  <c r="D25" i="4" s="1"/>
  <c r="F19" i="4"/>
  <c r="E19" i="4"/>
  <c r="D19" i="4"/>
  <c r="K18" i="4"/>
  <c r="J18" i="4"/>
  <c r="I18" i="4"/>
  <c r="H18" i="4"/>
  <c r="G18" i="4"/>
  <c r="F18" i="4"/>
  <c r="F17" i="4"/>
  <c r="G17" i="4" s="1"/>
  <c r="E17" i="4"/>
  <c r="D17" i="4"/>
  <c r="E13" i="4"/>
  <c r="E11" i="4" s="1"/>
  <c r="J11" i="4"/>
  <c r="K44" i="4" s="1"/>
  <c r="J10" i="4"/>
  <c r="E9" i="4" s="1"/>
  <c r="E12" i="4" s="1"/>
  <c r="E14" i="4" s="1"/>
  <c r="E10" i="4"/>
  <c r="J9" i="4"/>
  <c r="J8" i="4"/>
  <c r="K47" i="4" s="1"/>
  <c r="E8" i="4"/>
  <c r="J7" i="4"/>
  <c r="H53" i="3"/>
  <c r="I53" i="3" s="1"/>
  <c r="J53" i="3" s="1"/>
  <c r="G53" i="3"/>
  <c r="F53" i="3"/>
  <c r="K47" i="3"/>
  <c r="K44" i="3"/>
  <c r="G34" i="3"/>
  <c r="H34" i="3" s="1"/>
  <c r="I34" i="3" s="1"/>
  <c r="J34" i="3" s="1"/>
  <c r="K34" i="3" s="1"/>
  <c r="F30" i="3"/>
  <c r="E30" i="3"/>
  <c r="D30" i="3"/>
  <c r="K29" i="3"/>
  <c r="J29" i="3"/>
  <c r="I29" i="3"/>
  <c r="H29" i="3"/>
  <c r="F29" i="3"/>
  <c r="E29" i="3"/>
  <c r="D29" i="3"/>
  <c r="F28" i="3"/>
  <c r="E28" i="3"/>
  <c r="D28" i="3"/>
  <c r="J25" i="3"/>
  <c r="G25" i="3"/>
  <c r="F23" i="3"/>
  <c r="E23" i="3"/>
  <c r="D23" i="3"/>
  <c r="F20" i="3"/>
  <c r="E20" i="3"/>
  <c r="D20" i="3"/>
  <c r="D24" i="3" s="1"/>
  <c r="D25" i="3" s="1"/>
  <c r="F19" i="3"/>
  <c r="E19" i="3"/>
  <c r="D19" i="3"/>
  <c r="K18" i="3"/>
  <c r="J18" i="3"/>
  <c r="I18" i="3"/>
  <c r="H18" i="3"/>
  <c r="G18" i="3"/>
  <c r="F17" i="3"/>
  <c r="E17" i="3"/>
  <c r="D17" i="3"/>
  <c r="E13" i="3"/>
  <c r="E12" i="3"/>
  <c r="E11" i="3"/>
  <c r="E10" i="3"/>
  <c r="E9" i="3"/>
  <c r="C21" i="2"/>
  <c r="C20" i="2"/>
  <c r="C19" i="2"/>
  <c r="C18" i="2"/>
  <c r="E56" i="3" l="1"/>
  <c r="K35" i="3"/>
  <c r="I35" i="3"/>
  <c r="H35" i="3"/>
  <c r="J35" i="3"/>
  <c r="G35" i="3"/>
  <c r="E14" i="9"/>
  <c r="M40" i="9" s="1"/>
  <c r="M41" i="9" s="1"/>
  <c r="H47" i="6"/>
  <c r="D25" i="5"/>
  <c r="D27" i="5"/>
  <c r="D31" i="5" s="1"/>
  <c r="H37" i="6"/>
  <c r="H85" i="6"/>
  <c r="I51" i="6"/>
  <c r="E21" i="5"/>
  <c r="E24" i="5"/>
  <c r="F18" i="5"/>
  <c r="G17" i="5"/>
  <c r="E12" i="9"/>
  <c r="G24" i="3"/>
  <c r="G27" i="3" s="1"/>
  <c r="E56" i="4"/>
  <c r="I35" i="4"/>
  <c r="G35" i="4"/>
  <c r="K35" i="4"/>
  <c r="J35" i="4"/>
  <c r="H35" i="4"/>
  <c r="G28" i="4"/>
  <c r="G19" i="4"/>
  <c r="G23" i="4"/>
  <c r="G24" i="4" s="1"/>
  <c r="G27" i="4" s="1"/>
  <c r="G29" i="4"/>
  <c r="H17" i="4"/>
  <c r="G20" i="4"/>
  <c r="H46" i="6"/>
  <c r="D27" i="3"/>
  <c r="D31" i="3" s="1"/>
  <c r="F25" i="4"/>
  <c r="F27" i="4"/>
  <c r="F31" i="4" s="1"/>
  <c r="G56" i="6"/>
  <c r="G85" i="6"/>
  <c r="E18" i="5"/>
  <c r="E21" i="3"/>
  <c r="E24" i="3"/>
  <c r="F20" i="5"/>
  <c r="E27" i="4"/>
  <c r="E31" i="4" s="1"/>
  <c r="E18" i="3"/>
  <c r="E21" i="4"/>
  <c r="F18" i="3"/>
  <c r="E18" i="4"/>
  <c r="H59" i="6"/>
  <c r="G17" i="3"/>
  <c r="F21" i="3"/>
  <c r="F24" i="3"/>
  <c r="G49" i="6"/>
  <c r="H49" i="6" s="1"/>
  <c r="G26" i="6"/>
  <c r="G14" i="6"/>
  <c r="G16" i="6" s="1"/>
  <c r="G73" i="6"/>
  <c r="G53" i="6"/>
  <c r="H53" i="6" s="1"/>
  <c r="H56" i="6" s="1"/>
  <c r="G30" i="6"/>
  <c r="H30" i="6" s="1"/>
  <c r="G44" i="6"/>
  <c r="H44" i="6" s="1"/>
  <c r="G29" i="6"/>
  <c r="H29" i="6" s="1"/>
  <c r="H5" i="6"/>
  <c r="G45" i="6"/>
  <c r="H45" i="6" s="1"/>
  <c r="G35" i="6"/>
  <c r="H35" i="6" s="1"/>
  <c r="G36" i="6"/>
  <c r="G42" i="6"/>
  <c r="G48" i="6"/>
  <c r="H48" i="6" s="1"/>
  <c r="G43" i="6"/>
  <c r="H43" i="6" s="1"/>
  <c r="G28" i="6"/>
  <c r="D27" i="4"/>
  <c r="D31" i="4" s="1"/>
  <c r="G7" i="6"/>
  <c r="G54" i="6"/>
  <c r="H54" i="6" s="1"/>
  <c r="K13" i="6"/>
  <c r="G27" i="6"/>
  <c r="F21" i="4"/>
  <c r="H25" i="3"/>
  <c r="I25" i="3"/>
  <c r="M21" i="9"/>
  <c r="M25" i="9"/>
  <c r="H8" i="6"/>
  <c r="D12" i="7"/>
  <c r="D11" i="7"/>
  <c r="D13" i="7" s="1"/>
  <c r="E9" i="5"/>
  <c r="E12" i="7"/>
  <c r="E11" i="7"/>
  <c r="E13" i="7" s="1"/>
  <c r="D19" i="2" s="1"/>
  <c r="H21" i="9"/>
  <c r="F12" i="7"/>
  <c r="F11" i="7"/>
  <c r="F13" i="7" s="1"/>
  <c r="D20" i="2" s="1"/>
  <c r="K47" i="5"/>
  <c r="G17" i="6" l="1"/>
  <c r="G18" i="6" s="1"/>
  <c r="G81" i="6"/>
  <c r="H26" i="6"/>
  <c r="H81" i="6" s="1"/>
  <c r="H83" i="6" s="1"/>
  <c r="H27" i="6"/>
  <c r="G74" i="6"/>
  <c r="H28" i="4"/>
  <c r="H19" i="4"/>
  <c r="H23" i="4"/>
  <c r="H24" i="4" s="1"/>
  <c r="H27" i="4" s="1"/>
  <c r="H29" i="4"/>
  <c r="I17" i="4"/>
  <c r="H20" i="4"/>
  <c r="G10" i="6"/>
  <c r="H10" i="6" s="1"/>
  <c r="G9" i="6"/>
  <c r="G11" i="6"/>
  <c r="H11" i="6" s="1"/>
  <c r="I59" i="6"/>
  <c r="I37" i="6"/>
  <c r="G50" i="6"/>
  <c r="G57" i="6" s="1"/>
  <c r="H42" i="6"/>
  <c r="G72" i="6"/>
  <c r="H36" i="6"/>
  <c r="E57" i="4"/>
  <c r="E58" i="4" s="1"/>
  <c r="E55" i="4"/>
  <c r="E54" i="4" s="1"/>
  <c r="E12" i="5"/>
  <c r="E14" i="5" s="1"/>
  <c r="E25" i="3"/>
  <c r="E27" i="3"/>
  <c r="E31" i="3" s="1"/>
  <c r="I46" i="6"/>
  <c r="F25" i="3"/>
  <c r="F27" i="3"/>
  <c r="F31" i="3" s="1"/>
  <c r="J51" i="6"/>
  <c r="G20" i="3"/>
  <c r="I48" i="6"/>
  <c r="I47" i="6"/>
  <c r="J35" i="9"/>
  <c r="J37" i="9" s="1"/>
  <c r="L35" i="9"/>
  <c r="L37" i="9" s="1"/>
  <c r="K35" i="9"/>
  <c r="K37" i="9" s="1"/>
  <c r="I35" i="9"/>
  <c r="I37" i="9" s="1"/>
  <c r="M37" i="9" s="1"/>
  <c r="M38" i="9" s="1"/>
  <c r="M43" i="9" s="1"/>
  <c r="M45" i="9" s="1"/>
  <c r="M48" i="9" s="1"/>
  <c r="M49" i="9" s="1"/>
  <c r="F21" i="5"/>
  <c r="F24" i="5"/>
  <c r="J10" i="7"/>
  <c r="J11" i="7" s="1"/>
  <c r="D18" i="2"/>
  <c r="D10" i="2" s="1"/>
  <c r="H14" i="6"/>
  <c r="I5" i="6"/>
  <c r="H28" i="6"/>
  <c r="H74" i="6" s="1"/>
  <c r="H30" i="3" s="1"/>
  <c r="H17" i="3"/>
  <c r="H12" i="6"/>
  <c r="I44" i="6"/>
  <c r="G29" i="5"/>
  <c r="G23" i="5"/>
  <c r="G24" i="5" s="1"/>
  <c r="G27" i="5" s="1"/>
  <c r="G19" i="5"/>
  <c r="G28" i="5"/>
  <c r="G20" i="5"/>
  <c r="H17" i="5"/>
  <c r="I53" i="6"/>
  <c r="H73" i="6"/>
  <c r="G61" i="6"/>
  <c r="E25" i="5"/>
  <c r="E27" i="5"/>
  <c r="E31" i="5" s="1"/>
  <c r="K25" i="3"/>
  <c r="G31" i="4"/>
  <c r="I29" i="6"/>
  <c r="H21" i="3"/>
  <c r="I8" i="6"/>
  <c r="H7" i="6"/>
  <c r="H6" i="6" s="1"/>
  <c r="H19" i="3" s="1"/>
  <c r="G6" i="6"/>
  <c r="G19" i="3" s="1"/>
  <c r="E55" i="3"/>
  <c r="E54" i="3" s="1"/>
  <c r="E57" i="3"/>
  <c r="E58" i="3" s="1"/>
  <c r="G62" i="6" l="1"/>
  <c r="G70" i="6"/>
  <c r="G76" i="6" s="1"/>
  <c r="G19" i="6"/>
  <c r="G91" i="6"/>
  <c r="G95" i="6" s="1"/>
  <c r="G20" i="6"/>
  <c r="E56" i="5"/>
  <c r="K35" i="5"/>
  <c r="J35" i="5"/>
  <c r="I35" i="5"/>
  <c r="H35" i="5"/>
  <c r="G35" i="5"/>
  <c r="J53" i="6"/>
  <c r="J56" i="6" s="1"/>
  <c r="J47" i="6"/>
  <c r="J44" i="6"/>
  <c r="J8" i="6"/>
  <c r="I7" i="6"/>
  <c r="I10" i="6" s="1"/>
  <c r="I21" i="3"/>
  <c r="H20" i="3"/>
  <c r="G30" i="3"/>
  <c r="G31" i="3" s="1"/>
  <c r="G103" i="6"/>
  <c r="G32" i="6"/>
  <c r="G83" i="6"/>
  <c r="H72" i="6"/>
  <c r="I36" i="6"/>
  <c r="H29" i="5"/>
  <c r="I17" i="5"/>
  <c r="H28" i="5"/>
  <c r="H23" i="5"/>
  <c r="H24" i="5" s="1"/>
  <c r="H27" i="5" s="1"/>
  <c r="H31" i="5" s="1"/>
  <c r="H19" i="5"/>
  <c r="H20" i="5"/>
  <c r="K51" i="6"/>
  <c r="H24" i="3"/>
  <c r="H27" i="3" s="1"/>
  <c r="H16" i="6"/>
  <c r="I28" i="4"/>
  <c r="I23" i="4"/>
  <c r="I24" i="4" s="1"/>
  <c r="I27" i="4" s="1"/>
  <c r="I19" i="4"/>
  <c r="I20" i="4"/>
  <c r="I29" i="4"/>
  <c r="J17" i="4"/>
  <c r="H31" i="4"/>
  <c r="H37" i="4" s="1"/>
  <c r="I17" i="3"/>
  <c r="I14" i="6"/>
  <c r="I28" i="6"/>
  <c r="J5" i="6"/>
  <c r="J37" i="6" s="1"/>
  <c r="I12" i="6"/>
  <c r="I45" i="6"/>
  <c r="G37" i="4"/>
  <c r="I27" i="6"/>
  <c r="I35" i="6"/>
  <c r="J35" i="6" s="1"/>
  <c r="I26" i="6"/>
  <c r="I81" i="6" s="1"/>
  <c r="I83" i="6" s="1"/>
  <c r="F25" i="5"/>
  <c r="F27" i="5"/>
  <c r="F31" i="5" s="1"/>
  <c r="I49" i="6"/>
  <c r="J49" i="6" s="1"/>
  <c r="I30" i="6"/>
  <c r="J59" i="6"/>
  <c r="H9" i="6"/>
  <c r="G23" i="3"/>
  <c r="G31" i="5"/>
  <c r="I43" i="6"/>
  <c r="J43" i="6" s="1"/>
  <c r="I54" i="6"/>
  <c r="J54" i="6" s="1"/>
  <c r="H61" i="6"/>
  <c r="G66" i="6"/>
  <c r="G67" i="6" s="1"/>
  <c r="H50" i="6"/>
  <c r="H57" i="6" s="1"/>
  <c r="I42" i="6"/>
  <c r="I73" i="6"/>
  <c r="J73" i="6" s="1"/>
  <c r="J10" i="6" l="1"/>
  <c r="K37" i="6"/>
  <c r="J27" i="6"/>
  <c r="H17" i="6"/>
  <c r="H18" i="6" s="1"/>
  <c r="K8" i="6"/>
  <c r="J7" i="6"/>
  <c r="J21" i="3"/>
  <c r="I56" i="6"/>
  <c r="H37" i="5"/>
  <c r="H23" i="3"/>
  <c r="I9" i="6"/>
  <c r="I11" i="6"/>
  <c r="I28" i="5"/>
  <c r="I29" i="5"/>
  <c r="J17" i="5"/>
  <c r="I19" i="5"/>
  <c r="I20" i="5" s="1"/>
  <c r="I23" i="5"/>
  <c r="I24" i="5" s="1"/>
  <c r="I27" i="5" s="1"/>
  <c r="I31" i="5" s="1"/>
  <c r="I37" i="5" s="1"/>
  <c r="J48" i="6"/>
  <c r="K48" i="6" s="1"/>
  <c r="I6" i="6"/>
  <c r="I19" i="3" s="1"/>
  <c r="G100" i="6"/>
  <c r="G101" i="6" s="1"/>
  <c r="J28" i="4"/>
  <c r="K17" i="4"/>
  <c r="J19" i="4"/>
  <c r="J20" i="4" s="1"/>
  <c r="J23" i="4"/>
  <c r="J24" i="4" s="1"/>
  <c r="J27" i="4" s="1"/>
  <c r="J29" i="4"/>
  <c r="G37" i="3"/>
  <c r="K35" i="6"/>
  <c r="K73" i="6"/>
  <c r="I50" i="6"/>
  <c r="I57" i="6" s="1"/>
  <c r="J42" i="6"/>
  <c r="K47" i="6"/>
  <c r="I61" i="6"/>
  <c r="J45" i="6"/>
  <c r="I85" i="6"/>
  <c r="I24" i="3"/>
  <c r="I27" i="3" s="1"/>
  <c r="I16" i="6"/>
  <c r="E55" i="5"/>
  <c r="E54" i="5" s="1"/>
  <c r="E57" i="5"/>
  <c r="E58" i="5" s="1"/>
  <c r="I20" i="3"/>
  <c r="K59" i="6"/>
  <c r="J29" i="6"/>
  <c r="K29" i="6" s="1"/>
  <c r="K49" i="6"/>
  <c r="G39" i="6"/>
  <c r="H32" i="6"/>
  <c r="H71" i="6"/>
  <c r="J26" i="6"/>
  <c r="J81" i="6" s="1"/>
  <c r="J83" i="6" s="1"/>
  <c r="I31" i="4"/>
  <c r="I74" i="6"/>
  <c r="I30" i="3" s="1"/>
  <c r="G37" i="5"/>
  <c r="J6" i="6"/>
  <c r="J19" i="3" s="1"/>
  <c r="K5" i="6"/>
  <c r="J17" i="3"/>
  <c r="J20" i="3" s="1"/>
  <c r="J14" i="6"/>
  <c r="J28" i="6"/>
  <c r="J12" i="6"/>
  <c r="J36" i="6"/>
  <c r="I72" i="6"/>
  <c r="J30" i="6"/>
  <c r="K30" i="6" s="1"/>
  <c r="J46" i="6"/>
  <c r="K46" i="6" s="1"/>
  <c r="H91" i="6" l="1"/>
  <c r="H95" i="6" s="1"/>
  <c r="H100" i="6" s="1"/>
  <c r="H20" i="6"/>
  <c r="H19" i="6"/>
  <c r="H70" i="6"/>
  <c r="H76" i="6" s="1"/>
  <c r="H39" i="6"/>
  <c r="I32" i="6"/>
  <c r="I71" i="6"/>
  <c r="J72" i="6"/>
  <c r="K36" i="6"/>
  <c r="K72" i="6" s="1"/>
  <c r="J50" i="6"/>
  <c r="J57" i="6" s="1"/>
  <c r="K42" i="6"/>
  <c r="K50" i="6" s="1"/>
  <c r="J9" i="6"/>
  <c r="I23" i="3"/>
  <c r="K79" i="6"/>
  <c r="K14" i="6"/>
  <c r="K28" i="6"/>
  <c r="K17" i="3"/>
  <c r="K12" i="6"/>
  <c r="K54" i="6"/>
  <c r="K28" i="4"/>
  <c r="K19" i="4"/>
  <c r="K20" i="4" s="1"/>
  <c r="K23" i="4"/>
  <c r="K24" i="4" s="1"/>
  <c r="K27" i="4" s="1"/>
  <c r="K29" i="4"/>
  <c r="K53" i="6"/>
  <c r="K56" i="6" s="1"/>
  <c r="H99" i="6"/>
  <c r="G25" i="6"/>
  <c r="G31" i="6" s="1"/>
  <c r="K27" i="6"/>
  <c r="K26" i="6"/>
  <c r="K81" i="6" s="1"/>
  <c r="H28" i="3"/>
  <c r="H31" i="3" s="1"/>
  <c r="H103" i="6"/>
  <c r="J61" i="6"/>
  <c r="J28" i="5"/>
  <c r="K17" i="5"/>
  <c r="J29" i="5"/>
  <c r="J19" i="5"/>
  <c r="J20" i="5" s="1"/>
  <c r="J23" i="5"/>
  <c r="J24" i="5" s="1"/>
  <c r="J27" i="5" s="1"/>
  <c r="J31" i="5" s="1"/>
  <c r="J24" i="3"/>
  <c r="J27" i="3" s="1"/>
  <c r="J16" i="6"/>
  <c r="J11" i="6"/>
  <c r="K44" i="6"/>
  <c r="J31" i="4"/>
  <c r="I17" i="6"/>
  <c r="I18" i="6" s="1"/>
  <c r="K43" i="6"/>
  <c r="K7" i="6"/>
  <c r="K10" i="6" s="1"/>
  <c r="K21" i="3"/>
  <c r="I37" i="4"/>
  <c r="K45" i="6"/>
  <c r="K85" i="6" s="1"/>
  <c r="J85" i="6"/>
  <c r="J74" i="6"/>
  <c r="J30" i="3" s="1"/>
  <c r="I91" i="6" l="1"/>
  <c r="I95" i="6" s="1"/>
  <c r="I70" i="6"/>
  <c r="I76" i="6" s="1"/>
  <c r="I20" i="6"/>
  <c r="I19" i="6"/>
  <c r="K31" i="4"/>
  <c r="G54" i="4" s="1"/>
  <c r="H37" i="3"/>
  <c r="J32" i="6"/>
  <c r="I39" i="6"/>
  <c r="J71" i="6"/>
  <c r="K24" i="3"/>
  <c r="K27" i="3" s="1"/>
  <c r="K16" i="6"/>
  <c r="K6" i="6"/>
  <c r="K19" i="3" s="1"/>
  <c r="K20" i="3"/>
  <c r="G38" i="6"/>
  <c r="G40" i="6" s="1"/>
  <c r="G106" i="6" s="1"/>
  <c r="K57" i="6"/>
  <c r="K29" i="5"/>
  <c r="K19" i="5"/>
  <c r="K20" i="5" s="1"/>
  <c r="K23" i="5"/>
  <c r="K24" i="5" s="1"/>
  <c r="K27" i="5" s="1"/>
  <c r="K28" i="5"/>
  <c r="I28" i="3"/>
  <c r="I31" i="3" s="1"/>
  <c r="I37" i="3" s="1"/>
  <c r="I103" i="6"/>
  <c r="J37" i="4"/>
  <c r="J56" i="4"/>
  <c r="I56" i="4"/>
  <c r="H54" i="4"/>
  <c r="J58" i="4"/>
  <c r="K74" i="6"/>
  <c r="K30" i="3" s="1"/>
  <c r="H62" i="6"/>
  <c r="H55" i="4"/>
  <c r="I58" i="4"/>
  <c r="K11" i="6"/>
  <c r="H101" i="6"/>
  <c r="K83" i="6"/>
  <c r="K9" i="6"/>
  <c r="K23" i="3" s="1"/>
  <c r="J23" i="3"/>
  <c r="J37" i="5"/>
  <c r="K61" i="6"/>
  <c r="J57" i="4"/>
  <c r="G55" i="4"/>
  <c r="J17" i="6"/>
  <c r="J18" i="6" s="1"/>
  <c r="J91" i="6" l="1"/>
  <c r="J95" i="6" s="1"/>
  <c r="J70" i="6"/>
  <c r="J76" i="6" s="1"/>
  <c r="J20" i="6"/>
  <c r="J19" i="6"/>
  <c r="J28" i="3"/>
  <c r="J31" i="3" s="1"/>
  <c r="J103" i="6"/>
  <c r="F58" i="4"/>
  <c r="F54" i="4"/>
  <c r="G58" i="4"/>
  <c r="G57" i="4"/>
  <c r="K17" i="6"/>
  <c r="K18" i="6"/>
  <c r="I54" i="4"/>
  <c r="F57" i="4"/>
  <c r="K31" i="5"/>
  <c r="K71" i="6"/>
  <c r="K32" i="6"/>
  <c r="K39" i="6" s="1"/>
  <c r="J39" i="6"/>
  <c r="H25" i="6"/>
  <c r="H31" i="6" s="1"/>
  <c r="I99" i="6"/>
  <c r="I101" i="6" s="1"/>
  <c r="I62" i="6"/>
  <c r="H66" i="6"/>
  <c r="H67" i="6" s="1"/>
  <c r="H38" i="6" s="1"/>
  <c r="K40" i="4"/>
  <c r="K41" i="4" s="1"/>
  <c r="K37" i="4"/>
  <c r="K38" i="4" s="1"/>
  <c r="H57" i="4"/>
  <c r="J55" i="4"/>
  <c r="I57" i="4"/>
  <c r="H58" i="4"/>
  <c r="H56" i="4"/>
  <c r="F55" i="4"/>
  <c r="G56" i="4"/>
  <c r="J54" i="4"/>
  <c r="I55" i="4"/>
  <c r="F56" i="4"/>
  <c r="I100" i="6"/>
  <c r="K45" i="4" l="1"/>
  <c r="K48" i="4" s="1"/>
  <c r="K43" i="4"/>
  <c r="K91" i="6"/>
  <c r="K95" i="6" s="1"/>
  <c r="K70" i="6"/>
  <c r="K76" i="6" s="1"/>
  <c r="K20" i="6"/>
  <c r="K19" i="6"/>
  <c r="J62" i="6"/>
  <c r="I66" i="6"/>
  <c r="I67" i="6" s="1"/>
  <c r="I25" i="6"/>
  <c r="I31" i="6" s="1"/>
  <c r="J99" i="6"/>
  <c r="H40" i="6"/>
  <c r="H106" i="6" s="1"/>
  <c r="J37" i="3"/>
  <c r="I56" i="3"/>
  <c r="J55" i="3"/>
  <c r="H57" i="3"/>
  <c r="H58" i="3"/>
  <c r="F56" i="3"/>
  <c r="I55" i="3"/>
  <c r="F57" i="3"/>
  <c r="I57" i="3"/>
  <c r="G54" i="3"/>
  <c r="G58" i="3"/>
  <c r="K28" i="3"/>
  <c r="K31" i="3" s="1"/>
  <c r="G57" i="3" s="1"/>
  <c r="K103" i="6"/>
  <c r="K40" i="5"/>
  <c r="K41" i="5" s="1"/>
  <c r="K37" i="5"/>
  <c r="K38" i="5" s="1"/>
  <c r="I58" i="5"/>
  <c r="G54" i="5"/>
  <c r="G57" i="5"/>
  <c r="I55" i="5"/>
  <c r="J55" i="5"/>
  <c r="H58" i="5"/>
  <c r="F54" i="5"/>
  <c r="J56" i="5"/>
  <c r="F56" i="5"/>
  <c r="F57" i="5"/>
  <c r="F58" i="5"/>
  <c r="J58" i="5"/>
  <c r="J54" i="5"/>
  <c r="H54" i="5"/>
  <c r="G56" i="5"/>
  <c r="G58" i="5"/>
  <c r="H57" i="5"/>
  <c r="I56" i="5"/>
  <c r="G55" i="5"/>
  <c r="F55" i="5"/>
  <c r="I54" i="5"/>
  <c r="H55" i="5"/>
  <c r="J57" i="5"/>
  <c r="I57" i="5"/>
  <c r="H56" i="5"/>
  <c r="H55" i="3"/>
  <c r="I58" i="3"/>
  <c r="J100" i="6"/>
  <c r="K38" i="3" l="1"/>
  <c r="I38" i="6"/>
  <c r="I40" i="6" s="1"/>
  <c r="I106" i="6" s="1"/>
  <c r="K45" i="5"/>
  <c r="K48" i="5" s="1"/>
  <c r="K43" i="5"/>
  <c r="J101" i="6"/>
  <c r="K40" i="3"/>
  <c r="K41" i="3" s="1"/>
  <c r="K37" i="3"/>
  <c r="J58" i="3"/>
  <c r="I54" i="3"/>
  <c r="G56" i="3"/>
  <c r="H56" i="3"/>
  <c r="J54" i="3"/>
  <c r="F55" i="3"/>
  <c r="K62" i="6"/>
  <c r="K66" i="6" s="1"/>
  <c r="K67" i="6" s="1"/>
  <c r="J66" i="6"/>
  <c r="J67" i="6" s="1"/>
  <c r="J56" i="3"/>
  <c r="F54" i="3"/>
  <c r="H54" i="3"/>
  <c r="G55" i="3"/>
  <c r="K100" i="6"/>
  <c r="J57" i="3"/>
  <c r="F58" i="3"/>
  <c r="E53" i="4"/>
  <c r="K49" i="4"/>
  <c r="D14" i="2"/>
  <c r="K45" i="3" l="1"/>
  <c r="K48" i="3" s="1"/>
  <c r="K43" i="3"/>
  <c r="J25" i="6"/>
  <c r="J31" i="6" s="1"/>
  <c r="J40" i="6" s="1"/>
  <c r="J106" i="6" s="1"/>
  <c r="K99" i="6"/>
  <c r="K101" i="6" s="1"/>
  <c r="K25" i="6" s="1"/>
  <c r="K31" i="6" s="1"/>
  <c r="J38" i="6"/>
  <c r="E53" i="5"/>
  <c r="K49" i="5"/>
  <c r="D15" i="2"/>
  <c r="K38" i="6"/>
  <c r="E53" i="3" l="1"/>
  <c r="K49" i="3"/>
  <c r="D13" i="2"/>
  <c r="D9" i="2" s="1"/>
  <c r="C5" i="2" s="1"/>
  <c r="C6" i="2" s="1"/>
  <c r="K40" i="6"/>
  <c r="K10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Kulpins, Andrea</author>
    <author>Andrea Kulpins</author>
  </authors>
  <commentList>
    <comment ref="E6" authorId="0" shapeId="0" xr:uid="{00000000-0006-0000-0800-000001000000}">
      <text>
        <r>
          <rPr>
            <sz val="11"/>
            <color theme="1"/>
            <rFont val="Aptos Narrow"/>
            <family val="2"/>
            <scheme val="minor"/>
          </rPr>
          <t>Kulpins, Andrea:
https://pages.stern.nyu.edu/~adamodar/New_Home_Page/datafile/ctryprem.html</t>
        </r>
      </text>
    </comment>
    <comment ref="E7" authorId="1" shapeId="0" xr:uid="{00000000-0006-0000-0800-000002000000}">
      <text>
        <r>
          <rPr>
            <sz val="11"/>
            <color theme="1"/>
            <rFont val="Aptos Narrow"/>
            <family val="2"/>
            <scheme val="minor"/>
          </rPr>
          <t>Andrea Kulpins:
https://www.wsj.com/market-data/quotes/bond/BX/TMBMKDK-05Y?mod=searchresults_companyquotes&amp;mod=md_bond_hdr_search</t>
        </r>
      </text>
    </comment>
  </commentList>
</comments>
</file>

<file path=xl/sharedStrings.xml><?xml version="1.0" encoding="utf-8"?>
<sst xmlns="http://schemas.openxmlformats.org/spreadsheetml/2006/main" count="825" uniqueCount="293">
  <si>
    <t>Microsoft Corporation</t>
  </si>
  <si>
    <t>MSFT</t>
  </si>
  <si>
    <t>12/04/2025</t>
  </si>
  <si>
    <t>Ticker</t>
  </si>
  <si>
    <t>Current Stock Price</t>
  </si>
  <si>
    <t>As of 12/04/2025</t>
  </si>
  <si>
    <t>Weighted Implied Stock Price</t>
  </si>
  <si>
    <t>Implied Upside/Downside</t>
  </si>
  <si>
    <t>Method</t>
  </si>
  <si>
    <t>Weight</t>
  </si>
  <si>
    <t>Price Target</t>
  </si>
  <si>
    <t>DCF</t>
  </si>
  <si>
    <t>Relative Valuation</t>
  </si>
  <si>
    <t>DCF Case</t>
  </si>
  <si>
    <t>Base</t>
  </si>
  <si>
    <t xml:space="preserve">Bear </t>
  </si>
  <si>
    <t>Bull</t>
  </si>
  <si>
    <t>Relative Method</t>
  </si>
  <si>
    <t>EV/Sales</t>
  </si>
  <si>
    <t>Price/Sales</t>
  </si>
  <si>
    <t>Price/Earnings</t>
  </si>
  <si>
    <t>Price/Book Value</t>
  </si>
  <si>
    <t>Microsoft Corporation DCF Analysis</t>
  </si>
  <si>
    <t>WACC</t>
  </si>
  <si>
    <t xml:space="preserve">Other Assumptions </t>
  </si>
  <si>
    <t xml:space="preserve">Beta </t>
  </si>
  <si>
    <t xml:space="preserve">Fiscal Year End </t>
  </si>
  <si>
    <t xml:space="preserve">Market Risk Premium </t>
  </si>
  <si>
    <t xml:space="preserve">LTGR </t>
  </si>
  <si>
    <t xml:space="preserve">Risk Free Rate </t>
  </si>
  <si>
    <t>Cash &amp; Equivalents</t>
  </si>
  <si>
    <t xml:space="preserve">Cost of Equity </t>
  </si>
  <si>
    <t>Shares Outstanding</t>
  </si>
  <si>
    <t xml:space="preserve">Weight of Equity </t>
  </si>
  <si>
    <t xml:space="preserve">Current Price </t>
  </si>
  <si>
    <t xml:space="preserve">Cost of Debt </t>
  </si>
  <si>
    <t xml:space="preserve">Mkt Cap </t>
  </si>
  <si>
    <t xml:space="preserve">After Tax CoD </t>
  </si>
  <si>
    <t>BV Debt</t>
  </si>
  <si>
    <t xml:space="preserve">Weight of Debt </t>
  </si>
  <si>
    <t>Financial Units</t>
  </si>
  <si>
    <t>USD in millions</t>
  </si>
  <si>
    <t xml:space="preserve">Tax Rate </t>
  </si>
  <si>
    <t xml:space="preserve">WACC </t>
  </si>
  <si>
    <t xml:space="preserve">Free Cash Flow  </t>
  </si>
  <si>
    <t>2023 A</t>
  </si>
  <si>
    <t>2024 A</t>
  </si>
  <si>
    <t>2025 A</t>
  </si>
  <si>
    <t>2026 E</t>
  </si>
  <si>
    <t>2027 E</t>
  </si>
  <si>
    <t>2028 E</t>
  </si>
  <si>
    <t>Year"E"</t>
  </si>
  <si>
    <t xml:space="preserve">Revenue </t>
  </si>
  <si>
    <t xml:space="preserve">Revenue Growth (%) </t>
  </si>
  <si>
    <t xml:space="preserve">(-) COGS </t>
  </si>
  <si>
    <t xml:space="preserve">GP </t>
  </si>
  <si>
    <t xml:space="preserve">GP Margin (%) </t>
  </si>
  <si>
    <t>(-) Op Ex</t>
  </si>
  <si>
    <t xml:space="preserve">EBIT </t>
  </si>
  <si>
    <t>EBIT Margin (%)</t>
  </si>
  <si>
    <t xml:space="preserve">NOPAT </t>
  </si>
  <si>
    <t xml:space="preserve">(+) D&amp;A </t>
  </si>
  <si>
    <t>(-) CapEx</t>
  </si>
  <si>
    <t xml:space="preserve">(-) Changes in WC </t>
  </si>
  <si>
    <t xml:space="preserve">Unlevered Free Cash Flow </t>
  </si>
  <si>
    <t xml:space="preserve">DCF </t>
  </si>
  <si>
    <t xml:space="preserve">Discount Period </t>
  </si>
  <si>
    <t xml:space="preserve">Discount Factor </t>
  </si>
  <si>
    <t xml:space="preserve">PV of UFCF </t>
  </si>
  <si>
    <t xml:space="preserve">Total PV of UFCF </t>
  </si>
  <si>
    <t xml:space="preserve">Terminal Value </t>
  </si>
  <si>
    <t xml:space="preserve">PV of TV </t>
  </si>
  <si>
    <t xml:space="preserve">Enterprise Value </t>
  </si>
  <si>
    <t xml:space="preserve">(-) Net Debt </t>
  </si>
  <si>
    <t xml:space="preserve">Equity Value </t>
  </si>
  <si>
    <t xml:space="preserve">(/) Shares Outstanding </t>
  </si>
  <si>
    <t xml:space="preserve">Per Share Price Target </t>
  </si>
  <si>
    <t>Sensitivity Analysis</t>
  </si>
  <si>
    <t>WACC Step</t>
  </si>
  <si>
    <t>Terminal Step</t>
  </si>
  <si>
    <t>Diluted S/O</t>
  </si>
  <si>
    <t>*</t>
  </si>
  <si>
    <t>#</t>
  </si>
  <si>
    <t>model_role</t>
  </si>
  <si>
    <t>Microsoft Corporation 3 Statement Model (millions)</t>
  </si>
  <si>
    <t xml:space="preserve">Income Statement </t>
  </si>
  <si>
    <t>2029 E</t>
  </si>
  <si>
    <t>2030 E</t>
  </si>
  <si>
    <t>Assumptions</t>
  </si>
  <si>
    <t xml:space="preserve">Type </t>
  </si>
  <si>
    <t>Value</t>
  </si>
  <si>
    <t>Revenue</t>
  </si>
  <si>
    <t>constant</t>
  </si>
  <si>
    <t>IS_REVENUE</t>
  </si>
  <si>
    <t xml:space="preserve">Cost of Revenue </t>
  </si>
  <si>
    <t xml:space="preserve">Gross Margin </t>
  </si>
  <si>
    <t>"researchAndDevelopmentExpenses": 34550000000,</t>
  </si>
  <si>
    <t>IS_COGS</t>
  </si>
  <si>
    <t>Gross Profit</t>
  </si>
  <si>
    <t xml:space="preserve">Operating Margin </t>
  </si>
  <si>
    <t>"generalAndAdministrativeExpenses": 0,</t>
  </si>
  <si>
    <t>IS_GROSS_PROFIT</t>
  </si>
  <si>
    <t>Gross Margin %</t>
  </si>
  <si>
    <t>"sellingAndMarketingExpenses": 0,</t>
  </si>
  <si>
    <t>BS_ACCOUNTS_RECEIVABLE</t>
  </si>
  <si>
    <t>Research &amp; Development Expenses</t>
  </si>
  <si>
    <t>Interest Rate on Debt</t>
  </si>
  <si>
    <t>"sellingGeneralAndAdministrativeExpenses": 27601000000,</t>
  </si>
  <si>
    <t>Selling, General &amp; Administrative Expenses (SG&amp;A)</t>
  </si>
  <si>
    <t>"otherExpenses": 0,</t>
  </si>
  <si>
    <t>IS_OPERATING_EXPENSE</t>
  </si>
  <si>
    <t>Other Expenses</t>
  </si>
  <si>
    <t>"operatingExpenses": 62151000000,</t>
  </si>
  <si>
    <t>Operating Profit</t>
  </si>
  <si>
    <t>IS_OPERATING_INCOME</t>
  </si>
  <si>
    <t>Operating Margin %</t>
  </si>
  <si>
    <t>Net Interest Income</t>
  </si>
  <si>
    <t>IS_NON_OPERATING_INCOME</t>
  </si>
  <si>
    <t>Other Non Operating Expenses</t>
  </si>
  <si>
    <t>Income Before Taxes</t>
  </si>
  <si>
    <t xml:space="preserve">Income Tax Expense </t>
  </si>
  <si>
    <t>IS_TAX_EXPENSE</t>
  </si>
  <si>
    <t xml:space="preserve">Net Income </t>
  </si>
  <si>
    <t>IS_NET_INCOME</t>
  </si>
  <si>
    <t>Net Income Margin %</t>
  </si>
  <si>
    <t>EPS</t>
  </si>
  <si>
    <t>Weighted Average Shares Outstanding</t>
  </si>
  <si>
    <t xml:space="preserve">Balance Sheet </t>
  </si>
  <si>
    <t xml:space="preserve">Assumptions </t>
  </si>
  <si>
    <t>Cash &amp; Cash Equivalents</t>
  </si>
  <si>
    <t>Depreciation % of PPE</t>
  </si>
  <si>
    <t>BS_CASH</t>
  </si>
  <si>
    <t>Short-Term Investments</t>
  </si>
  <si>
    <t>Inventory % Sales</t>
  </si>
  <si>
    <t>Net Receivables</t>
  </si>
  <si>
    <t>Long Term Debt Change</t>
  </si>
  <si>
    <t>Inventory</t>
  </si>
  <si>
    <t>BS_INVENTORY</t>
  </si>
  <si>
    <t>Prepaid Expenses</t>
  </si>
  <si>
    <t>Other Current Assets</t>
  </si>
  <si>
    <t>Total Current Assets</t>
  </si>
  <si>
    <t>Property, Plant &amp; Equipment (Net)</t>
  </si>
  <si>
    <t>Goodwill</t>
  </si>
  <si>
    <t>Intangible Assets</t>
  </si>
  <si>
    <t>Long-Term Investments</t>
  </si>
  <si>
    <t>Tax Assets</t>
  </si>
  <si>
    <t>Other Non-Current Assets</t>
  </si>
  <si>
    <t>Other Non-Operating Adjustments</t>
  </si>
  <si>
    <t>Total Long-term Assets</t>
  </si>
  <si>
    <t>Total Assets</t>
  </si>
  <si>
    <t>Accounts Payable</t>
  </si>
  <si>
    <t>BS_ACCOUNTS_PAYABLE</t>
  </si>
  <si>
    <t>Other Payables</t>
  </si>
  <si>
    <t>Accrued Expenses</t>
  </si>
  <si>
    <t>BS_ACCRUED_LIABILITIES</t>
  </si>
  <si>
    <t>Short-Term Debt</t>
  </si>
  <si>
    <t>BS_DEBT_CURRENT</t>
  </si>
  <si>
    <t>Current Capital Lease Obligations</t>
  </si>
  <si>
    <t>Tax Payables</t>
  </si>
  <si>
    <t>Deferred Revenue (Current)</t>
  </si>
  <si>
    <t>Other Current Liabilities</t>
  </si>
  <si>
    <t>Total Current Liabilities</t>
  </si>
  <si>
    <t>Long-Term Debt</t>
  </si>
  <si>
    <t>Non-Current Capital Lease Obligations</t>
  </si>
  <si>
    <t>Deferred Revenue (Non-Current)</t>
  </si>
  <si>
    <t>Deferred Tax Liabilities (Non-Current)</t>
  </si>
  <si>
    <t>Other Non-Current Liabilities</t>
  </si>
  <si>
    <t>Total Non-Current Liabilities</t>
  </si>
  <si>
    <t>Total Liabilities</t>
  </si>
  <si>
    <t>Preferred Stock</t>
  </si>
  <si>
    <t>Treasury Stock</t>
  </si>
  <si>
    <t>Common Stock</t>
  </si>
  <si>
    <t>Retained Earnings</t>
  </si>
  <si>
    <t>Additional Paid-In Capital</t>
  </si>
  <si>
    <t>Accumulated Other Comprehensive Income (Loss)</t>
  </si>
  <si>
    <t>Other Stockholders’ Equity</t>
  </si>
  <si>
    <t>Total Equity</t>
  </si>
  <si>
    <t>Total Liabilities &amp; Equity</t>
  </si>
  <si>
    <t xml:space="preserve">Cash Flow Statement </t>
  </si>
  <si>
    <t>Net Income</t>
  </si>
  <si>
    <t>Share Repurchases</t>
  </si>
  <si>
    <t>Depreciation &amp; Amortization</t>
  </si>
  <si>
    <t>Dividends as a % of Net Income</t>
  </si>
  <si>
    <t>CF_DEPRECIATION</t>
  </si>
  <si>
    <t>Deferred Income Tax</t>
  </si>
  <si>
    <t>CAPEX</t>
  </si>
  <si>
    <t>Stock-Based Compensation</t>
  </si>
  <si>
    <t>Change in Working Capital</t>
  </si>
  <si>
    <t>CF_CHANGE_IN_WORKING_CAPITAL</t>
  </si>
  <si>
    <t>Other Non-Cash Items</t>
  </si>
  <si>
    <t>Net Cash Provided by Operating Activities</t>
  </si>
  <si>
    <t>Investments in Property, Plant &amp; Equipment (CapEx)</t>
  </si>
  <si>
    <t>CF_CAPEX</t>
  </si>
  <si>
    <t>Net Acquisitions</t>
  </si>
  <si>
    <t>Purchases of Investments</t>
  </si>
  <si>
    <t>Sales / Maturities of Investments</t>
  </si>
  <si>
    <t>Other Investing Activities</t>
  </si>
  <si>
    <t>Net Cash Provided by Investing Activities</t>
  </si>
  <si>
    <t>Net Debt Issuance</t>
  </si>
  <si>
    <t>Net Stock Issuance</t>
  </si>
  <si>
    <t>Net Common Stock Issuance</t>
  </si>
  <si>
    <t>Common Stock Issued</t>
  </si>
  <si>
    <t>Common Stock Repurchased</t>
  </si>
  <si>
    <t>Net Preferred Stock Issuance</t>
  </si>
  <si>
    <t>Dividends Paid (Net)</t>
  </si>
  <si>
    <t>CF_DIVIDENDS_PAID</t>
  </si>
  <si>
    <t>Common Dividends Paid</t>
  </si>
  <si>
    <t>Preferred Dividends Paid</t>
  </si>
  <si>
    <t>Other Financing Activities</t>
  </si>
  <si>
    <t>Net Cash Provided by Financing Activities</t>
  </si>
  <si>
    <t>Effect of Foreign Exchange on Cash</t>
  </si>
  <si>
    <t>Cash at Beginning of Period</t>
  </si>
  <si>
    <t>Net Change in Cash</t>
  </si>
  <si>
    <t>Cash at End of Period</t>
  </si>
  <si>
    <t>Free Cash Flow</t>
  </si>
  <si>
    <t xml:space="preserve">Balance Check </t>
  </si>
  <si>
    <t>Microsoft Corporation Relative Valuation</t>
  </si>
  <si>
    <t>GM</t>
  </si>
  <si>
    <t>ORCL</t>
  </si>
  <si>
    <t>TSLA</t>
  </si>
  <si>
    <t>AAPL</t>
  </si>
  <si>
    <t xml:space="preserve">Low </t>
  </si>
  <si>
    <t>Implied Price Target</t>
  </si>
  <si>
    <t>Average</t>
  </si>
  <si>
    <t>High</t>
  </si>
  <si>
    <t xml:space="preserve">Financials </t>
  </si>
  <si>
    <t>Market Cap</t>
  </si>
  <si>
    <t>Share Price</t>
  </si>
  <si>
    <t>Sales</t>
  </si>
  <si>
    <t>Enterprise Value</t>
  </si>
  <si>
    <t>Net Debt</t>
  </si>
  <si>
    <t xml:space="preserve">EPS </t>
  </si>
  <si>
    <t>Book Value</t>
  </si>
  <si>
    <t>Shares/OS</t>
  </si>
  <si>
    <t>Benchmark</t>
  </si>
  <si>
    <t>S&amp;P 500</t>
  </si>
  <si>
    <t>Lookback (years)</t>
  </si>
  <si>
    <t>Beta</t>
  </si>
  <si>
    <t>Date</t>
  </si>
  <si>
    <t>Ticker Adj Close</t>
  </si>
  <si>
    <t>Benchmark Adj Close</t>
  </si>
  <si>
    <t>Ticker Returns</t>
  </si>
  <si>
    <t>Benchmark Returns</t>
  </si>
  <si>
    <t>"Company Name" DCF Analysis (UNITS)</t>
  </si>
  <si>
    <t>1 year (4 Quarters) historical and forecasted</t>
  </si>
  <si>
    <t xml:space="preserve">BV debt </t>
  </si>
  <si>
    <t>Q1 "YEAR""A"</t>
  </si>
  <si>
    <t>Q2 "YEAR""A"</t>
  </si>
  <si>
    <t>Q3 "YEAR""A"</t>
  </si>
  <si>
    <t>Q4 "YEAR""A"</t>
  </si>
  <si>
    <t>"####"A</t>
  </si>
  <si>
    <t>Q1 "YEAR""E"</t>
  </si>
  <si>
    <t>Q2 "YEAR""E"</t>
  </si>
  <si>
    <t>Q3 "YEAR""E"</t>
  </si>
  <si>
    <t>Q4 "YEAR""E"</t>
  </si>
  <si>
    <t>"####"E</t>
  </si>
  <si>
    <t>HIST</t>
  </si>
  <si>
    <t>Forecast Formula</t>
  </si>
  <si>
    <t>"Company Name" 3 Statement Model (UNITS)</t>
  </si>
  <si>
    <t xml:space="preserve">Line Item </t>
  </si>
  <si>
    <t xml:space="preserve">Custom </t>
  </si>
  <si>
    <t xml:space="preserve">Step </t>
  </si>
  <si>
    <t>Gross Income</t>
  </si>
  <si>
    <t xml:space="preserve">Operating Costs </t>
  </si>
  <si>
    <t xml:space="preserve">EBITDA Margin </t>
  </si>
  <si>
    <t xml:space="preserve">**ford doesn’t report </t>
  </si>
  <si>
    <t>Constant</t>
  </si>
  <si>
    <t xml:space="preserve">Operating Income </t>
  </si>
  <si>
    <t>Income before Taxes</t>
  </si>
  <si>
    <t>Assets</t>
  </si>
  <si>
    <t xml:space="preserve">Line Item  </t>
  </si>
  <si>
    <t xml:space="preserve">Liabilties </t>
  </si>
  <si>
    <t xml:space="preserve">Total Current Liabilties </t>
  </si>
  <si>
    <t xml:space="preserve">Total Liabilities </t>
  </si>
  <si>
    <t>Equity</t>
  </si>
  <si>
    <t xml:space="preserve">Total Equity </t>
  </si>
  <si>
    <t xml:space="preserve">Total Liabilities and Equity </t>
  </si>
  <si>
    <t xml:space="preserve">Cash Flows from Operating Activities </t>
  </si>
  <si>
    <t xml:space="preserve">Net Cash Provided by/(used in) Operating Activities </t>
  </si>
  <si>
    <t xml:space="preserve">Cash Flows from Investing Activities </t>
  </si>
  <si>
    <t xml:space="preserve">Net Cash Provided by/(used in) Investing Activities </t>
  </si>
  <si>
    <t xml:space="preserve">Cash Flows from Financing Activities </t>
  </si>
  <si>
    <t xml:space="preserve">Net Cash Provided by/(used in) Financing Activities </t>
  </si>
  <si>
    <t>Effects of Exchange Rate</t>
  </si>
  <si>
    <t xml:space="preserve">Net Increase/(decrease) in Cash, Cash Equivalents, and Restricted Cash </t>
  </si>
  <si>
    <t xml:space="preserve">Cash, Cash Equivalents, and Restricted Cash at Beginning of Period </t>
  </si>
  <si>
    <t xml:space="preserve">Cash, Cash Equivalents, and Restricted Cash at End of Period </t>
  </si>
  <si>
    <t>"Company Name" Balance Sheet (UNITS)</t>
  </si>
  <si>
    <t xml:space="preserve">Assets </t>
  </si>
  <si>
    <t>Liabilties</t>
  </si>
  <si>
    <t xml:space="preserve">Equity </t>
  </si>
  <si>
    <t>"Company Name" Statements of Cash Flows (UNITS)</t>
  </si>
  <si>
    <t>Year"A"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</si>
</sst>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_);\(0.0%\);0.0%_);@_)"/>
    <numFmt numFmtId="165" formatCode="_(* #,##0_);_(* \(#,##0\);_(* &quot;-&quot;??_);_(@_)"/>
    <numFmt numFmtId="166" formatCode="0.0%"/>
    <numFmt numFmtId="167" formatCode="yyyy\-mm\-dd"/>
    <numFmt numFmtId="168" formatCode="&quot;$&quot;#,##0"/>
    <numFmt numFmtId="169" formatCode="&quot;$&quot;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IBM Plex Sans"/>
      <family val="2"/>
    </font>
    <font>
      <sz val="10"/>
      <color theme="1"/>
      <name val="Arial"/>
      <family val="2"/>
    </font>
    <font>
      <sz val="14"/>
      <color theme="1"/>
      <name val="IBM Plex Sans"/>
      <family val="2"/>
    </font>
    <font>
      <sz val="11"/>
      <color rgb="FFFF0000"/>
      <name val="IBM Plex Sans"/>
      <family val="2"/>
    </font>
    <font>
      <sz val="11"/>
      <color rgb="FF000000"/>
      <name val="IBM Plex Sans"/>
      <family val="2"/>
    </font>
    <font>
      <sz val="11"/>
      <color rgb="FF0000FF"/>
      <name val="IBM Plex Sans"/>
      <family val="2"/>
    </font>
    <font>
      <sz val="10"/>
      <color rgb="FF0000FF"/>
      <name val="IBM Plex Sans"/>
      <family val="2"/>
    </font>
    <font>
      <b/>
      <sz val="11"/>
      <color theme="1"/>
      <name val="IBM Plex Sans"/>
      <family val="2"/>
    </font>
    <font>
      <i/>
      <sz val="11"/>
      <color rgb="FF000000"/>
      <name val="IBM Plex Sans"/>
      <family val="2"/>
    </font>
    <font>
      <b/>
      <sz val="11"/>
      <color rgb="FF000000"/>
      <name val="IBM Plex Sans"/>
      <family val="2"/>
    </font>
    <font>
      <sz val="10"/>
      <color rgb="FF000000"/>
      <name val="IBM Plex Sans"/>
      <family val="2"/>
    </font>
    <font>
      <b/>
      <sz val="10"/>
      <color rgb="FF000000"/>
      <name val="IBM Plex Sans"/>
      <family val="2"/>
    </font>
    <font>
      <b/>
      <sz val="14"/>
      <color theme="1"/>
      <name val="IBM Plex Sans"/>
      <family val="2"/>
    </font>
    <font>
      <sz val="11"/>
      <color rgb="FF00B050"/>
      <name val="IBM Plex Sans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IBM Plex Sans"/>
      <family val="2"/>
    </font>
    <font>
      <sz val="20"/>
      <color theme="1"/>
      <name val="IBM Plex Sans"/>
      <family val="2"/>
    </font>
    <font>
      <b/>
      <sz val="14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/>
    <xf numFmtId="43" fontId="3" fillId="0" borderId="0"/>
    <xf numFmtId="43" fontId="1" fillId="0" borderId="0"/>
    <xf numFmtId="9" fontId="1" fillId="0" borderId="0"/>
  </cellStyleXfs>
  <cellXfs count="133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0" xfId="0" applyFont="1" applyAlignment="1">
      <alignment horizontal="left" indent="1"/>
    </xf>
    <xf numFmtId="0" fontId="6" fillId="0" borderId="1" xfId="0" applyFont="1" applyBorder="1"/>
    <xf numFmtId="0" fontId="10" fillId="0" borderId="0" xfId="0" applyFont="1" applyAlignment="1">
      <alignment horizontal="left" indent="1"/>
    </xf>
    <xf numFmtId="0" fontId="6" fillId="0" borderId="2" xfId="0" applyFont="1" applyBorder="1"/>
    <xf numFmtId="0" fontId="11" fillId="0" borderId="2" xfId="0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2" fillId="0" borderId="2" xfId="0" applyFont="1" applyBorder="1"/>
    <xf numFmtId="0" fontId="4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6" fillId="2" borderId="0" xfId="0" applyFont="1" applyFill="1"/>
    <xf numFmtId="0" fontId="11" fillId="2" borderId="0" xfId="0" applyFont="1" applyFill="1"/>
    <xf numFmtId="0" fontId="9" fillId="2" borderId="0" xfId="0" applyFont="1" applyFill="1"/>
    <xf numFmtId="0" fontId="2" fillId="2" borderId="0" xfId="0" applyFont="1" applyFill="1"/>
    <xf numFmtId="10" fontId="2" fillId="0" borderId="0" xfId="0" applyNumberFormat="1" applyFont="1"/>
    <xf numFmtId="0" fontId="9" fillId="0" borderId="0" xfId="0" applyFont="1"/>
    <xf numFmtId="0" fontId="2" fillId="0" borderId="2" xfId="0" applyFont="1" applyBorder="1"/>
    <xf numFmtId="37" fontId="2" fillId="0" borderId="2" xfId="0" applyNumberFormat="1" applyFont="1" applyBorder="1"/>
    <xf numFmtId="10" fontId="7" fillId="0" borderId="0" xfId="0" applyNumberFormat="1" applyFont="1" applyAlignment="1">
      <alignment horizontal="right"/>
    </xf>
    <xf numFmtId="165" fontId="7" fillId="0" borderId="0" xfId="2" applyNumberFormat="1" applyFont="1" applyAlignment="1">
      <alignment horizontal="right"/>
    </xf>
    <xf numFmtId="165" fontId="7" fillId="0" borderId="0" xfId="1" applyNumberFormat="1" applyFont="1" applyAlignment="1">
      <alignment horizontal="right"/>
    </xf>
    <xf numFmtId="43" fontId="7" fillId="0" borderId="0" xfId="1" applyFont="1" applyAlignment="1">
      <alignment horizontal="right"/>
    </xf>
    <xf numFmtId="14" fontId="2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7" fillId="0" borderId="0" xfId="1" applyNumberFormat="1" applyFont="1" applyAlignment="1">
      <alignment horizontal="left"/>
    </xf>
    <xf numFmtId="10" fontId="8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left"/>
    </xf>
    <xf numFmtId="166" fontId="6" fillId="0" borderId="0" xfId="0" applyNumberFormat="1" applyFont="1" applyAlignment="1">
      <alignment horizontal="left"/>
    </xf>
    <xf numFmtId="10" fontId="7" fillId="0" borderId="0" xfId="0" applyNumberFormat="1" applyFont="1" applyAlignment="1">
      <alignment horizontal="left"/>
    </xf>
    <xf numFmtId="0" fontId="13" fillId="0" borderId="2" xfId="0" applyFont="1" applyBorder="1"/>
    <xf numFmtId="0" fontId="10" fillId="0" borderId="0" xfId="0" applyFont="1" applyAlignment="1">
      <alignment horizontal="left" indent="2"/>
    </xf>
    <xf numFmtId="0" fontId="12" fillId="0" borderId="0" xfId="0" applyFont="1" applyAlignment="1">
      <alignment horizontal="left" indent="2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9" fillId="0" borderId="2" xfId="0" applyFont="1" applyBorder="1" applyAlignment="1">
      <alignment horizontal="center"/>
    </xf>
    <xf numFmtId="0" fontId="7" fillId="0" borderId="0" xfId="0" applyFont="1"/>
    <xf numFmtId="0" fontId="15" fillId="0" borderId="0" xfId="0" applyFont="1"/>
    <xf numFmtId="10" fontId="6" fillId="0" borderId="1" xfId="0" applyNumberFormat="1" applyFont="1" applyBorder="1" applyAlignment="1">
      <alignment horizontal="left"/>
    </xf>
    <xf numFmtId="37" fontId="6" fillId="0" borderId="0" xfId="0" applyNumberFormat="1" applyFont="1"/>
    <xf numFmtId="2" fontId="7" fillId="0" borderId="0" xfId="0" applyNumberFormat="1" applyFont="1"/>
    <xf numFmtId="2" fontId="6" fillId="0" borderId="0" xfId="0" applyNumberFormat="1" applyFont="1"/>
    <xf numFmtId="165" fontId="6" fillId="0" borderId="0" xfId="3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9" fontId="2" fillId="0" borderId="0" xfId="4" applyFont="1"/>
    <xf numFmtId="0" fontId="16" fillId="3" borderId="0" xfId="0" applyFont="1" applyFill="1"/>
    <xf numFmtId="0" fontId="0" fillId="3" borderId="0" xfId="0" applyFill="1"/>
    <xf numFmtId="0" fontId="18" fillId="0" borderId="0" xfId="0" applyFont="1"/>
    <xf numFmtId="0" fontId="0" fillId="2" borderId="0" xfId="0" applyFill="1"/>
    <xf numFmtId="0" fontId="17" fillId="0" borderId="0" xfId="0" applyFont="1"/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left"/>
    </xf>
    <xf numFmtId="0" fontId="4" fillId="4" borderId="0" xfId="0" applyFont="1" applyFill="1"/>
    <xf numFmtId="0" fontId="0" fillId="4" borderId="0" xfId="0" applyFill="1"/>
    <xf numFmtId="0" fontId="2" fillId="4" borderId="0" xfId="0" applyFont="1" applyFill="1"/>
    <xf numFmtId="0" fontId="9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9" fontId="0" fillId="0" borderId="0" xfId="4" applyFont="1"/>
    <xf numFmtId="9" fontId="0" fillId="0" borderId="0" xfId="0" applyNumberFormat="1"/>
    <xf numFmtId="10" fontId="0" fillId="0" borderId="0" xfId="0" applyNumberFormat="1"/>
    <xf numFmtId="9" fontId="2" fillId="0" borderId="0" xfId="0" applyNumberFormat="1" applyFont="1"/>
    <xf numFmtId="0" fontId="6" fillId="0" borderId="0" xfId="0" applyFont="1" applyAlignment="1">
      <alignment horizontal="left"/>
    </xf>
    <xf numFmtId="10" fontId="2" fillId="0" borderId="9" xfId="0" applyNumberFormat="1" applyFont="1" applyBorder="1"/>
    <xf numFmtId="0" fontId="19" fillId="0" borderId="0" xfId="0" applyFont="1"/>
    <xf numFmtId="0" fontId="9" fillId="0" borderId="0" xfId="0" applyFont="1" applyAlignment="1">
      <alignment horizontal="left"/>
    </xf>
    <xf numFmtId="0" fontId="14" fillId="2" borderId="0" xfId="0" applyFont="1" applyFill="1"/>
    <xf numFmtId="0" fontId="2" fillId="2" borderId="12" xfId="0" applyFont="1" applyFill="1" applyBorder="1"/>
    <xf numFmtId="0" fontId="4" fillId="2" borderId="12" xfId="0" applyFont="1" applyFill="1" applyBorder="1"/>
    <xf numFmtId="0" fontId="2" fillId="5" borderId="0" xfId="0" applyFont="1" applyFill="1"/>
    <xf numFmtId="0" fontId="2" fillId="5" borderId="2" xfId="0" applyFont="1" applyFill="1" applyBorder="1"/>
    <xf numFmtId="0" fontId="2" fillId="0" borderId="0" xfId="0" applyFont="1" applyAlignment="1">
      <alignment horizontal="left" indent="1"/>
    </xf>
    <xf numFmtId="10" fontId="2" fillId="5" borderId="2" xfId="0" applyNumberFormat="1" applyFont="1" applyFill="1" applyBorder="1"/>
    <xf numFmtId="37" fontId="6" fillId="5" borderId="0" xfId="0" applyNumberFormat="1" applyFont="1" applyFill="1"/>
    <xf numFmtId="37" fontId="2" fillId="5" borderId="2" xfId="0" applyNumberFormat="1" applyFont="1" applyFill="1" applyBorder="1"/>
    <xf numFmtId="9" fontId="2" fillId="5" borderId="0" xfId="0" applyNumberFormat="1" applyFont="1" applyFill="1"/>
    <xf numFmtId="1" fontId="2" fillId="5" borderId="0" xfId="0" applyNumberFormat="1" applyFont="1" applyFill="1"/>
    <xf numFmtId="1" fontId="2" fillId="5" borderId="2" xfId="0" applyNumberFormat="1" applyFont="1" applyFill="1" applyBorder="1"/>
    <xf numFmtId="1" fontId="9" fillId="5" borderId="0" xfId="0" applyNumberFormat="1" applyFont="1" applyFill="1"/>
    <xf numFmtId="9" fontId="2" fillId="5" borderId="0" xfId="4" applyFont="1" applyFill="1"/>
    <xf numFmtId="1" fontId="9" fillId="5" borderId="2" xfId="0" applyNumberFormat="1" applyFont="1" applyFill="1" applyBorder="1"/>
    <xf numFmtId="1" fontId="9" fillId="0" borderId="12" xfId="0" applyNumberFormat="1" applyFont="1" applyBorder="1"/>
    <xf numFmtId="1" fontId="2" fillId="5" borderId="2" xfId="4" applyNumberFormat="1" applyFont="1" applyFill="1" applyBorder="1"/>
    <xf numFmtId="9" fontId="2" fillId="0" borderId="0" xfId="4" applyFont="1" applyAlignment="1">
      <alignment horizontal="right"/>
    </xf>
    <xf numFmtId="10" fontId="2" fillId="0" borderId="7" xfId="0" applyNumberFormat="1" applyFont="1" applyBorder="1"/>
    <xf numFmtId="10" fontId="2" fillId="0" borderId="8" xfId="0" applyNumberFormat="1" applyFont="1" applyBorder="1"/>
    <xf numFmtId="10" fontId="2" fillId="0" borderId="10" xfId="0" applyNumberFormat="1" applyFont="1" applyBorder="1"/>
    <xf numFmtId="10" fontId="2" fillId="0" borderId="11" xfId="0" applyNumberFormat="1" applyFont="1" applyBorder="1"/>
    <xf numFmtId="0" fontId="2" fillId="6" borderId="0" xfId="0" applyFont="1" applyFill="1" applyAlignment="1">
      <alignment horizontal="left" indent="1"/>
    </xf>
    <xf numFmtId="1" fontId="2" fillId="0" borderId="0" xfId="0" applyNumberFormat="1" applyFont="1"/>
    <xf numFmtId="2" fontId="7" fillId="0" borderId="0" xfId="1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9" fontId="2" fillId="0" borderId="0" xfId="4" applyFont="1" applyAlignment="1">
      <alignment horizontal="center"/>
    </xf>
    <xf numFmtId="1" fontId="2" fillId="0" borderId="14" xfId="0" applyNumberFormat="1" applyFont="1" applyBorder="1"/>
    <xf numFmtId="1" fontId="2" fillId="5" borderId="14" xfId="0" applyNumberFormat="1" applyFont="1" applyFill="1" applyBorder="1"/>
    <xf numFmtId="1" fontId="9" fillId="0" borderId="2" xfId="0" applyNumberFormat="1" applyFont="1" applyBorder="1"/>
    <xf numFmtId="1" fontId="9" fillId="0" borderId="0" xfId="0" applyNumberFormat="1" applyFont="1"/>
    <xf numFmtId="1" fontId="2" fillId="0" borderId="13" xfId="0" applyNumberFormat="1" applyFont="1" applyBorder="1"/>
    <xf numFmtId="1" fontId="9" fillId="5" borderId="1" xfId="0" applyNumberFormat="1" applyFont="1" applyFill="1" applyBorder="1"/>
    <xf numFmtId="1" fontId="2" fillId="5" borderId="13" xfId="0" applyNumberFormat="1" applyFont="1" applyFill="1" applyBorder="1"/>
    <xf numFmtId="1" fontId="9" fillId="5" borderId="13" xfId="0" applyNumberFormat="1" applyFont="1" applyFill="1" applyBorder="1"/>
    <xf numFmtId="9" fontId="2" fillId="0" borderId="0" xfId="4" applyFont="1" applyAlignment="1">
      <alignment horizontal="left"/>
    </xf>
    <xf numFmtId="0" fontId="2" fillId="2" borderId="0" xfId="0" applyFont="1" applyFill="1" applyAlignment="1">
      <alignment horizontal="center"/>
    </xf>
    <xf numFmtId="9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left"/>
    </xf>
    <xf numFmtId="169" fontId="9" fillId="0" borderId="0" xfId="0" applyNumberFormat="1" applyFont="1" applyAlignment="1">
      <alignment horizontal="left"/>
    </xf>
    <xf numFmtId="1" fontId="6" fillId="0" borderId="0" xfId="0" applyNumberFormat="1" applyFont="1"/>
    <xf numFmtId="1" fontId="6" fillId="5" borderId="0" xfId="0" applyNumberFormat="1" applyFont="1" applyFill="1"/>
    <xf numFmtId="168" fontId="2" fillId="0" borderId="2" xfId="0" applyNumberFormat="1" applyFont="1" applyBorder="1" applyAlignment="1">
      <alignment horizontal="left"/>
    </xf>
    <xf numFmtId="169" fontId="9" fillId="0" borderId="0" xfId="0" applyNumberFormat="1" applyFont="1" applyAlignment="1">
      <alignment horizontal="right"/>
    </xf>
    <xf numFmtId="168" fontId="2" fillId="0" borderId="0" xfId="0" applyNumberFormat="1" applyFont="1"/>
    <xf numFmtId="168" fontId="2" fillId="0" borderId="3" xfId="0" applyNumberFormat="1" applyFont="1" applyBorder="1"/>
    <xf numFmtId="168" fontId="2" fillId="0" borderId="6" xfId="0" applyNumberFormat="1" applyFont="1" applyBorder="1"/>
    <xf numFmtId="168" fontId="2" fillId="0" borderId="5" xfId="0" applyNumberFormat="1" applyFont="1" applyBorder="1"/>
    <xf numFmtId="168" fontId="2" fillId="0" borderId="4" xfId="0" applyNumberFormat="1" applyFont="1" applyBorder="1"/>
    <xf numFmtId="3" fontId="2" fillId="0" borderId="0" xfId="0" applyNumberFormat="1" applyFont="1" applyAlignment="1">
      <alignment horizontal="left"/>
    </xf>
    <xf numFmtId="3" fontId="2" fillId="0" borderId="2" xfId="0" applyNumberFormat="1" applyFont="1" applyBorder="1" applyAlignment="1">
      <alignment horizontal="left"/>
    </xf>
    <xf numFmtId="0" fontId="20" fillId="2" borderId="0" xfId="0" applyFont="1" applyFill="1" applyAlignment="1">
      <alignment vertical="center"/>
    </xf>
    <xf numFmtId="0" fontId="9" fillId="0" borderId="2" xfId="0" applyFont="1" applyBorder="1"/>
    <xf numFmtId="0" fontId="9" fillId="0" borderId="1" xfId="0" applyFont="1" applyBorder="1"/>
    <xf numFmtId="0" fontId="2" fillId="0" borderId="13" xfId="0" applyFont="1" applyBorder="1"/>
    <xf numFmtId="0" fontId="9" fillId="0" borderId="13" xfId="0" applyFont="1" applyBorder="1"/>
    <xf numFmtId="0" fontId="9" fillId="0" borderId="12" xfId="0" applyFont="1" applyBorder="1"/>
    <xf numFmtId="0" fontId="2" fillId="0" borderId="0" xfId="0" quotePrefix="1" applyFont="1"/>
    <xf numFmtId="167" fontId="0" fillId="0" borderId="0" xfId="0" applyNumberFormat="1"/>
  </cellXfs>
  <cellStyles count="5">
    <cellStyle name="Comma" xfId="3" builtinId="3"/>
    <cellStyle name="Comma 10" xfId="1" xr:uid="{00000000-0005-0000-0000-000001000000}"/>
    <cellStyle name="Comma 2" xfId="2" xr:uid="{00000000-0005-0000-0000-000002000000}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COBA chair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2E98AB"/>
      </a:accent1>
      <a:accent2>
        <a:srgbClr val="BCAE51"/>
      </a:accent2>
      <a:accent3>
        <a:srgbClr val="588088"/>
      </a:accent3>
      <a:accent4>
        <a:srgbClr val="114874"/>
      </a:accent4>
      <a:accent5>
        <a:srgbClr val="3B594B"/>
      </a:accent5>
      <a:accent6>
        <a:srgbClr val="8AA59F"/>
      </a:accent6>
      <a:hlink>
        <a:srgbClr val="000000"/>
      </a:hlink>
      <a:folHlink>
        <a:srgbClr val="D9D9D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2:B4"/>
  <sheetViews>
    <sheetView showGridLines="0" workbookViewId="0">
      <selection activeCell="L16" sqref="L16"/>
    </sheetView>
  </sheetViews>
  <sheetFormatPr defaultColWidth="8.86328125" defaultRowHeight="16.5" x14ac:dyDescent="0.6"/>
  <cols>
    <col min="1" max="1" width="2.86328125" style="1" customWidth="1"/>
    <col min="2" max="2" width="8.86328125" style="1" customWidth="1"/>
    <col min="3" max="16384" width="8.86328125" style="1"/>
  </cols>
  <sheetData>
    <row r="2" spans="2:2" ht="30.4" customHeight="1" x14ac:dyDescent="1.1000000000000001">
      <c r="B2" s="71" t="s">
        <v>0</v>
      </c>
    </row>
    <row r="3" spans="2:2" ht="24.75" customHeight="1" x14ac:dyDescent="0.9">
      <c r="B3" s="55" t="s">
        <v>1</v>
      </c>
    </row>
    <row r="4" spans="2:2" ht="24.75" customHeight="1" x14ac:dyDescent="0.9">
      <c r="B4" s="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2:J21"/>
  <sheetViews>
    <sheetView showGridLines="0" workbookViewId="0">
      <selection activeCell="C6" sqref="C6"/>
    </sheetView>
  </sheetViews>
  <sheetFormatPr defaultColWidth="8.86328125" defaultRowHeight="16.5" x14ac:dyDescent="0.6"/>
  <cols>
    <col min="1" max="1" width="2.86328125" style="1" customWidth="1"/>
    <col min="2" max="2" width="29.1328125" style="1" bestFit="1" customWidth="1"/>
    <col min="3" max="3" width="12" style="1" customWidth="1"/>
    <col min="4" max="4" width="12" style="1" bestFit="1" customWidth="1"/>
    <col min="5" max="5" width="8.86328125" style="1" customWidth="1"/>
    <col min="6" max="16384" width="8.86328125" style="1"/>
  </cols>
  <sheetData>
    <row r="2" spans="2:10" ht="21" customHeight="1" x14ac:dyDescent="0.75">
      <c r="B2" s="73" t="s">
        <v>0</v>
      </c>
      <c r="C2" s="19"/>
      <c r="D2" s="19"/>
      <c r="E2" s="19"/>
      <c r="F2" s="19"/>
      <c r="G2" s="19"/>
      <c r="H2" s="19"/>
      <c r="I2" s="19"/>
      <c r="J2" s="19"/>
    </row>
    <row r="3" spans="2:10" x14ac:dyDescent="0.6">
      <c r="B3" s="1" t="s">
        <v>3</v>
      </c>
      <c r="C3" t="s">
        <v>1</v>
      </c>
    </row>
    <row r="4" spans="2:10" x14ac:dyDescent="0.6">
      <c r="B4" s="1" t="s">
        <v>4</v>
      </c>
      <c r="C4" s="112">
        <v>477.73</v>
      </c>
      <c r="D4" s="64" t="s">
        <v>5</v>
      </c>
      <c r="E4" s="64"/>
      <c r="F4" s="64"/>
      <c r="G4" s="64"/>
    </row>
    <row r="5" spans="2:10" x14ac:dyDescent="0.6">
      <c r="B5" s="21" t="s">
        <v>6</v>
      </c>
      <c r="C5" s="113">
        <f ca="1">(C9*D9)+(C10*D10)</f>
        <v>433.581492927216</v>
      </c>
      <c r="D5" s="64"/>
      <c r="E5" s="64"/>
      <c r="F5" s="64"/>
      <c r="G5" s="64"/>
    </row>
    <row r="6" spans="2:10" x14ac:dyDescent="0.6">
      <c r="B6" s="1" t="s">
        <v>7</v>
      </c>
      <c r="C6" s="108">
        <f ca="1">(C4/C5-1)</f>
        <v>0.10182285866199337</v>
      </c>
      <c r="D6" s="64"/>
      <c r="E6" s="72"/>
      <c r="F6" s="72"/>
      <c r="G6" s="64"/>
    </row>
    <row r="7" spans="2:10" x14ac:dyDescent="0.6">
      <c r="C7" s="64"/>
      <c r="D7" s="64"/>
      <c r="E7" s="64"/>
      <c r="F7" s="64"/>
      <c r="G7" s="64"/>
    </row>
    <row r="8" spans="2:10" x14ac:dyDescent="0.6">
      <c r="B8" s="18" t="s">
        <v>8</v>
      </c>
      <c r="C8" s="109" t="s">
        <v>9</v>
      </c>
      <c r="D8" s="109" t="s">
        <v>10</v>
      </c>
      <c r="E8" s="64"/>
      <c r="F8" s="64"/>
      <c r="G8" s="64"/>
    </row>
    <row r="9" spans="2:10" x14ac:dyDescent="0.6">
      <c r="B9" s="1" t="s">
        <v>11</v>
      </c>
      <c r="C9" s="110">
        <v>0.5</v>
      </c>
      <c r="D9" s="111">
        <f ca="1">(C13*D13)+(C14*D14)+(C15*D15)</f>
        <v>163.13435792347818</v>
      </c>
      <c r="E9" s="64"/>
      <c r="F9" s="64"/>
      <c r="G9" s="64"/>
    </row>
    <row r="10" spans="2:10" x14ac:dyDescent="0.6">
      <c r="B10" s="1" t="s">
        <v>12</v>
      </c>
      <c r="C10" s="110">
        <v>0.5</v>
      </c>
      <c r="D10" s="111">
        <f>(C18*D18)+(C19*D19)+(C20*D20)+(C21*D21)</f>
        <v>704.0286279309538</v>
      </c>
      <c r="E10" s="64"/>
      <c r="F10" s="64"/>
      <c r="G10" s="64"/>
    </row>
    <row r="11" spans="2:10" x14ac:dyDescent="0.6">
      <c r="C11" s="64"/>
      <c r="D11" s="64"/>
      <c r="E11" s="64"/>
      <c r="F11" s="64"/>
      <c r="G11" s="64"/>
    </row>
    <row r="12" spans="2:10" x14ac:dyDescent="0.6">
      <c r="B12" s="18" t="s">
        <v>13</v>
      </c>
      <c r="C12" s="109" t="s">
        <v>9</v>
      </c>
      <c r="D12" s="109" t="s">
        <v>10</v>
      </c>
      <c r="E12" s="64"/>
      <c r="F12" s="64"/>
      <c r="G12" s="64"/>
    </row>
    <row r="13" spans="2:10" x14ac:dyDescent="0.6">
      <c r="B13" s="1" t="s">
        <v>14</v>
      </c>
      <c r="C13" s="110">
        <v>0.6</v>
      </c>
      <c r="D13" s="111">
        <f ca="1">'DCF Base'!K48</f>
        <v>274.60786165585262</v>
      </c>
      <c r="E13" s="64"/>
      <c r="F13" s="64"/>
      <c r="G13" s="64"/>
    </row>
    <row r="14" spans="2:10" x14ac:dyDescent="0.6">
      <c r="B14" s="1" t="s">
        <v>15</v>
      </c>
      <c r="C14" s="110">
        <v>0.2</v>
      </c>
      <c r="D14" s="111">
        <f ca="1">'DCF Bear'!K48</f>
        <v>-4.0661202234842042</v>
      </c>
      <c r="E14" s="64"/>
      <c r="F14" s="64"/>
      <c r="G14" s="64"/>
    </row>
    <row r="15" spans="2:10" x14ac:dyDescent="0.6">
      <c r="B15" s="1" t="s">
        <v>16</v>
      </c>
      <c r="C15" s="110">
        <v>0.2</v>
      </c>
      <c r="D15" s="111">
        <f ca="1">'DCF Bull'!K48</f>
        <v>-4.0856751266826814</v>
      </c>
      <c r="E15" s="64"/>
      <c r="F15" s="64"/>
      <c r="G15" s="64"/>
    </row>
    <row r="16" spans="2:10" x14ac:dyDescent="0.6">
      <c r="C16" s="64"/>
      <c r="D16" s="64"/>
      <c r="E16" s="64"/>
      <c r="F16" s="64"/>
      <c r="G16" s="64"/>
    </row>
    <row r="17" spans="2:4" x14ac:dyDescent="0.6">
      <c r="B17" s="18" t="s">
        <v>17</v>
      </c>
      <c r="C17" s="109" t="s">
        <v>9</v>
      </c>
      <c r="D17" s="109" t="s">
        <v>10</v>
      </c>
    </row>
    <row r="18" spans="2:4" x14ac:dyDescent="0.6">
      <c r="B18" s="1" t="s">
        <v>18</v>
      </c>
      <c r="C18" s="110">
        <f>RV!J5</f>
        <v>0.25</v>
      </c>
      <c r="D18" s="111">
        <f>RV!D13</f>
        <v>376.30210828529397</v>
      </c>
    </row>
    <row r="19" spans="2:4" x14ac:dyDescent="0.6">
      <c r="B19" s="1" t="s">
        <v>19</v>
      </c>
      <c r="C19" s="110">
        <f>RV!J6</f>
        <v>0.25</v>
      </c>
      <c r="D19" s="111">
        <f>RV!E13</f>
        <v>375.29697200151423</v>
      </c>
    </row>
    <row r="20" spans="2:4" x14ac:dyDescent="0.6">
      <c r="B20" s="1" t="s">
        <v>20</v>
      </c>
      <c r="C20" s="110">
        <f>RV!J7</f>
        <v>0.25</v>
      </c>
      <c r="D20" s="111">
        <f>RV!F13</f>
        <v>959.41995525254845</v>
      </c>
    </row>
    <row r="21" spans="2:4" x14ac:dyDescent="0.6">
      <c r="B21" s="1" t="s">
        <v>21</v>
      </c>
      <c r="C21" s="110">
        <f>RV!J8</f>
        <v>0.25</v>
      </c>
      <c r="D21" s="111">
        <f>RV!G13</f>
        <v>1105.0954761844587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S58"/>
  <sheetViews>
    <sheetView showGridLines="0" zoomScale="75" zoomScaleNormal="100" workbookViewId="0">
      <selection activeCell="E13" sqref="E13"/>
    </sheetView>
  </sheetViews>
  <sheetFormatPr defaultColWidth="8.86328125" defaultRowHeight="16.5" x14ac:dyDescent="0.6"/>
  <cols>
    <col min="1" max="1" width="2.86328125" style="1" customWidth="1"/>
    <col min="2" max="2" width="21.1328125" style="1" bestFit="1" customWidth="1"/>
    <col min="3" max="3" width="6.53125" style="1" customWidth="1"/>
    <col min="4" max="12" width="12.86328125" style="1" customWidth="1"/>
    <col min="13" max="13" width="21.46484375" style="1" bestFit="1" customWidth="1"/>
    <col min="14" max="14" width="11.53125" style="1" customWidth="1"/>
    <col min="15" max="15" width="8.86328125" style="1" customWidth="1"/>
    <col min="16" max="16384" width="8.86328125" style="1"/>
  </cols>
  <sheetData>
    <row r="1" spans="1:14" x14ac:dyDescent="0.6">
      <c r="A1" s="2"/>
      <c r="K1" s="2"/>
    </row>
    <row r="2" spans="1:14" ht="21.6" customHeight="1" x14ac:dyDescent="0.6">
      <c r="B2" s="15" t="s">
        <v>22</v>
      </c>
      <c r="C2" s="14"/>
      <c r="D2" s="14"/>
      <c r="E2" s="14"/>
      <c r="F2" s="14"/>
      <c r="G2" s="14"/>
      <c r="H2" s="14"/>
      <c r="I2" s="14"/>
      <c r="J2" s="14"/>
      <c r="M2" s="2"/>
    </row>
    <row r="3" spans="1:14" x14ac:dyDescent="0.6">
      <c r="G3" s="2"/>
    </row>
    <row r="4" spans="1:14" x14ac:dyDescent="0.6">
      <c r="B4" s="17" t="s">
        <v>23</v>
      </c>
      <c r="C4" s="16"/>
      <c r="D4" s="16"/>
      <c r="E4" s="16">
        <v>0.1</v>
      </c>
      <c r="G4" s="17" t="s">
        <v>24</v>
      </c>
      <c r="H4" s="16"/>
      <c r="I4" s="16"/>
      <c r="J4" s="16"/>
    </row>
    <row r="5" spans="1:14" x14ac:dyDescent="0.6">
      <c r="B5" s="3" t="s">
        <v>25</v>
      </c>
      <c r="E5" s="97">
        <f>Beta!C5</f>
        <v>1.1566004260148679</v>
      </c>
      <c r="G5" s="1" t="s">
        <v>26</v>
      </c>
      <c r="J5" s="28">
        <v>46022</v>
      </c>
    </row>
    <row r="6" spans="1:14" x14ac:dyDescent="0.6">
      <c r="B6" s="3" t="s">
        <v>27</v>
      </c>
      <c r="E6" s="31">
        <v>4.3299999999999998E-2</v>
      </c>
      <c r="G6" s="3" t="s">
        <v>28</v>
      </c>
      <c r="J6" s="24">
        <v>2.5000000000000001E-2</v>
      </c>
      <c r="N6" s="44"/>
    </row>
    <row r="7" spans="1:14" x14ac:dyDescent="0.6">
      <c r="B7" s="3" t="s">
        <v>29</v>
      </c>
      <c r="E7" s="31">
        <v>4.0599999999999997E-2</v>
      </c>
      <c r="G7" s="3" t="s">
        <v>30</v>
      </c>
      <c r="J7" s="25">
        <v>30242</v>
      </c>
      <c r="N7" s="45"/>
    </row>
    <row r="8" spans="1:14" x14ac:dyDescent="0.6">
      <c r="B8" s="3" t="s">
        <v>31</v>
      </c>
      <c r="E8" s="32">
        <f>E7+(E5*E6)</f>
        <v>9.0680798446443778E-2</v>
      </c>
      <c r="G8" s="3" t="s">
        <v>32</v>
      </c>
      <c r="J8" s="26">
        <v>7465</v>
      </c>
    </row>
    <row r="9" spans="1:14" x14ac:dyDescent="0.6">
      <c r="B9" s="3" t="s">
        <v>33</v>
      </c>
      <c r="E9" s="32">
        <f>J10/SUM(J10:J11)</f>
        <v>0.98322386893496871</v>
      </c>
      <c r="G9" s="3" t="s">
        <v>34</v>
      </c>
      <c r="J9" s="27">
        <v>477.73</v>
      </c>
    </row>
    <row r="10" spans="1:14" x14ac:dyDescent="0.6">
      <c r="B10" s="3" t="s">
        <v>35</v>
      </c>
      <c r="E10" s="33">
        <f>'3 Statement'!O9</f>
        <v>0.05</v>
      </c>
      <c r="G10" s="3" t="s">
        <v>36</v>
      </c>
      <c r="J10" s="29">
        <v>3550971.7669770001</v>
      </c>
    </row>
    <row r="11" spans="1:14" x14ac:dyDescent="0.6">
      <c r="B11" s="5" t="s">
        <v>37</v>
      </c>
      <c r="E11" s="69">
        <f>E10*(1-E13)</f>
        <v>4.8000000000000001E-2</v>
      </c>
      <c r="G11" s="3" t="s">
        <v>38</v>
      </c>
      <c r="J11" s="26">
        <v>60588</v>
      </c>
    </row>
    <row r="12" spans="1:14" x14ac:dyDescent="0.6">
      <c r="B12" s="3" t="s">
        <v>39</v>
      </c>
      <c r="E12" s="69">
        <f>1-E9</f>
        <v>1.6776131065031286E-2</v>
      </c>
      <c r="G12" s="1" t="s">
        <v>40</v>
      </c>
      <c r="J12" s="44" t="s">
        <v>41</v>
      </c>
    </row>
    <row r="13" spans="1:14" x14ac:dyDescent="0.6">
      <c r="B13" s="3" t="s">
        <v>42</v>
      </c>
      <c r="E13" s="35">
        <f>'3 Statement'!O8</f>
        <v>0.04</v>
      </c>
    </row>
    <row r="14" spans="1:14" ht="16.899999999999999" customHeight="1" thickBot="1" x14ac:dyDescent="0.65">
      <c r="B14" s="6" t="s">
        <v>43</v>
      </c>
      <c r="C14" s="6"/>
      <c r="D14" s="6"/>
      <c r="E14" s="98">
        <f>(E9*E8)+(E12*E10*(1-E13))</f>
        <v>8.9964779777746057E-2</v>
      </c>
    </row>
    <row r="15" spans="1:14" ht="16.899999999999999" customHeight="1" thickTop="1" x14ac:dyDescent="0.6"/>
    <row r="16" spans="1:14" x14ac:dyDescent="0.6">
      <c r="B16" s="18" t="s">
        <v>44</v>
      </c>
      <c r="C16" s="19"/>
      <c r="D16" s="19" t="s">
        <v>45</v>
      </c>
      <c r="E16" s="19" t="s">
        <v>46</v>
      </c>
      <c r="F16" s="19" t="s">
        <v>47</v>
      </c>
      <c r="G16" s="19" t="s">
        <v>48</v>
      </c>
      <c r="H16" s="19" t="s">
        <v>49</v>
      </c>
      <c r="I16" s="19" t="s">
        <v>50</v>
      </c>
      <c r="J16" s="19" t="s">
        <v>51</v>
      </c>
      <c r="K16" s="19" t="s">
        <v>51</v>
      </c>
      <c r="M16" s="21"/>
    </row>
    <row r="17" spans="2:19" x14ac:dyDescent="0.6">
      <c r="B17" s="3" t="s">
        <v>52</v>
      </c>
      <c r="D17" s="1">
        <f>'3 Statement'!D5</f>
        <v>211915</v>
      </c>
      <c r="E17" s="1">
        <f>'3 Statement'!E5</f>
        <v>245122</v>
      </c>
      <c r="F17" s="1">
        <f>'3 Statement'!F5</f>
        <v>281724</v>
      </c>
      <c r="G17" s="83">
        <f>'3 Statement'!G5</f>
        <v>284541.24</v>
      </c>
      <c r="H17" s="83">
        <f>'3 Statement'!H5</f>
        <v>287386.65240000002</v>
      </c>
      <c r="I17" s="83">
        <f>'3 Statement'!I5</f>
        <v>290260.51892400003</v>
      </c>
      <c r="J17" s="83">
        <f>'3 Statement'!J5</f>
        <v>293163.12411324005</v>
      </c>
      <c r="K17" s="83">
        <f>'3 Statement'!K5</f>
        <v>296094.75535437244</v>
      </c>
      <c r="O17" s="52"/>
      <c r="P17" s="52"/>
      <c r="Q17" s="52"/>
      <c r="R17" s="52"/>
      <c r="S17" s="52"/>
    </row>
    <row r="18" spans="2:19" x14ac:dyDescent="0.6">
      <c r="B18" s="37" t="s">
        <v>53</v>
      </c>
      <c r="E18" s="52">
        <f>E17/D17-1</f>
        <v>0.1566996201307127</v>
      </c>
      <c r="F18" s="52">
        <f>F17/E17-1</f>
        <v>0.14932156232406713</v>
      </c>
      <c r="G18" s="86">
        <f>((1+'3 Statement'!O5)-1)*100</f>
        <v>1.0000000000000009</v>
      </c>
      <c r="H18" s="86">
        <f>((1+'3 Statement'!P5)-1)*100</f>
        <v>1.0000000000000009</v>
      </c>
      <c r="I18" s="86">
        <f>((1+'3 Statement'!Q5)-1)*100</f>
        <v>1.0000000000000009</v>
      </c>
      <c r="J18" s="86">
        <f>((1+'3 Statement'!R5)-1)*100</f>
        <v>1.0000000000000009</v>
      </c>
      <c r="K18" s="86">
        <f>((1+'3 Statement'!S5)-1)*100</f>
        <v>1.0000000000000009</v>
      </c>
      <c r="O18" s="20"/>
    </row>
    <row r="19" spans="2:19" x14ac:dyDescent="0.6">
      <c r="B19" s="3" t="s">
        <v>54</v>
      </c>
      <c r="D19" s="1">
        <f>'3 Statement'!D6</f>
        <v>65863</v>
      </c>
      <c r="E19" s="1">
        <f>'3 Statement'!E6</f>
        <v>74114</v>
      </c>
      <c r="F19" s="1">
        <f>'3 Statement'!F6</f>
        <v>87831</v>
      </c>
      <c r="G19" s="83">
        <f>'3 Statement'!G6</f>
        <v>83018.485199999966</v>
      </c>
      <c r="H19" s="83">
        <f>'3 Statement'!H6</f>
        <v>78100.937003999978</v>
      </c>
      <c r="I19" s="83">
        <f>'3 Statement'!I6</f>
        <v>73076.735995559982</v>
      </c>
      <c r="J19" s="83">
        <f>'3 Statement'!J6</f>
        <v>67944.24087325079</v>
      </c>
      <c r="K19" s="83">
        <f>'3 Statement'!K6</f>
        <v>62701.788174895832</v>
      </c>
      <c r="O19" s="20"/>
    </row>
    <row r="20" spans="2:19" x14ac:dyDescent="0.6">
      <c r="B20" s="8" t="s">
        <v>55</v>
      </c>
      <c r="C20" s="22"/>
      <c r="D20" s="22">
        <f t="shared" ref="D20:K20" si="0">D17-D19</f>
        <v>146052</v>
      </c>
      <c r="E20" s="22">
        <f t="shared" si="0"/>
        <v>171008</v>
      </c>
      <c r="F20" s="22">
        <f t="shared" si="0"/>
        <v>193893</v>
      </c>
      <c r="G20" s="84">
        <f t="shared" si="0"/>
        <v>201522.75480000002</v>
      </c>
      <c r="H20" s="84">
        <f t="shared" si="0"/>
        <v>209285.71539600004</v>
      </c>
      <c r="I20" s="84">
        <f t="shared" si="0"/>
        <v>217183.78292844005</v>
      </c>
      <c r="J20" s="84">
        <f t="shared" si="0"/>
        <v>225218.88323998926</v>
      </c>
      <c r="K20" s="84">
        <f t="shared" si="0"/>
        <v>233392.9671794766</v>
      </c>
    </row>
    <row r="21" spans="2:19" x14ac:dyDescent="0.6">
      <c r="B21" s="37" t="s">
        <v>56</v>
      </c>
      <c r="D21" s="20"/>
      <c r="E21" s="52">
        <f>E20/D20-1</f>
        <v>0.1708706488100129</v>
      </c>
      <c r="F21" s="52">
        <f>F20/E20-1</f>
        <v>0.13382414857784442</v>
      </c>
      <c r="G21" s="82">
        <f>'3 Statement'!G8</f>
        <v>0.70823742386165189</v>
      </c>
      <c r="H21" s="82">
        <f>'3 Statement'!H8</f>
        <v>0.72823742386165191</v>
      </c>
      <c r="I21" s="82">
        <f>'3 Statement'!I8</f>
        <v>0.74823742386165193</v>
      </c>
      <c r="J21" s="82">
        <f>'3 Statement'!J8</f>
        <v>0.76823742386165195</v>
      </c>
      <c r="K21" s="82">
        <f>'3 Statement'!K8</f>
        <v>0.78823742386165196</v>
      </c>
      <c r="O21" s="68"/>
    </row>
    <row r="22" spans="2:19" x14ac:dyDescent="0.6">
      <c r="B22" s="7"/>
      <c r="G22" s="76"/>
      <c r="H22" s="76"/>
      <c r="I22" s="76"/>
      <c r="J22" s="76"/>
      <c r="K22" s="76"/>
      <c r="O22" s="68"/>
    </row>
    <row r="23" spans="2:19" x14ac:dyDescent="0.6">
      <c r="B23" s="3" t="s">
        <v>57</v>
      </c>
      <c r="D23" s="1">
        <f>SUM('3 Statement'!D9:D11)</f>
        <v>242768</v>
      </c>
      <c r="E23" s="1">
        <f>SUM('3 Statement'!E9:E11)</f>
        <v>269063</v>
      </c>
      <c r="F23" s="1">
        <f>SUM('3 Statement'!F9:F11)</f>
        <v>303417</v>
      </c>
      <c r="G23" s="83">
        <f>SUM('3 Statement'!G9:G11)</f>
        <v>149133.52913668001</v>
      </c>
      <c r="H23" s="83">
        <f>SUM('3 Statement'!H9:H11)</f>
        <v>65680.536339370083</v>
      </c>
      <c r="I23" s="83">
        <f>SUM('3 Statement'!I9:I11)</f>
        <v>25960.519285135812</v>
      </c>
      <c r="J23" s="83">
        <f>SUM('3 Statement'!J9:J11)</f>
        <v>9217.4147097458372</v>
      </c>
      <c r="K23" s="83">
        <f>SUM('3 Statement'!K9:K11)</f>
        <v>2940.7391995626313</v>
      </c>
    </row>
    <row r="24" spans="2:19" x14ac:dyDescent="0.6">
      <c r="B24" s="9" t="s">
        <v>58</v>
      </c>
      <c r="C24" s="22"/>
      <c r="D24" s="22">
        <f>D20+D23</f>
        <v>388820</v>
      </c>
      <c r="E24" s="22">
        <f>E20+E23</f>
        <v>440071</v>
      </c>
      <c r="F24" s="22">
        <f>F20+F23</f>
        <v>497310</v>
      </c>
      <c r="G24" s="89">
        <f>'3 Statement'!G12</f>
        <v>138349.5172</v>
      </c>
      <c r="H24" s="89">
        <f>'3 Statement'!H12</f>
        <v>148354.61194400003</v>
      </c>
      <c r="I24" s="89">
        <f>'3 Statement'!I12</f>
        <v>158545.97363116004</v>
      </c>
      <c r="J24" s="89">
        <f>'3 Statement'!J12</f>
        <v>168926.32709086887</v>
      </c>
      <c r="K24" s="89">
        <f>'3 Statement'!K12</f>
        <v>179498.43302240872</v>
      </c>
    </row>
    <row r="25" spans="2:19" x14ac:dyDescent="0.6">
      <c r="B25" s="7" t="s">
        <v>59</v>
      </c>
      <c r="D25" s="52">
        <f>D24/D17</f>
        <v>1.8347922516103154</v>
      </c>
      <c r="E25" s="52">
        <f>E24/E17</f>
        <v>1.7953141700867323</v>
      </c>
      <c r="F25" s="52">
        <f>F24/F17</f>
        <v>1.7652383183541338</v>
      </c>
      <c r="G25" s="82">
        <f>'3 Statement'!G13</f>
        <v>0.48621956240859854</v>
      </c>
      <c r="H25" s="82">
        <f>'3 Statement'!H13</f>
        <v>0.51621956240859856</v>
      </c>
      <c r="I25" s="82">
        <f>'3 Statement'!I13</f>
        <v>0.54621956240859859</v>
      </c>
      <c r="J25" s="82">
        <f>'3 Statement'!J13</f>
        <v>0.57621956240859862</v>
      </c>
      <c r="K25" s="82">
        <f>'3 Statement'!K13</f>
        <v>0.60621956240859864</v>
      </c>
      <c r="N25" s="2"/>
    </row>
    <row r="26" spans="2:19" x14ac:dyDescent="0.6">
      <c r="B26" s="7"/>
      <c r="G26" s="76"/>
      <c r="H26" s="76"/>
      <c r="I26" s="76"/>
      <c r="J26" s="76"/>
      <c r="K26" s="76"/>
    </row>
    <row r="27" spans="2:19" x14ac:dyDescent="0.6">
      <c r="B27" s="10" t="s">
        <v>60</v>
      </c>
      <c r="D27" s="47">
        <f t="shared" ref="D27:K27" si="1">D24*(1-$E$13)</f>
        <v>373267.20000000001</v>
      </c>
      <c r="E27" s="47">
        <f t="shared" si="1"/>
        <v>422468.16</v>
      </c>
      <c r="F27" s="47">
        <f t="shared" si="1"/>
        <v>477417.6</v>
      </c>
      <c r="G27" s="80">
        <f t="shared" si="1"/>
        <v>132815.53651199999</v>
      </c>
      <c r="H27" s="80">
        <f t="shared" si="1"/>
        <v>142420.42746624001</v>
      </c>
      <c r="I27" s="80">
        <f t="shared" si="1"/>
        <v>152204.13468591362</v>
      </c>
      <c r="J27" s="80">
        <f t="shared" si="1"/>
        <v>162169.27400723411</v>
      </c>
      <c r="K27" s="80">
        <f t="shared" si="1"/>
        <v>172318.49570151235</v>
      </c>
    </row>
    <row r="28" spans="2:19" x14ac:dyDescent="0.6">
      <c r="B28" s="3" t="s">
        <v>61</v>
      </c>
      <c r="D28" s="1">
        <f>'3 Statement'!D71</f>
        <v>13861</v>
      </c>
      <c r="E28" s="1">
        <f>'3 Statement'!E71</f>
        <v>22287</v>
      </c>
      <c r="F28" s="1">
        <f>'3 Statement'!F71</f>
        <v>34153</v>
      </c>
      <c r="G28" s="83">
        <f>'3 Statement'!G71</f>
        <v>13787.34</v>
      </c>
      <c r="H28" s="83">
        <f>'3 Statement'!H71</f>
        <v>14971.128407999999</v>
      </c>
      <c r="I28" s="83">
        <f>'3 Statement'!I71</f>
        <v>15028.524292080001</v>
      </c>
      <c r="J28" s="83">
        <f>'3 Statement'!J71</f>
        <v>15086.494135000801</v>
      </c>
      <c r="K28" s="83">
        <f>'3 Statement'!K71</f>
        <v>15145.043676350808</v>
      </c>
    </row>
    <row r="29" spans="2:19" x14ac:dyDescent="0.6">
      <c r="B29" s="3" t="s">
        <v>62</v>
      </c>
      <c r="D29" s="1">
        <f>'3 Statement'!D78</f>
        <v>-28107</v>
      </c>
      <c r="E29" s="1">
        <f>'3 Statement'!E78</f>
        <v>-44477</v>
      </c>
      <c r="F29" s="1">
        <f>'3 Statement'!F78</f>
        <v>-64551</v>
      </c>
      <c r="G29" s="83">
        <f>'3 Statement'!G78</f>
        <v>-9</v>
      </c>
      <c r="H29" s="83">
        <f>'3 Statement'!H78</f>
        <v>-9</v>
      </c>
      <c r="I29" s="83">
        <f>'3 Statement'!I78</f>
        <v>-9</v>
      </c>
      <c r="J29" s="83">
        <f>'3 Statement'!J78</f>
        <v>-9</v>
      </c>
      <c r="K29" s="83">
        <f>'3 Statement'!K78</f>
        <v>-9</v>
      </c>
    </row>
    <row r="30" spans="2:19" x14ac:dyDescent="0.6">
      <c r="B30" s="3" t="s">
        <v>63</v>
      </c>
      <c r="D30" s="1">
        <f>'3 Statement'!D74</f>
        <v>-2388</v>
      </c>
      <c r="E30" s="1">
        <f>'3 Statement'!E74</f>
        <v>1824</v>
      </c>
      <c r="F30" s="1">
        <f>'3 Statement'!F74</f>
        <v>-5350</v>
      </c>
      <c r="G30" s="83">
        <f>'3 Statement'!G74</f>
        <v>-18932.526799999992</v>
      </c>
      <c r="H30" s="83">
        <f>'3 Statement'!H74</f>
        <v>-151.34526800000458</v>
      </c>
      <c r="I30" s="83">
        <f>'3 Statement'!I74</f>
        <v>-152.85872068002936</v>
      </c>
      <c r="J30" s="83">
        <f>'3 Statement'!J74</f>
        <v>-154.38730788679095</v>
      </c>
      <c r="K30" s="83">
        <f>'3 Statement'!K74</f>
        <v>-155.93118096565013</v>
      </c>
    </row>
    <row r="31" spans="2:19" x14ac:dyDescent="0.6">
      <c r="B31" s="9" t="s">
        <v>64</v>
      </c>
      <c r="C31" s="22"/>
      <c r="D31" s="23">
        <f t="shared" ref="D31:K31" si="2">D27+D28+D29+D30</f>
        <v>356633.2</v>
      </c>
      <c r="E31" s="23">
        <f t="shared" si="2"/>
        <v>402102.16</v>
      </c>
      <c r="F31" s="23">
        <f t="shared" si="2"/>
        <v>441669.6</v>
      </c>
      <c r="G31" s="81">
        <f t="shared" si="2"/>
        <v>127661.349712</v>
      </c>
      <c r="H31" s="81">
        <f t="shared" si="2"/>
        <v>157231.21060624</v>
      </c>
      <c r="I31" s="81">
        <f t="shared" si="2"/>
        <v>167070.80025731359</v>
      </c>
      <c r="J31" s="81">
        <f t="shared" si="2"/>
        <v>177092.38083434812</v>
      </c>
      <c r="K31" s="81">
        <f t="shared" si="2"/>
        <v>187298.60819689752</v>
      </c>
    </row>
    <row r="33" spans="2:16" x14ac:dyDescent="0.6">
      <c r="B33" s="17" t="s">
        <v>65</v>
      </c>
      <c r="C33" s="19"/>
      <c r="D33" s="19"/>
      <c r="E33" s="19"/>
      <c r="F33" s="19"/>
      <c r="G33" s="19" t="s">
        <v>48</v>
      </c>
      <c r="H33" s="19" t="s">
        <v>49</v>
      </c>
      <c r="I33" s="19" t="s">
        <v>50</v>
      </c>
      <c r="J33" s="19" t="s">
        <v>51</v>
      </c>
      <c r="K33" s="19" t="s">
        <v>51</v>
      </c>
    </row>
    <row r="34" spans="2:16" x14ac:dyDescent="0.6">
      <c r="B34" s="3" t="s">
        <v>66</v>
      </c>
      <c r="G34" s="48">
        <f ca="1">YEARFRAC(TODAY(),$J$5)</f>
        <v>7.4999999999999997E-2</v>
      </c>
      <c r="H34" s="48">
        <f ca="1">G34+1</f>
        <v>1.075</v>
      </c>
      <c r="I34" s="48">
        <f ca="1">H34+1</f>
        <v>2.0750000000000002</v>
      </c>
      <c r="J34" s="48">
        <f ca="1">I34+1</f>
        <v>3.0750000000000002</v>
      </c>
      <c r="K34" s="48">
        <f ca="1">J34+1</f>
        <v>4.0750000000000002</v>
      </c>
      <c r="N34" s="4"/>
      <c r="O34" s="4"/>
      <c r="P34" s="4"/>
    </row>
    <row r="35" spans="2:16" x14ac:dyDescent="0.6">
      <c r="B35" s="3" t="s">
        <v>67</v>
      </c>
      <c r="G35" s="49">
        <f ca="1">(1/(1+$E$14))^G34</f>
        <v>0.99355992299224716</v>
      </c>
      <c r="H35" s="49">
        <f ca="1">(1/(1+$E$14))^H34</f>
        <v>0.91155231932800906</v>
      </c>
      <c r="I35" s="49">
        <f ca="1">(1/(1+$E$14))^I34</f>
        <v>0.83631355456630718</v>
      </c>
      <c r="J35" s="49">
        <f ca="1">(1/(1+$E$14))^J34</f>
        <v>0.76728493441488932</v>
      </c>
      <c r="K35" s="49">
        <f ca="1">(1/(1+$E$14))^K34</f>
        <v>0.70395387874032567</v>
      </c>
      <c r="N35" s="49"/>
      <c r="O35" s="49"/>
      <c r="P35" s="49"/>
    </row>
    <row r="36" spans="2:16" x14ac:dyDescent="0.6">
      <c r="B36" s="3"/>
      <c r="N36" s="49"/>
      <c r="O36" s="49"/>
      <c r="P36" s="49"/>
    </row>
    <row r="37" spans="2:16" x14ac:dyDescent="0.6">
      <c r="B37" s="11" t="s">
        <v>68</v>
      </c>
      <c r="G37" s="1">
        <f ca="1">G31*G35</f>
        <v>126839.20078894105</v>
      </c>
      <c r="H37" s="1">
        <f ca="1">H31*H35</f>
        <v>143324.47469886873</v>
      </c>
      <c r="I37" s="1">
        <f ca="1">I31*I35</f>
        <v>139723.57482743144</v>
      </c>
      <c r="J37" s="1">
        <f ca="1">J31*J35</f>
        <v>135880.3158138594</v>
      </c>
      <c r="K37" s="1">
        <f ca="1">K31*K35</f>
        <v>131849.58172287056</v>
      </c>
    </row>
    <row r="38" spans="2:16" x14ac:dyDescent="0.6">
      <c r="B38" s="12" t="s">
        <v>69</v>
      </c>
      <c r="K38" s="21">
        <f ca="1">SUM(G37:K37)</f>
        <v>677617.14785197109</v>
      </c>
      <c r="N38" s="2"/>
    </row>
    <row r="39" spans="2:16" x14ac:dyDescent="0.6">
      <c r="B39" s="12"/>
    </row>
    <row r="40" spans="2:16" x14ac:dyDescent="0.6">
      <c r="B40" s="11" t="s">
        <v>70</v>
      </c>
      <c r="K40" s="50">
        <f>(K31*(1+J6))/(E14-J6)</f>
        <v>2955156.2255519843</v>
      </c>
    </row>
    <row r="41" spans="2:16" x14ac:dyDescent="0.6">
      <c r="B41" s="12" t="s">
        <v>71</v>
      </c>
      <c r="K41" s="39">
        <f ca="1">K40*K35</f>
        <v>2080293.68726094</v>
      </c>
    </row>
    <row r="42" spans="2:16" x14ac:dyDescent="0.6">
      <c r="B42" s="12"/>
      <c r="K42" s="40"/>
    </row>
    <row r="43" spans="2:16" x14ac:dyDescent="0.6">
      <c r="B43" s="12" t="s">
        <v>72</v>
      </c>
      <c r="K43" s="40">
        <f ca="1">K41+K38</f>
        <v>2757910.8351129112</v>
      </c>
    </row>
    <row r="44" spans="2:16" x14ac:dyDescent="0.6">
      <c r="B44" s="11" t="s">
        <v>73</v>
      </c>
      <c r="K44" s="51">
        <f>J11-J7</f>
        <v>30346</v>
      </c>
    </row>
    <row r="45" spans="2:16" x14ac:dyDescent="0.6">
      <c r="B45" s="13" t="s">
        <v>74</v>
      </c>
      <c r="C45" s="22"/>
      <c r="D45" s="22"/>
      <c r="E45" s="22"/>
      <c r="F45" s="22"/>
      <c r="G45" s="22"/>
      <c r="H45" s="22"/>
      <c r="I45" s="22"/>
      <c r="J45" s="22"/>
      <c r="K45" s="41">
        <f ca="1">K41-K44</f>
        <v>2049947.68726094</v>
      </c>
    </row>
    <row r="46" spans="2:16" x14ac:dyDescent="0.6">
      <c r="B46" s="12"/>
      <c r="K46" s="40"/>
    </row>
    <row r="47" spans="2:16" x14ac:dyDescent="0.6">
      <c r="B47" s="11" t="s">
        <v>75</v>
      </c>
      <c r="K47" s="42">
        <f>J8</f>
        <v>7465</v>
      </c>
    </row>
    <row r="48" spans="2:16" x14ac:dyDescent="0.6">
      <c r="B48" s="36" t="s">
        <v>76</v>
      </c>
      <c r="C48" s="22"/>
      <c r="D48" s="22"/>
      <c r="E48" s="22"/>
      <c r="F48" s="22"/>
      <c r="G48" s="22"/>
      <c r="H48" s="22"/>
      <c r="I48" s="22"/>
      <c r="J48" s="22"/>
      <c r="K48" s="43">
        <f ca="1">K45/K47</f>
        <v>274.60786165585262</v>
      </c>
    </row>
    <row r="49" spans="2:11" x14ac:dyDescent="0.6">
      <c r="B49" s="38" t="s">
        <v>7</v>
      </c>
      <c r="K49" s="99">
        <f ca="1">(K48/J9-1)</f>
        <v>-0.42518187751271097</v>
      </c>
    </row>
    <row r="51" spans="2:11" x14ac:dyDescent="0.6">
      <c r="B51" s="18" t="s">
        <v>77</v>
      </c>
      <c r="C51" s="18"/>
      <c r="D51" s="18"/>
      <c r="E51" s="18"/>
      <c r="F51" s="18"/>
      <c r="G51" s="18"/>
      <c r="H51" s="18"/>
      <c r="I51" s="18"/>
      <c r="J51" s="18"/>
      <c r="K51" s="18"/>
    </row>
    <row r="52" spans="2:11" ht="16.899999999999999" customHeight="1" thickBot="1" x14ac:dyDescent="0.65">
      <c r="B52" s="1" t="s">
        <v>78</v>
      </c>
      <c r="C52" s="68">
        <v>0.02</v>
      </c>
      <c r="E52" s="20"/>
      <c r="F52" s="20"/>
      <c r="G52" s="52"/>
      <c r="H52" s="20"/>
      <c r="I52" s="20"/>
    </row>
    <row r="53" spans="2:11" x14ac:dyDescent="0.6">
      <c r="B53" s="1" t="s">
        <v>79</v>
      </c>
      <c r="C53" s="68">
        <v>2.5000000000000001E-3</v>
      </c>
      <c r="E53" s="70">
        <f ca="1">K48</f>
        <v>274.60786165585262</v>
      </c>
      <c r="F53" s="93">
        <f>G53-C53</f>
        <v>2.0000000000000004E-2</v>
      </c>
      <c r="G53" s="93">
        <f>H53-C53</f>
        <v>2.2500000000000003E-2</v>
      </c>
      <c r="H53" s="93">
        <f>J6</f>
        <v>2.5000000000000001E-2</v>
      </c>
      <c r="I53" s="93">
        <f>H53+C53</f>
        <v>2.75E-2</v>
      </c>
      <c r="J53" s="94">
        <f>I53+C53</f>
        <v>0.03</v>
      </c>
    </row>
    <row r="54" spans="2:11" x14ac:dyDescent="0.6">
      <c r="D54" s="20"/>
      <c r="E54" s="91">
        <f>E55-C52</f>
        <v>4.9964779777746049E-2</v>
      </c>
      <c r="F54" s="118">
        <f ca="1">(
$G$31/(1+$E$54)^$G$34
+$H$31/(1+$E$54)^$H$34
+$I$31/(1+$E$54)^$I$34
+$J$31/(1+$E$54)^$J$34
+$K$31/(1+$E$54)^$K$34
+(($K$31*(1+F$53))/($E54-F$53))/(1+$E54)^$K$34
-$K$44
)/$K$47</f>
        <v>794.35242036884858</v>
      </c>
      <c r="G54" s="118">
        <f ca="1">(
$G$31/(1+$E$54)^$G$34
+$H$31/(1+$E$54)^$H$34
+$I$31/(1+$E$54)^$I$34
+$J$31/(1+$E$54)^$J$34
+$K$31/(1+$E$54)^$K$34
+(($K$31*(1+G$53))/($E54-G$53))/(1+$E54)^$K$34
-$K$44
)/$K$47</f>
        <v>859.95867374182751</v>
      </c>
      <c r="H54" s="118">
        <f ca="1">(
$G$31/(1+$E$54)^$G$34
+$H$31/(1+$E$54)^$H$34
+$I$31/(1+$E$54)^$I$34
+$J$31/(1+$E$54)^$J$34
+$K$31/(1+$E$54)^$K$34
+(($K$31*(1+H$53))/($E54-H$53))/(1+$E54)^$K$34
-$K$44
)/$K$47</f>
        <v>938.70468920304688</v>
      </c>
      <c r="I54" s="118">
        <f ca="1">(
$G$31/(1+$E$54)^$G$34
+$H$31/(1+$E$54)^$H$34
+$I$31/(1+$E$54)^$I$34
+$J$31/(1+$E$54)^$J$34
+$K$31/(1+$E$54)^$K$34
+(($K$31*(1+I$53))/($E54-I$53))/(1+$E54)^$K$34
-$K$44
)/$K$47</f>
        <v>1034.977254276657</v>
      </c>
      <c r="J54" s="119">
        <f ca="1">(
$G$31/(1+$E$54)^$G$34
+$H$31/(1+$E$54)^$H$34
+$I$31/(1+$E$54)^$I$34
+$J$31/(1+$E$54)^$J$34
+$K$31/(1+$E$54)^$K$34
+(($K$31*(1+J$53))/($E54-J$53))/(1+$E54)^$K$34
-$K$44
)/$K$47</f>
        <v>1155.3604196537376</v>
      </c>
    </row>
    <row r="55" spans="2:11" ht="16.899999999999999" customHeight="1" thickBot="1" x14ac:dyDescent="0.65">
      <c r="D55" s="20"/>
      <c r="E55" s="91">
        <f>E56-C52</f>
        <v>6.9964779777746053E-2</v>
      </c>
      <c r="F55" s="118">
        <f ca="1">(
$G$31/(1+$E$55)^$G$34
+$H$31/(1+$E$55)^$H$34
+$I$31/(1+$E$55)^$I$34
+$J$31/(1+$E$55)^$J$34
+$K$31/(1+$E$55)^$K$34
+(($K$31*(1+F$53))/($E55-F$53))/(1+$E$55)^$K$34
-$K$44
)/$K$47</f>
        <v>479.13206746897004</v>
      </c>
      <c r="G55" s="118">
        <f ca="1">(
$G$31/(1+$E$55)^$G$34
+$H$31/(1+$E$55)^$H$34
+$I$31/(1+$E$55)^$I$34
+$J$31/(1+$E$55)^$J$34
+$K$31/(1+$E$55)^$K$34
+(($K$31*(1+G$53))/($E55-G$53))/(1+$E$55)^$K$34
-$K$44
)/$K$47</f>
        <v>500.6152263986707</v>
      </c>
      <c r="H55" s="118">
        <f ca="1">(
$G$31/(1+$E$55)^$G$34
+$H$31/(1+$E$55)^$H$34
+$I$31/(1+$E$55)^$I$34
+$J$31/(1+$E$55)^$J$34
+$K$31/(1+$E$55)^$K$34
+(($K$31*(1+H$53))/($E55-H$53))/(1+$E$55)^$K$34
-$K$44
)/$K$47</f>
        <v>524.48727270154302</v>
      </c>
      <c r="I55" s="118">
        <f ca="1">(
$G$31/(1+$E$55)^$G$34
+$H$31/(1+$E$55)^$H$34
+$I$31/(1+$E$55)^$I$34
+$J$31/(1+$E$55)^$J$34
+$K$31/(1+$E$55)^$K$34
+(($K$31*(1+I$53))/($E55-I$53))/(1+$E$55)^$K$34
-$K$44
)/$K$47</f>
        <v>551.17012438570032</v>
      </c>
      <c r="J55" s="119">
        <f ca="1">(
$G$31/(1+$E$55)^$G$34
+$H$31/(1+$E$55)^$H$34
+$I$31/(1+$E$55)^$I$34
+$J$31/(1+$E$55)^$J$34
+$K$31/(1+$E$55)^$K$34
+(($K$31*(1+J$53))/($E55-J$53))/(1+$E$55)^$K$34
-$K$44
)/$K$47</f>
        <v>581.19127191842028</v>
      </c>
    </row>
    <row r="56" spans="2:11" ht="16.899999999999999" customHeight="1" thickBot="1" x14ac:dyDescent="0.65">
      <c r="D56" s="20"/>
      <c r="E56" s="91">
        <f>E14</f>
        <v>8.9964779777746057E-2</v>
      </c>
      <c r="F56" s="118">
        <f ca="1">(
$G$31/(1+$E$56)^$G$34
+$H$31/(1+$E$56)^$H$34
+$I$31/(1+$E$56)^$I$34
+$J$31/(1+$E$56)^$J$34
+$K$31/(1+$E$56)^$K$34
+(($K$31*(1+F$53))/($E$56-F$53))/(1+$E$56)^$K$34
-$K$44
)/$K$47</f>
        <v>344.20295503960779</v>
      </c>
      <c r="G56" s="118">
        <f ca="1">(
$G$31/(1+$E$56)^$G$34
+$H$31/(1+$E$56)^$H$34
+$I$31/(1+$E$56)^$I$34
+$J$31/(1+$E$56)^$J$34
+$K$31/(1+$E$56)^$K$34
+(($K$31*(1+G$53))/($E$56-G$53))/(1+$E$56)^$K$34
-$K$44
)/$K$47</f>
        <v>354.39930749422945</v>
      </c>
      <c r="H56" s="120">
        <f ca="1">(
$G$31/(1+$E$56)^$G$34
+$H$31/(1+$E$56)^$H$34
+$I$31/(1+$E$56)^$I$34
+$J$31/(1+$E$56)^$J$34
+$K$31/(1+$E$56)^$K$34
+(($K$31*(1+H$53))/($E$56-H$53))/(1+$E$56)^$K$34
-$K$44
)/$K$47</f>
        <v>365.38041997493792</v>
      </c>
      <c r="I56" s="118">
        <f ca="1">(
$G$31/(1+$E$56)^$G$34
+$H$31/(1+$E$56)^$H$34
+$I$31/(1+$E$56)^$I$34
+$J$31/(1+$E$56)^$J$34
+$K$31/(1+$E$56)^$K$34
+(($K$31*(1+I$53))/($E$56-I$53))/(1+$E$56)^$K$34
-$K$44
)/$K$47</f>
        <v>377.24051678247679</v>
      </c>
      <c r="J56" s="119">
        <f ca="1">(
$G$31/(1+$E$56)^$G$34
+$H$31/(1+$E$56)^$H$34
+$I$31/(1+$E$56)^$I$34
+$J$31/(1+$E$56)^$J$34
+$K$31/(1+$E$56)^$K$34
+(($K$31*(1+J$53))/($E$56-J$53))/(1+$E$56)^$K$34
-$K$44
)/$K$47</f>
        <v>390.08953549146304</v>
      </c>
    </row>
    <row r="57" spans="2:11" x14ac:dyDescent="0.6">
      <c r="E57" s="91">
        <f>E56+C52</f>
        <v>0.10996477977774606</v>
      </c>
      <c r="F57" s="118">
        <f ca="1">(
$G$31/(1+$E$57)^$G$34
+$H$31/(1+$E$57)^$H$34
+$I$31/(1+$E$57)^$I$34
+$J$31/(1+$E$57)^$J$34
+$K$31/(1+$E$57)^$K$34
+(($K$31*(1+F$53))/($E$57-F$53))/(1+$E$57)^$K$34
-$K$44
)/$K$47</f>
        <v>269.31895044228588</v>
      </c>
      <c r="G57" s="118">
        <f ca="1">(
$G$31/(1+$E$57)^$G$34
+$H$31/(1+$E$57)^$H$34
+$I$31/(1+$E$57)^$I$34
+$J$31/(1+$E$57)^$J$34
+$K$31/(1+$E$57)^$K$34
+(($K$31*(1+G$53))/($E$57-G$53))/(1+$E$57)^$K$34
-$K$44
)/$K$47</f>
        <v>275.10274999588165</v>
      </c>
      <c r="H57" s="118">
        <f ca="1">(
$G$31/(1+$E$57)^$G$34
+$H$31/(1+$E$57)^$H$34
+$I$31/(1+$E$57)^$I$34
+$J$31/(1+$E$57)^$J$34
+$K$31/(1+$E$57)^$K$34
+(($K$31*(1+H$53))/($E$57-H$53))/(1+$E$57)^$K$34
-$K$44
)/$K$47</f>
        <v>281.22691408456637</v>
      </c>
      <c r="I57" s="118">
        <f ca="1">(
$G$31/(1+$E$57)^$G$34
+$H$31/(1+$E$57)^$H$34
+$I$31/(1+$E$57)^$I$34
+$J$31/(1+$E$57)^$J$34
+$K$31/(1+$E$57)^$K$34
+(($K$31*(1+I$53))/($E$57-I$53))/(1+$E$57)^$K$34
-$K$44
)/$K$47</f>
        <v>287.72239815404708</v>
      </c>
      <c r="J57" s="119">
        <f ca="1">(
$G$31/(1+$E$57)^$G$34
+$H$31/(1+$E$57)^$H$34
+$I$31/(1+$E$57)^$I$34
+$J$31/(1+$E$57)^$J$34
+$K$31/(1+$E$57)^$K$34
+(($K$31*(1+J$53))/($E$57-J$53))/(1+$E$57)^$K$34
-$K$44
)/$K$47</f>
        <v>294.62402878502235</v>
      </c>
    </row>
    <row r="58" spans="2:11" ht="16.899999999999999" customHeight="1" thickBot="1" x14ac:dyDescent="0.65">
      <c r="E58" s="92">
        <f>E57+C52</f>
        <v>0.12996477977774606</v>
      </c>
      <c r="F58" s="121">
        <f ca="1">(
$G$31/(1+$E$58)^$G$34
+$H$31/(1+$E$58)^$H$34
+$I$31/(1+$E$58)^$I$34
+$J$31/(1+$E$58)^$J$34
+$K$31/(1+$E$58)^$K$34
+(($K$31*(1+F$53))/($E$58-F$53))/(1+$E$58)^$K$34
-$K$44
)/$K$47</f>
        <v>221.7140617529424</v>
      </c>
      <c r="G58" s="121">
        <f ca="1">(
$G$31/(1+$E$58)^$G$34
+$H$31/(1+$E$58)^$H$34
+$I$31/(1+$E$58)^$I$34
+$J$31/(1+$E$58)^$J$34
+$K$31/(1+$E$58)^$K$34
+(($K$31*(1+G$53))/($E$58-G$53))/(1+$E$58)^$K$34
-$K$44
)/$K$47</f>
        <v>225.35950545613596</v>
      </c>
      <c r="H58" s="121">
        <f ca="1">(
$G$31/(1+$E$58)^$G$34
+$H$31/(1+$E$58)^$H$34
+$I$31/(1+$E$58)^$I$34
+$J$31/(1+$E$58)^$J$34
+$K$31/(1+$E$58)^$K$34
+(($K$31*(1+H$53))/($E$58-H$53))/(1+$E$58)^$K$34
-$K$44
)/$K$47</f>
        <v>229.17859996443352</v>
      </c>
      <c r="I58" s="121">
        <f ca="1">(
$G$31/(1+$E$58)^$G$34
+$H$31/(1+$E$58)^$H$34
+$I$31/(1+$E$58)^$I$34
+$J$31/(1+$E$58)^$J$34
+$K$31/(1+$E$58)^$K$34
+(($K$31*(1+I$53))/($E$58-I$53))/(1+$E$58)^$K$34
-$K$44
)/$K$47</f>
        <v>233.1840558017937</v>
      </c>
      <c r="J58" s="122">
        <f ca="1">(
$G$31/(1+$E$58)^$G$34
+$H$31/(1+$E$58)^$H$34
+$I$31/(1+$E$58)^$I$34
+$J$31/(1+$E$58)^$J$34
+$K$31/(1+$E$58)^$K$34
+(($K$31*(1+J$53))/($E$58-J$53))/(1+$E$58)^$K$34
-$K$44
)/$K$47</f>
        <v>237.38985499239618</v>
      </c>
    </row>
  </sheetData>
  <conditionalFormatting sqref="F54:J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S58"/>
  <sheetViews>
    <sheetView showGridLines="0" zoomScale="75" zoomScaleNormal="100" workbookViewId="0">
      <selection activeCell="G30" sqref="G30"/>
    </sheetView>
  </sheetViews>
  <sheetFormatPr defaultColWidth="8.86328125" defaultRowHeight="16.5" x14ac:dyDescent="0.6"/>
  <cols>
    <col min="1" max="1" width="2.86328125" style="1" customWidth="1"/>
    <col min="2" max="2" width="21.1328125" style="1" bestFit="1" customWidth="1"/>
    <col min="3" max="3" width="7.53125" style="1" customWidth="1"/>
    <col min="4" max="12" width="12.86328125" style="1" customWidth="1"/>
    <col min="13" max="13" width="21.46484375" style="1" bestFit="1" customWidth="1"/>
    <col min="14" max="14" width="11.53125" style="1" customWidth="1"/>
    <col min="15" max="15" width="8.86328125" style="1" customWidth="1"/>
    <col min="16" max="16384" width="8.86328125" style="1"/>
  </cols>
  <sheetData>
    <row r="1" spans="1:14" x14ac:dyDescent="0.6">
      <c r="A1" s="2"/>
      <c r="K1" s="2"/>
    </row>
    <row r="2" spans="1:14" ht="21.6" customHeight="1" x14ac:dyDescent="0.6">
      <c r="B2" s="15" t="s">
        <v>22</v>
      </c>
      <c r="C2" s="14"/>
      <c r="D2" s="14"/>
      <c r="E2" s="14"/>
      <c r="F2" s="14"/>
      <c r="G2" s="14"/>
      <c r="H2" s="14"/>
      <c r="I2" s="14"/>
      <c r="J2" s="14"/>
      <c r="M2" s="2"/>
    </row>
    <row r="3" spans="1:14" x14ac:dyDescent="0.6">
      <c r="G3" s="2"/>
    </row>
    <row r="4" spans="1:14" x14ac:dyDescent="0.6">
      <c r="B4" s="17" t="s">
        <v>23</v>
      </c>
      <c r="C4" s="16"/>
      <c r="D4" s="16"/>
      <c r="E4" s="16">
        <v>0.1</v>
      </c>
      <c r="G4" s="17" t="s">
        <v>24</v>
      </c>
      <c r="H4" s="16"/>
      <c r="I4" s="16"/>
      <c r="J4" s="16"/>
    </row>
    <row r="5" spans="1:14" x14ac:dyDescent="0.6">
      <c r="B5" s="3" t="s">
        <v>25</v>
      </c>
      <c r="E5" s="30">
        <v>1.2</v>
      </c>
      <c r="G5" s="1" t="s">
        <v>26</v>
      </c>
      <c r="J5" s="28">
        <v>46022</v>
      </c>
    </row>
    <row r="6" spans="1:14" x14ac:dyDescent="0.6">
      <c r="B6" s="3" t="s">
        <v>27</v>
      </c>
      <c r="E6" s="31">
        <v>4.3299999999999998E-2</v>
      </c>
      <c r="G6" s="3" t="s">
        <v>28</v>
      </c>
      <c r="J6" s="24">
        <v>2.5000000000000001E-2</v>
      </c>
      <c r="N6" s="44"/>
    </row>
    <row r="7" spans="1:14" x14ac:dyDescent="0.6">
      <c r="B7" s="3" t="s">
        <v>29</v>
      </c>
      <c r="E7" s="31">
        <v>4.0599999999999997E-2</v>
      </c>
      <c r="G7" s="3" t="s">
        <v>30</v>
      </c>
      <c r="J7" s="25">
        <f>'DCF Base'!J7</f>
        <v>30242</v>
      </c>
      <c r="N7" s="45"/>
    </row>
    <row r="8" spans="1:14" x14ac:dyDescent="0.6">
      <c r="B8" s="3" t="s">
        <v>31</v>
      </c>
      <c r="E8" s="32">
        <f>E7+(E5*E6)</f>
        <v>9.2560000000000003E-2</v>
      </c>
      <c r="G8" s="3" t="s">
        <v>80</v>
      </c>
      <c r="J8" s="26">
        <f>'DCF Base'!J8</f>
        <v>7465</v>
      </c>
    </row>
    <row r="9" spans="1:14" x14ac:dyDescent="0.6">
      <c r="B9" s="3" t="s">
        <v>33</v>
      </c>
      <c r="E9" s="32">
        <f>J10/SUM(J10:J11)</f>
        <v>0.98329455970716351</v>
      </c>
      <c r="G9" s="3" t="s">
        <v>34</v>
      </c>
      <c r="J9" s="27">
        <f>'DCF Base'!J9</f>
        <v>477.73</v>
      </c>
    </row>
    <row r="10" spans="1:14" x14ac:dyDescent="0.6">
      <c r="B10" s="3" t="s">
        <v>35</v>
      </c>
      <c r="E10" s="33">
        <f>'3 Statement'!O9</f>
        <v>0.05</v>
      </c>
      <c r="G10" s="3" t="s">
        <v>36</v>
      </c>
      <c r="J10" s="29">
        <f>J8*J9</f>
        <v>3566254.45</v>
      </c>
    </row>
    <row r="11" spans="1:14" x14ac:dyDescent="0.6">
      <c r="B11" s="5" t="s">
        <v>37</v>
      </c>
      <c r="E11" s="32">
        <f>E10*(1-E13)</f>
        <v>4.8000000000000001E-2</v>
      </c>
      <c r="G11" s="3" t="s">
        <v>38</v>
      </c>
      <c r="J11" s="26">
        <f>'DCF Base'!J11</f>
        <v>60588</v>
      </c>
    </row>
    <row r="12" spans="1:14" x14ac:dyDescent="0.6">
      <c r="B12" s="3" t="s">
        <v>39</v>
      </c>
      <c r="E12" s="34">
        <f>1-E9</f>
        <v>1.6705440292836493E-2</v>
      </c>
      <c r="G12" s="1" t="s">
        <v>40</v>
      </c>
      <c r="J12" s="44" t="s">
        <v>41</v>
      </c>
    </row>
    <row r="13" spans="1:14" x14ac:dyDescent="0.6">
      <c r="B13" s="3" t="s">
        <v>42</v>
      </c>
      <c r="E13" s="35">
        <f>'3 Statement'!O8</f>
        <v>0.04</v>
      </c>
    </row>
    <row r="14" spans="1:14" ht="16.899999999999999" customHeight="1" thickBot="1" x14ac:dyDescent="0.65">
      <c r="B14" s="6" t="s">
        <v>43</v>
      </c>
      <c r="C14" s="6"/>
      <c r="D14" s="6"/>
      <c r="E14" s="98">
        <f>(E9*E8)+(E12*E10*(1-E13))</f>
        <v>9.1815605580551213E-2</v>
      </c>
    </row>
    <row r="15" spans="1:14" ht="16.899999999999999" customHeight="1" thickTop="1" x14ac:dyDescent="0.6"/>
    <row r="16" spans="1:14" x14ac:dyDescent="0.6">
      <c r="B16" s="18" t="s">
        <v>44</v>
      </c>
      <c r="C16" s="19"/>
      <c r="D16" s="19" t="s">
        <v>45</v>
      </c>
      <c r="E16" s="19" t="s">
        <v>46</v>
      </c>
      <c r="F16" s="19" t="s">
        <v>47</v>
      </c>
      <c r="G16" s="19" t="s">
        <v>48</v>
      </c>
      <c r="H16" s="19" t="s">
        <v>49</v>
      </c>
      <c r="I16" s="19" t="s">
        <v>50</v>
      </c>
      <c r="J16" s="19" t="s">
        <v>51</v>
      </c>
      <c r="K16" s="19" t="s">
        <v>51</v>
      </c>
      <c r="M16" s="21"/>
    </row>
    <row r="17" spans="2:19" x14ac:dyDescent="0.6">
      <c r="B17" s="3" t="s">
        <v>52</v>
      </c>
      <c r="D17" s="1">
        <f>'3 Statement'!D5</f>
        <v>211915</v>
      </c>
      <c r="E17" s="1">
        <f>'3 Statement'!E5</f>
        <v>245122</v>
      </c>
      <c r="F17" s="1">
        <f>'3 Statement'!F5</f>
        <v>281724</v>
      </c>
      <c r="G17" s="76">
        <f>F17*G18</f>
        <v>33806.879999999997</v>
      </c>
      <c r="H17" s="76">
        <f>G17*H18</f>
        <v>4056.8255999999997</v>
      </c>
      <c r="I17" s="76">
        <f>H17*I18</f>
        <v>486.81907199999995</v>
      </c>
      <c r="J17" s="76">
        <f>I17*J18</f>
        <v>58.418288639999993</v>
      </c>
      <c r="K17" s="76">
        <f>J17*K18</f>
        <v>7.0101946367999988</v>
      </c>
      <c r="O17" s="52"/>
      <c r="P17" s="52"/>
      <c r="Q17" s="52"/>
      <c r="R17" s="52"/>
      <c r="S17" s="52"/>
    </row>
    <row r="18" spans="2:19" x14ac:dyDescent="0.6">
      <c r="B18" s="37" t="s">
        <v>53</v>
      </c>
      <c r="D18" s="68"/>
      <c r="E18" s="52">
        <f>E17/D17-1</f>
        <v>0.1566996201307127</v>
      </c>
      <c r="F18" s="52">
        <f>F17/E17-1</f>
        <v>0.14932156232406713</v>
      </c>
      <c r="G18" s="82">
        <f>0.12</f>
        <v>0.12</v>
      </c>
      <c r="H18" s="82">
        <f>0.12</f>
        <v>0.12</v>
      </c>
      <c r="I18" s="82">
        <f>0.12</f>
        <v>0.12</v>
      </c>
      <c r="J18" s="82">
        <f>0.12</f>
        <v>0.12</v>
      </c>
      <c r="K18" s="82">
        <f>0.12</f>
        <v>0.12</v>
      </c>
      <c r="O18" s="20"/>
    </row>
    <row r="19" spans="2:19" x14ac:dyDescent="0.6">
      <c r="B19" s="3" t="s">
        <v>54</v>
      </c>
      <c r="D19" s="1">
        <f>'3 Statement'!D6</f>
        <v>65863</v>
      </c>
      <c r="E19" s="1">
        <f>'3 Statement'!E6</f>
        <v>74114</v>
      </c>
      <c r="F19" s="1">
        <f>'3 Statement'!F6</f>
        <v>87831</v>
      </c>
      <c r="G19" s="76">
        <f>G17*G21</f>
        <v>4394.8944000000001</v>
      </c>
      <c r="H19" s="76">
        <f>H17*H21</f>
        <v>527.38732800000002</v>
      </c>
      <c r="I19" s="76">
        <f>I17*I21</f>
        <v>63.286479359999994</v>
      </c>
      <c r="J19" s="76">
        <f>J17*J21</f>
        <v>7.5943775231999995</v>
      </c>
      <c r="K19" s="76">
        <f>K17*K21</f>
        <v>0.91132530278399992</v>
      </c>
      <c r="O19" s="20"/>
    </row>
    <row r="20" spans="2:19" x14ac:dyDescent="0.6">
      <c r="B20" s="8" t="s">
        <v>55</v>
      </c>
      <c r="C20" s="22"/>
      <c r="D20" s="22">
        <f t="shared" ref="D20:K20" si="0">D17-D19</f>
        <v>146052</v>
      </c>
      <c r="E20" s="22">
        <f t="shared" si="0"/>
        <v>171008</v>
      </c>
      <c r="F20" s="22">
        <f t="shared" si="0"/>
        <v>193893</v>
      </c>
      <c r="G20" s="77">
        <f t="shared" si="0"/>
        <v>29411.985599999996</v>
      </c>
      <c r="H20" s="77">
        <f t="shared" si="0"/>
        <v>3529.4382719999994</v>
      </c>
      <c r="I20" s="77">
        <f t="shared" si="0"/>
        <v>423.53259263999996</v>
      </c>
      <c r="J20" s="77">
        <f t="shared" si="0"/>
        <v>50.823911116799991</v>
      </c>
      <c r="K20" s="77">
        <f t="shared" si="0"/>
        <v>6.0988693340159985</v>
      </c>
    </row>
    <row r="21" spans="2:19" x14ac:dyDescent="0.6">
      <c r="B21" s="37" t="s">
        <v>56</v>
      </c>
      <c r="D21" s="52"/>
      <c r="E21" s="52">
        <f>E20/D20-1</f>
        <v>0.1708706488100129</v>
      </c>
      <c r="F21" s="52">
        <f>F20/E20-1</f>
        <v>0.13382414857784442</v>
      </c>
      <c r="G21" s="86">
        <f>0.13</f>
        <v>0.13</v>
      </c>
      <c r="H21" s="86">
        <f>0.13</f>
        <v>0.13</v>
      </c>
      <c r="I21" s="86">
        <f>0.13</f>
        <v>0.13</v>
      </c>
      <c r="J21" s="86">
        <f>0.13</f>
        <v>0.13</v>
      </c>
      <c r="K21" s="86">
        <f>0.13</f>
        <v>0.13</v>
      </c>
      <c r="O21" s="68"/>
    </row>
    <row r="22" spans="2:19" x14ac:dyDescent="0.6">
      <c r="B22" s="7"/>
      <c r="G22" s="76"/>
      <c r="H22" s="76"/>
      <c r="I22" s="76"/>
      <c r="J22" s="76"/>
      <c r="K22" s="76"/>
      <c r="O22" s="68"/>
    </row>
    <row r="23" spans="2:19" x14ac:dyDescent="0.6">
      <c r="B23" s="3" t="s">
        <v>57</v>
      </c>
      <c r="D23" s="1">
        <f>SUM('3 Statement'!D9:D11)</f>
        <v>242768</v>
      </c>
      <c r="E23" s="1">
        <f>SUM('3 Statement'!E9:E11)</f>
        <v>269063</v>
      </c>
      <c r="F23" s="1">
        <f>SUM('3 Statement'!F9:F11)</f>
        <v>303417</v>
      </c>
      <c r="G23" s="76">
        <f>G17*G25</f>
        <v>4732.9632000000001</v>
      </c>
      <c r="H23" s="76">
        <f>H17*H25</f>
        <v>567.95558400000004</v>
      </c>
      <c r="I23" s="76">
        <f>I17*I25</f>
        <v>68.154670080000002</v>
      </c>
      <c r="J23" s="76">
        <f>J17*J25</f>
        <v>8.1785604095999993</v>
      </c>
      <c r="K23" s="76">
        <f>K17*K25</f>
        <v>0.98142724915199997</v>
      </c>
    </row>
    <row r="24" spans="2:19" x14ac:dyDescent="0.6">
      <c r="B24" s="9" t="s">
        <v>58</v>
      </c>
      <c r="C24" s="22"/>
      <c r="D24" s="22">
        <f>D20+D23</f>
        <v>388820</v>
      </c>
      <c r="E24" s="22">
        <f>E20+E23</f>
        <v>440071</v>
      </c>
      <c r="F24" s="22">
        <f>F20+F23</f>
        <v>497310</v>
      </c>
      <c r="G24" s="79">
        <f>G21-G23</f>
        <v>-4732.8332</v>
      </c>
      <c r="H24" s="79">
        <f>H21-H23</f>
        <v>-567.82558400000005</v>
      </c>
      <c r="I24" s="79">
        <f>I21-I23</f>
        <v>-68.024670080000007</v>
      </c>
      <c r="J24" s="79">
        <f>J21-J23</f>
        <v>-8.0485604095999985</v>
      </c>
      <c r="K24" s="79">
        <f>K21-K23</f>
        <v>-0.85142724915199997</v>
      </c>
    </row>
    <row r="25" spans="2:19" x14ac:dyDescent="0.6">
      <c r="B25" s="7" t="s">
        <v>59</v>
      </c>
      <c r="D25" s="52">
        <f>D24/D17</f>
        <v>1.8347922516103154</v>
      </c>
      <c r="E25" s="52">
        <f>E24/E17</f>
        <v>1.7953141700867323</v>
      </c>
      <c r="F25" s="52">
        <f>F24/F17</f>
        <v>1.7652383183541338</v>
      </c>
      <c r="G25" s="82">
        <f>0.14</f>
        <v>0.14000000000000001</v>
      </c>
      <c r="H25" s="82">
        <f>0.14</f>
        <v>0.14000000000000001</v>
      </c>
      <c r="I25" s="82">
        <f>0.14</f>
        <v>0.14000000000000001</v>
      </c>
      <c r="J25" s="82">
        <f>0.14</f>
        <v>0.14000000000000001</v>
      </c>
      <c r="K25" s="82">
        <f>0.14</f>
        <v>0.14000000000000001</v>
      </c>
      <c r="N25" s="2"/>
    </row>
    <row r="26" spans="2:19" x14ac:dyDescent="0.6">
      <c r="B26" s="7"/>
      <c r="G26" s="76"/>
      <c r="H26" s="76"/>
      <c r="I26" s="76"/>
      <c r="J26" s="76"/>
      <c r="K26" s="76"/>
    </row>
    <row r="27" spans="2:19" x14ac:dyDescent="0.6">
      <c r="B27" s="10" t="s">
        <v>60</v>
      </c>
      <c r="D27" s="47">
        <f t="shared" ref="D27:K27" si="1">D24*(1-$E$13)</f>
        <v>373267.20000000001</v>
      </c>
      <c r="E27" s="47">
        <f t="shared" si="1"/>
        <v>422468.16</v>
      </c>
      <c r="F27" s="47">
        <f t="shared" si="1"/>
        <v>477417.6</v>
      </c>
      <c r="G27" s="80">
        <f t="shared" si="1"/>
        <v>-4543.5198719999999</v>
      </c>
      <c r="H27" s="80">
        <f t="shared" si="1"/>
        <v>-545.11256064000008</v>
      </c>
      <c r="I27" s="80">
        <f t="shared" si="1"/>
        <v>-65.303683276800001</v>
      </c>
      <c r="J27" s="80">
        <f t="shared" si="1"/>
        <v>-7.7266179932159984</v>
      </c>
      <c r="K27" s="80">
        <f t="shared" si="1"/>
        <v>-0.81737015918591993</v>
      </c>
    </row>
    <row r="28" spans="2:19" x14ac:dyDescent="0.6">
      <c r="B28" s="3" t="s">
        <v>61</v>
      </c>
      <c r="D28" s="96">
        <f>'3 Statement'!D71</f>
        <v>13861</v>
      </c>
      <c r="E28" s="96">
        <f>'3 Statement'!E71</f>
        <v>22287</v>
      </c>
      <c r="F28" s="96">
        <f>'3 Statement'!F71</f>
        <v>34153</v>
      </c>
      <c r="G28" s="83">
        <f>0.16*G17</f>
        <v>5409.1007999999993</v>
      </c>
      <c r="H28" s="83">
        <f>0.16*H17</f>
        <v>649.09209599999997</v>
      </c>
      <c r="I28" s="83">
        <f>0.16*I17</f>
        <v>77.891051519999991</v>
      </c>
      <c r="J28" s="83">
        <f>0.16*J17</f>
        <v>9.346926182399999</v>
      </c>
      <c r="K28" s="83">
        <f>0.16*K17</f>
        <v>1.1216311418879998</v>
      </c>
    </row>
    <row r="29" spans="2:19" x14ac:dyDescent="0.6">
      <c r="B29" s="3" t="s">
        <v>62</v>
      </c>
      <c r="D29" s="96">
        <f>'3 Statement'!D78</f>
        <v>-28107</v>
      </c>
      <c r="E29" s="96">
        <f>'3 Statement'!E78</f>
        <v>-44477</v>
      </c>
      <c r="F29" s="96">
        <f>'3 Statement'!F78</f>
        <v>-64551</v>
      </c>
      <c r="G29" s="83">
        <f>-0.17*G17</f>
        <v>-5747.1696000000002</v>
      </c>
      <c r="H29" s="83">
        <f>-0.17*H17</f>
        <v>-689.66035199999999</v>
      </c>
      <c r="I29" s="83">
        <f>-0.17*I17</f>
        <v>-82.759242239999992</v>
      </c>
      <c r="J29" s="83">
        <f>-0.17*J17</f>
        <v>-9.9311090687999997</v>
      </c>
      <c r="K29" s="83">
        <f>-0.17*K17</f>
        <v>-1.1917330882559998</v>
      </c>
    </row>
    <row r="30" spans="2:19" x14ac:dyDescent="0.6">
      <c r="B30" s="3" t="s">
        <v>63</v>
      </c>
      <c r="D30" s="96">
        <f>'3 Statement'!D74</f>
        <v>-2388</v>
      </c>
      <c r="E30" s="96">
        <f>'3 Statement'!E74</f>
        <v>1824</v>
      </c>
      <c r="F30" s="96">
        <f>'3 Statement'!F74</f>
        <v>-5350</v>
      </c>
      <c r="G30" s="83">
        <f>0.18</f>
        <v>0.18</v>
      </c>
      <c r="H30" s="83">
        <f>0.18</f>
        <v>0.18</v>
      </c>
      <c r="I30" s="83">
        <f>0.18</f>
        <v>0.18</v>
      </c>
      <c r="J30" s="83">
        <f>0.18</f>
        <v>0.18</v>
      </c>
      <c r="K30" s="83">
        <f>0.18</f>
        <v>0.18</v>
      </c>
    </row>
    <row r="31" spans="2:19" x14ac:dyDescent="0.6">
      <c r="B31" s="9" t="s">
        <v>64</v>
      </c>
      <c r="C31" s="22"/>
      <c r="D31" s="23">
        <f t="shared" ref="D31:K31" si="2">D27+D28+D29+D30</f>
        <v>356633.2</v>
      </c>
      <c r="E31" s="23">
        <f t="shared" si="2"/>
        <v>402102.16</v>
      </c>
      <c r="F31" s="23">
        <f t="shared" si="2"/>
        <v>441669.6</v>
      </c>
      <c r="G31" s="81">
        <f t="shared" si="2"/>
        <v>-4881.4086720000005</v>
      </c>
      <c r="H31" s="81">
        <f t="shared" si="2"/>
        <v>-585.50081664000015</v>
      </c>
      <c r="I31" s="81">
        <f t="shared" si="2"/>
        <v>-69.991873996799995</v>
      </c>
      <c r="J31" s="81">
        <f t="shared" si="2"/>
        <v>-8.1308008796160003</v>
      </c>
      <c r="K31" s="81">
        <f t="shared" si="2"/>
        <v>-0.70747210555391993</v>
      </c>
    </row>
    <row r="33" spans="2:16" x14ac:dyDescent="0.6">
      <c r="B33" s="17" t="s">
        <v>65</v>
      </c>
      <c r="C33" s="19"/>
      <c r="D33" s="19"/>
      <c r="E33" s="19"/>
      <c r="F33" s="19"/>
      <c r="G33" s="19" t="s">
        <v>48</v>
      </c>
      <c r="H33" s="19" t="s">
        <v>49</v>
      </c>
      <c r="I33" s="19" t="s">
        <v>50</v>
      </c>
      <c r="J33" s="19" t="s">
        <v>51</v>
      </c>
      <c r="K33" s="19" t="s">
        <v>51</v>
      </c>
    </row>
    <row r="34" spans="2:16" x14ac:dyDescent="0.6">
      <c r="B34" s="3" t="s">
        <v>66</v>
      </c>
      <c r="G34" s="48">
        <f ca="1">YEARFRAC(TODAY(),$J$5)</f>
        <v>7.4999999999999997E-2</v>
      </c>
      <c r="H34" s="48">
        <f ca="1">G34+1</f>
        <v>1.075</v>
      </c>
      <c r="I34" s="48">
        <f ca="1">H34+1</f>
        <v>2.0750000000000002</v>
      </c>
      <c r="J34" s="48">
        <f ca="1">I34+1</f>
        <v>3.0750000000000002</v>
      </c>
      <c r="K34" s="48">
        <f ca="1">J34+1</f>
        <v>4.0750000000000002</v>
      </c>
      <c r="N34" s="4"/>
      <c r="O34" s="4"/>
      <c r="P34" s="4"/>
    </row>
    <row r="35" spans="2:16" x14ac:dyDescent="0.6">
      <c r="B35" s="3" t="s">
        <v>67</v>
      </c>
      <c r="G35" s="49">
        <f ca="1">(1/(1+$E$14))^G34</f>
        <v>0.99343350400411579</v>
      </c>
      <c r="H35" s="49">
        <f ca="1">(1/(1+$E$14))^H34</f>
        <v>0.9098912846880195</v>
      </c>
      <c r="I35" s="49">
        <f ca="1">(1/(1+$E$14))^I34</f>
        <v>0.83337450027031168</v>
      </c>
      <c r="J35" s="49">
        <f ca="1">(1/(1+$E$14))^J34</f>
        <v>0.76329235084268776</v>
      </c>
      <c r="K35" s="49">
        <f ca="1">(1/(1+$E$14))^K34</f>
        <v>0.69910371947543481</v>
      </c>
      <c r="N35" s="49"/>
      <c r="O35" s="49"/>
      <c r="P35" s="49"/>
    </row>
    <row r="36" spans="2:16" x14ac:dyDescent="0.6">
      <c r="B36" s="3"/>
      <c r="N36" s="49"/>
      <c r="O36" s="49"/>
      <c r="P36" s="49"/>
    </row>
    <row r="37" spans="2:16" x14ac:dyDescent="0.6">
      <c r="B37" s="11" t="s">
        <v>68</v>
      </c>
      <c r="G37" s="1">
        <f ca="1">G31*G35</f>
        <v>-4849.354921501038</v>
      </c>
      <c r="H37" s="1">
        <f ca="1">H31*H35</f>
        <v>-532.74209023845424</v>
      </c>
      <c r="I37" s="1">
        <f ca="1">I31*I35</f>
        <v>-58.32944301506582</v>
      </c>
      <c r="J37" s="1">
        <f ca="1">J31*J35</f>
        <v>-6.2061781176358908</v>
      </c>
      <c r="K37" s="1">
        <f ca="1">K31*K35</f>
        <v>-0.49459638041786286</v>
      </c>
    </row>
    <row r="38" spans="2:16" x14ac:dyDescent="0.6">
      <c r="B38" s="12" t="s">
        <v>69</v>
      </c>
      <c r="K38" s="21">
        <f ca="1">SUM(G37:K37)</f>
        <v>-5447.127229252611</v>
      </c>
      <c r="N38" s="2"/>
    </row>
    <row r="39" spans="2:16" x14ac:dyDescent="0.6">
      <c r="B39" s="12"/>
    </row>
    <row r="40" spans="2:16" x14ac:dyDescent="0.6">
      <c r="B40" s="11" t="s">
        <v>70</v>
      </c>
      <c r="K40" s="50">
        <f>(K31*(1+J6))/(E14-J6)</f>
        <v>-10.85313680676791</v>
      </c>
    </row>
    <row r="41" spans="2:16" x14ac:dyDescent="0.6">
      <c r="B41" s="12" t="s">
        <v>71</v>
      </c>
      <c r="K41" s="39">
        <f ca="1">K40*K35</f>
        <v>-7.58746830958719</v>
      </c>
    </row>
    <row r="42" spans="2:16" x14ac:dyDescent="0.6">
      <c r="B42" s="12"/>
      <c r="K42" s="40"/>
    </row>
    <row r="43" spans="2:16" x14ac:dyDescent="0.6">
      <c r="B43" s="12" t="s">
        <v>72</v>
      </c>
      <c r="K43" s="40">
        <f ca="1">K41+K38</f>
        <v>-5454.7146975621981</v>
      </c>
    </row>
    <row r="44" spans="2:16" x14ac:dyDescent="0.6">
      <c r="B44" s="11" t="s">
        <v>73</v>
      </c>
      <c r="K44" s="51">
        <f>J11-J7</f>
        <v>30346</v>
      </c>
    </row>
    <row r="45" spans="2:16" x14ac:dyDescent="0.6">
      <c r="B45" s="13" t="s">
        <v>74</v>
      </c>
      <c r="C45" s="22"/>
      <c r="D45" s="22"/>
      <c r="E45" s="22"/>
      <c r="F45" s="22"/>
      <c r="G45" s="22"/>
      <c r="H45" s="22"/>
      <c r="I45" s="22"/>
      <c r="J45" s="22"/>
      <c r="K45" s="41">
        <f ca="1">K41-K44</f>
        <v>-30353.587468309586</v>
      </c>
    </row>
    <row r="46" spans="2:16" x14ac:dyDescent="0.6">
      <c r="B46" s="12"/>
      <c r="K46" s="40"/>
    </row>
    <row r="47" spans="2:16" x14ac:dyDescent="0.6">
      <c r="B47" s="11" t="s">
        <v>75</v>
      </c>
      <c r="K47" s="42">
        <f>J8</f>
        <v>7465</v>
      </c>
    </row>
    <row r="48" spans="2:16" x14ac:dyDescent="0.6">
      <c r="B48" s="36" t="s">
        <v>76</v>
      </c>
      <c r="C48" s="22"/>
      <c r="D48" s="22"/>
      <c r="E48" s="22"/>
      <c r="F48" s="22"/>
      <c r="G48" s="22"/>
      <c r="H48" s="22"/>
      <c r="I48" s="22"/>
      <c r="J48" s="22"/>
      <c r="K48" s="43">
        <f ca="1">K45/K47</f>
        <v>-4.0661202234842042</v>
      </c>
    </row>
    <row r="49" spans="2:11" x14ac:dyDescent="0.6">
      <c r="B49" s="38" t="s">
        <v>7</v>
      </c>
      <c r="K49" s="99">
        <f ca="1">(K48/J9-1)</f>
        <v>-1.0085113353222201</v>
      </c>
    </row>
    <row r="51" spans="2:11" x14ac:dyDescent="0.6">
      <c r="B51" s="18" t="s">
        <v>77</v>
      </c>
      <c r="C51" s="18"/>
      <c r="D51" s="18"/>
      <c r="E51" s="18"/>
      <c r="F51" s="18"/>
      <c r="G51" s="18"/>
      <c r="H51" s="18"/>
      <c r="I51" s="18"/>
      <c r="J51" s="18"/>
      <c r="K51" s="18"/>
    </row>
    <row r="52" spans="2:11" ht="16.899999999999999" customHeight="1" thickBot="1" x14ac:dyDescent="0.65">
      <c r="B52" s="1" t="s">
        <v>78</v>
      </c>
      <c r="C52" s="68">
        <v>0.02</v>
      </c>
      <c r="E52" s="20"/>
      <c r="F52" s="20"/>
      <c r="G52" s="52"/>
      <c r="H52" s="20"/>
      <c r="I52" s="20"/>
    </row>
    <row r="53" spans="2:11" x14ac:dyDescent="0.6">
      <c r="B53" s="1" t="s">
        <v>79</v>
      </c>
      <c r="C53" s="20">
        <v>2.5000000000000001E-3</v>
      </c>
      <c r="E53" s="70">
        <f ca="1">K48</f>
        <v>-4.0661202234842042</v>
      </c>
      <c r="F53" s="93">
        <f>G53-C53</f>
        <v>2.0000000000000004E-2</v>
      </c>
      <c r="G53" s="93">
        <f>H53-C53</f>
        <v>2.2500000000000003E-2</v>
      </c>
      <c r="H53" s="93">
        <f>J6</f>
        <v>2.5000000000000001E-2</v>
      </c>
      <c r="I53" s="93">
        <f>H53+C53</f>
        <v>2.75E-2</v>
      </c>
      <c r="J53" s="94">
        <f>I53+C53</f>
        <v>0.03</v>
      </c>
    </row>
    <row r="54" spans="2:11" x14ac:dyDescent="0.6">
      <c r="D54" s="20"/>
      <c r="E54" s="91">
        <f>E55-C52</f>
        <v>5.1815605580551205E-2</v>
      </c>
      <c r="F54" s="118">
        <f ca="1">(
$G$31/(1+$E$54)^$G$34
+$H$31/(1+$E$54)^$H$34
+$I$31/(1+$E$54)^$I$34
+$J$31/(1+$E$54)^$J$34
+$K$31/(1+$E$54)^$K$34
+(($K$31*(1+F$53))/($E54-F$53))/(1+$E54)^$K$34
-$K$44
)/$K$47</f>
        <v>-4.8027495904403699</v>
      </c>
      <c r="G54" s="118">
        <f ca="1">(
$G$31/(1+$E$54)^$G$34
+$H$31/(1+$E$54)^$H$34
+$I$31/(1+$E$54)^$I$34
+$J$31/(1+$E$54)^$J$34
+$K$31/(1+$E$54)^$K$34
+(($K$31*(1+G$53))/($E54-G$53))/(1+$E54)^$K$34
-$K$44
)/$K$47</f>
        <v>-4.802967068852122</v>
      </c>
      <c r="H54" s="118">
        <f ca="1">(
$G$31/(1+$E$54)^$G$34
+$H$31/(1+$E$54)^$H$34
+$I$31/(1+$E$54)^$I$34
+$J$31/(1+$E$54)^$J$34
+$K$31/(1+$E$54)^$K$34
+(($K$31*(1+H$53))/($E54-H$53))/(1+$E54)^$K$34
-$K$44
)/$K$47</f>
        <v>-4.8032250979818327</v>
      </c>
      <c r="I54" s="118">
        <f ca="1">(
$G$31/(1+$E$54)^$G$34
+$H$31/(1+$E$54)^$H$34
+$I$31/(1+$E$54)^$I$34
+$J$31/(1+$E$54)^$J$34
+$K$31/(1+$E$54)^$K$34
+(($K$31*(1+I$53))/($E54-I$53))/(1+$E54)^$K$34
-$K$44
)/$K$47</f>
        <v>-4.8035361854507359</v>
      </c>
      <c r="J54" s="119">
        <f ca="1">(
$G$31/(1+$E$54)^$G$34
+$H$31/(1+$E$54)^$H$34
+$I$31/(1+$E$54)^$I$34
+$J$31/(1+$E$54)^$J$34
+$K$31/(1+$E$54)^$K$34
+(($K$31*(1+J$53))/($E54-J$53))/(1+$E54)^$K$34
-$K$44
)/$K$47</f>
        <v>-4.8039185722167765</v>
      </c>
    </row>
    <row r="55" spans="2:11" ht="16.899999999999999" customHeight="1" thickBot="1" x14ac:dyDescent="0.65">
      <c r="D55" s="20"/>
      <c r="E55" s="91">
        <f>E56-C52</f>
        <v>7.1815605580551209E-2</v>
      </c>
      <c r="F55" s="118">
        <f ca="1">(
$G$31/(1+$E$55)^$G$34
+$H$31/(1+$E$55)^$H$34
+$I$31/(1+$E$55)^$I$34
+$J$31/(1+$E$55)^$J$34
+$K$31/(1+$E$55)^$K$34
+(($K$31*(1+F$53))/($E55-F$53))/(1+$E$55)^$K$34
-$K$44
)/$K$47</f>
        <v>-4.798892282743811</v>
      </c>
      <c r="G55" s="118">
        <f ca="1">(
$G$31/(1+$E$55)^$G$34
+$H$31/(1+$E$55)^$H$34
+$I$31/(1+$E$55)^$I$34
+$J$31/(1+$E$55)^$J$34
+$K$31/(1+$E$55)^$K$34
+(($K$31*(1+G$53))/($E55-G$53))/(1+$E$55)^$K$34
-$K$44
)/$K$47</f>
        <v>-4.7989671954239519</v>
      </c>
      <c r="H55" s="118">
        <f ca="1">(
$G$31/(1+$E$55)^$G$34
+$H$31/(1+$E$55)^$H$34
+$I$31/(1+$E$55)^$I$34
+$J$31/(1+$E$55)^$J$34
+$K$31/(1+$E$55)^$K$34
+(($K$31*(1+H$53))/($E55-H$53))/(1+$E$55)^$K$34
-$K$44
)/$K$47</f>
        <v>-4.7990501089276654</v>
      </c>
      <c r="I55" s="118">
        <f ca="1">(
$G$31/(1+$E$55)^$G$34
+$H$31/(1+$E$55)^$H$34
+$I$31/(1+$E$55)^$I$34
+$J$31/(1+$E$55)^$J$34
+$K$31/(1+$E$55)^$K$34
+(($K$31*(1+I$53))/($E55-I$53))/(1+$E$55)^$K$34
-$K$44
)/$K$47</f>
        <v>-4.7991423773191917</v>
      </c>
      <c r="J55" s="119">
        <f ca="1">(
$G$31/(1+$E$55)^$G$34
+$H$31/(1+$E$55)^$H$34
+$I$31/(1+$E$55)^$I$34
+$J$31/(1+$E$55)^$J$34
+$K$31/(1+$E$55)^$K$34
+(($K$31*(1+J$53))/($E55-J$53))/(1+$E$55)^$K$34
-$K$44
)/$K$47</f>
        <v>-4.7992456784806903</v>
      </c>
    </row>
    <row r="56" spans="2:11" ht="16.899999999999999" customHeight="1" thickBot="1" x14ac:dyDescent="0.65">
      <c r="D56" s="20"/>
      <c r="E56" s="91">
        <f>E14</f>
        <v>9.1815605580551213E-2</v>
      </c>
      <c r="F56" s="118">
        <f ca="1">(
$G$31/(1+$E$56)^$G$34
+$H$31/(1+$E$56)^$H$34
+$I$31/(1+$E$56)^$I$34
+$J$31/(1+$E$56)^$J$34
+$K$31/(1+$E$56)^$K$34
+(($K$31*(1+F$53))/($E$56-F$53))/(1+$E$56)^$K$34
-$K$44
)/$K$47</f>
        <v>-4.7957336908221784</v>
      </c>
      <c r="G56" s="118">
        <f ca="1">(
$G$31/(1+$E$56)^$G$34
+$H$31/(1+$E$56)^$H$34
+$I$31/(1+$E$56)^$I$34
+$J$31/(1+$E$56)^$J$34
+$K$31/(1+$E$56)^$K$34
+(($K$31*(1+G$53))/($E$56-G$53))/(1+$E$56)^$K$34
-$K$44
)/$K$47</f>
        <v>-4.7957700204190719</v>
      </c>
      <c r="H56" s="120">
        <f ca="1">(
$G$31/(1+$E$56)^$G$34
+$H$31/(1+$E$56)^$H$34
+$I$31/(1+$E$56)^$I$34
+$J$31/(1+$E$56)^$J$34
+$K$31/(1+$E$56)^$K$34
+(($K$31*(1+H$53))/($E$56-H$53))/(1+$E$56)^$K$34
-$K$44
)/$K$47</f>
        <v>-4.7958090686620496</v>
      </c>
      <c r="I56" s="118">
        <f ca="1">(
$G$31/(1+$E$56)^$G$34
+$H$31/(1+$E$56)^$H$34
+$I$31/(1+$E$56)^$I$34
+$J$31/(1+$E$56)^$J$34
+$K$31/(1+$E$56)^$K$34
+(($K$31*(1+I$53))/($E$56-I$53))/(1+$E$56)^$K$34
-$K$44
)/$K$47</f>
        <v>-4.7958511525790772</v>
      </c>
      <c r="J56" s="119">
        <f ca="1">(
$G$31/(1+$E$56)^$G$34
+$H$31/(1+$E$56)^$H$34
+$I$31/(1+$E$56)^$I$34
+$J$31/(1+$E$56)^$J$34
+$K$31/(1+$E$56)^$K$34
+(($K$31*(1+J$53))/($E$56-J$53))/(1+$E$56)^$K$34
-$K$44
)/$K$47</f>
        <v>-4.7958966404841945</v>
      </c>
    </row>
    <row r="57" spans="2:11" x14ac:dyDescent="0.6">
      <c r="E57" s="91">
        <f>E56+C52</f>
        <v>0.11181560558055122</v>
      </c>
      <c r="F57" s="118">
        <f ca="1">(
$G$31/(1+$E$57)^$G$34
+$H$31/(1+$E$57)^$H$34
+$I$31/(1+$E$57)^$I$34
+$J$31/(1+$E$57)^$J$34
+$K$31/(1+$E$57)^$K$34
+(($K$31*(1+F$53))/($E$57-F$53))/(1+$E$57)^$K$34
-$K$44
)/$K$47</f>
        <v>-4.792874624958916</v>
      </c>
      <c r="G57" s="118">
        <f ca="1">(
$G$31/(1+$E$57)^$G$34
+$H$31/(1+$E$57)^$H$34
+$I$31/(1+$E$57)^$I$34
+$J$31/(1+$E$57)^$J$34
+$K$31/(1+$E$57)^$K$34
+(($K$31*(1+G$53))/($E$57-G$53))/(1+$E$57)^$K$34
-$K$44
)/$K$47</f>
        <v>-4.7928954806657496</v>
      </c>
      <c r="H57" s="118">
        <f ca="1">(
$G$31/(1+$E$57)^$G$34
+$H$31/(1+$E$57)^$H$34
+$I$31/(1+$E$57)^$I$34
+$J$31/(1+$E$57)^$J$34
+$K$31/(1+$E$57)^$K$34
+(($K$31*(1+H$53))/($E$57-H$53))/(1+$E$57)^$K$34
-$K$44
)/$K$47</f>
        <v>-4.7929175375222304</v>
      </c>
      <c r="I57" s="118">
        <f ca="1">(
$G$31/(1+$E$57)^$G$34
+$H$31/(1+$E$57)^$H$34
+$I$31/(1+$E$57)^$I$34
+$J$31/(1+$E$57)^$J$34
+$K$31/(1+$E$57)^$K$34
+(($K$31*(1+I$53))/($E$57-I$53))/(1+$E$57)^$K$34
-$K$44
)/$K$47</f>
        <v>-4.7929409023724308</v>
      </c>
      <c r="J57" s="119">
        <f ca="1">(
$G$31/(1+$E$57)^$G$34
+$H$31/(1+$E$57)^$H$34
+$I$31/(1+$E$57)^$I$34
+$J$31/(1+$E$57)^$J$34
+$K$31/(1+$E$57)^$K$34
+(($K$31*(1+J$53))/($E$57-J$53))/(1+$E$57)^$K$34
-$K$44
)/$K$47</f>
        <v>-4.7929656951195474</v>
      </c>
    </row>
    <row r="58" spans="2:11" ht="16.899999999999999" customHeight="1" thickBot="1" x14ac:dyDescent="0.65">
      <c r="E58" s="92">
        <f>E57+C52</f>
        <v>0.13181560558055122</v>
      </c>
      <c r="F58" s="121">
        <f ca="1">(
$G$31/(1+$E$58)^$G$34
+$H$31/(1+$E$58)^$H$34
+$I$31/(1+$E$58)^$I$34
+$J$31/(1+$E$58)^$J$34
+$K$31/(1+$E$58)^$K$34
+(($K$31*(1+F$53))/($E$58-F$53))/(1+$E$58)^$K$34
-$K$44
)/$K$47</f>
        <v>-4.7901980321034401</v>
      </c>
      <c r="G58" s="121">
        <f ca="1">(
$G$31/(1+$E$58)^$G$34
+$H$31/(1+$E$58)^$H$34
+$I$31/(1+$E$58)^$I$34
+$J$31/(1+$E$58)^$J$34
+$K$31/(1+$E$58)^$K$34
+(($K$31*(1+G$53))/($E$58-G$53))/(1+$E$58)^$K$34
-$K$44
)/$K$47</f>
        <v>-4.7902112777976091</v>
      </c>
      <c r="H58" s="121">
        <f ca="1">(
$G$31/(1+$E$58)^$G$34
+$H$31/(1+$E$58)^$H$34
+$I$31/(1+$E$58)^$I$34
+$J$31/(1+$E$58)^$J$34
+$K$31/(1+$E$58)^$K$34
+(($K$31*(1+H$53))/($E$58-H$53))/(1+$E$58)^$K$34
-$K$44
)/$K$47</f>
        <v>-4.7902251435179481</v>
      </c>
      <c r="I58" s="121">
        <f ca="1">(
$G$31/(1+$E$58)^$G$34
+$H$31/(1+$E$58)^$H$34
+$I$31/(1+$E$58)^$I$34
+$J$31/(1+$E$58)^$J$34
+$K$31/(1+$E$58)^$K$34
+(($K$31*(1+I$53))/($E$58-I$53))/(1+$E$58)^$K$34
-$K$44
)/$K$47</f>
        <v>-4.7902396738426045</v>
      </c>
      <c r="J58" s="122">
        <f ca="1">(
$G$31/(1+$E$58)^$G$34
+$H$31/(1+$E$58)^$H$34
+$I$31/(1+$E$58)^$I$34
+$J$31/(1+$E$58)^$J$34
+$K$31/(1+$E$58)^$K$34
+(($K$31*(1+J$53))/($E$58-J$53))/(1+$E$58)^$K$34
-$K$44
)/$K$47</f>
        <v>-4.7902549177280438</v>
      </c>
    </row>
  </sheetData>
  <conditionalFormatting sqref="F54:J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S58"/>
  <sheetViews>
    <sheetView showGridLines="0" topLeftCell="A3" zoomScale="75" zoomScaleNormal="100" workbookViewId="0">
      <selection activeCell="G18" sqref="G18:K18"/>
    </sheetView>
  </sheetViews>
  <sheetFormatPr defaultColWidth="8.86328125" defaultRowHeight="16.5" x14ac:dyDescent="0.6"/>
  <cols>
    <col min="1" max="1" width="2.86328125" style="1" customWidth="1"/>
    <col min="2" max="2" width="21.1328125" style="1" bestFit="1" customWidth="1"/>
    <col min="3" max="3" width="6.53125" style="1" customWidth="1"/>
    <col min="4" max="12" width="12.86328125" style="1" customWidth="1"/>
    <col min="13" max="13" width="21.46484375" style="1" bestFit="1" customWidth="1"/>
    <col min="14" max="14" width="11.53125" style="1" customWidth="1"/>
    <col min="15" max="15" width="8.86328125" style="1" customWidth="1"/>
    <col min="16" max="16384" width="8.86328125" style="1"/>
  </cols>
  <sheetData>
    <row r="1" spans="1:14" x14ac:dyDescent="0.6">
      <c r="A1" s="2"/>
      <c r="K1" s="2"/>
    </row>
    <row r="2" spans="1:14" ht="21.6" customHeight="1" x14ac:dyDescent="0.6">
      <c r="B2" s="15" t="s">
        <v>22</v>
      </c>
      <c r="C2" s="14"/>
      <c r="D2" s="14"/>
      <c r="E2" s="14"/>
      <c r="F2" s="14"/>
      <c r="G2" s="14"/>
      <c r="H2" s="14"/>
      <c r="I2" s="14"/>
      <c r="J2" s="14"/>
      <c r="M2" s="2"/>
    </row>
    <row r="3" spans="1:14" x14ac:dyDescent="0.6">
      <c r="G3" s="2"/>
    </row>
    <row r="4" spans="1:14" x14ac:dyDescent="0.6">
      <c r="B4" s="17" t="s">
        <v>23</v>
      </c>
      <c r="C4" s="16"/>
      <c r="D4" s="16"/>
      <c r="E4" s="16">
        <v>0.1</v>
      </c>
      <c r="G4" s="17" t="s">
        <v>24</v>
      </c>
      <c r="H4" s="16"/>
      <c r="I4" s="16"/>
      <c r="J4" s="16"/>
    </row>
    <row r="5" spans="1:14" x14ac:dyDescent="0.6">
      <c r="B5" s="3" t="s">
        <v>25</v>
      </c>
      <c r="E5" s="30">
        <v>1.2</v>
      </c>
      <c r="G5" s="1" t="s">
        <v>26</v>
      </c>
      <c r="J5" s="28">
        <v>46022</v>
      </c>
    </row>
    <row r="6" spans="1:14" x14ac:dyDescent="0.6">
      <c r="B6" s="3" t="s">
        <v>27</v>
      </c>
      <c r="E6" s="31">
        <v>4.3299999999999998E-2</v>
      </c>
      <c r="G6" s="3" t="s">
        <v>28</v>
      </c>
      <c r="J6" s="24">
        <v>2.5000000000000001E-2</v>
      </c>
      <c r="N6" s="44"/>
    </row>
    <row r="7" spans="1:14" x14ac:dyDescent="0.6">
      <c r="B7" s="3" t="s">
        <v>29</v>
      </c>
      <c r="E7" s="31">
        <v>4.0599999999999997E-2</v>
      </c>
      <c r="G7" s="3" t="s">
        <v>30</v>
      </c>
      <c r="J7" s="25">
        <f>'DCF Base'!J7</f>
        <v>30242</v>
      </c>
      <c r="N7" s="45"/>
    </row>
    <row r="8" spans="1:14" x14ac:dyDescent="0.6">
      <c r="B8" s="3" t="s">
        <v>31</v>
      </c>
      <c r="E8" s="32">
        <f>E7+(E5*E6)</f>
        <v>9.2560000000000003E-2</v>
      </c>
      <c r="G8" s="3" t="s">
        <v>80</v>
      </c>
      <c r="J8" s="26">
        <f>'DCF Base'!J8</f>
        <v>7465</v>
      </c>
    </row>
    <row r="9" spans="1:14" x14ac:dyDescent="0.6">
      <c r="B9" s="3" t="s">
        <v>33</v>
      </c>
      <c r="E9" s="32">
        <f>J10/SUM(J10:J11)</f>
        <v>0.98329455970716351</v>
      </c>
      <c r="G9" s="3" t="s">
        <v>34</v>
      </c>
      <c r="J9" s="27">
        <f>'DCF Base'!J9</f>
        <v>477.73</v>
      </c>
    </row>
    <row r="10" spans="1:14" x14ac:dyDescent="0.6">
      <c r="B10" s="3" t="s">
        <v>35</v>
      </c>
      <c r="E10" s="33">
        <f>'3 Statement'!O9</f>
        <v>0.05</v>
      </c>
      <c r="G10" s="3" t="s">
        <v>36</v>
      </c>
      <c r="J10" s="29">
        <f>J8*J9</f>
        <v>3566254.45</v>
      </c>
    </row>
    <row r="11" spans="1:14" x14ac:dyDescent="0.6">
      <c r="B11" s="5" t="s">
        <v>37</v>
      </c>
      <c r="E11" s="32">
        <f>E10*(1-E13)</f>
        <v>4.8000000000000001E-2</v>
      </c>
      <c r="G11" s="3" t="s">
        <v>38</v>
      </c>
      <c r="J11" s="26">
        <f>'DCF Base'!J11</f>
        <v>60588</v>
      </c>
    </row>
    <row r="12" spans="1:14" x14ac:dyDescent="0.6">
      <c r="B12" s="3" t="s">
        <v>39</v>
      </c>
      <c r="E12" s="34">
        <f>1-E9</f>
        <v>1.6705440292836493E-2</v>
      </c>
      <c r="G12" s="1" t="s">
        <v>40</v>
      </c>
      <c r="J12" s="44" t="s">
        <v>41</v>
      </c>
    </row>
    <row r="13" spans="1:14" x14ac:dyDescent="0.6">
      <c r="B13" s="3" t="s">
        <v>42</v>
      </c>
      <c r="E13" s="35">
        <f>'3 Statement'!O8</f>
        <v>0.04</v>
      </c>
    </row>
    <row r="14" spans="1:14" ht="16.899999999999999" customHeight="1" thickBot="1" x14ac:dyDescent="0.65">
      <c r="B14" s="6" t="s">
        <v>43</v>
      </c>
      <c r="C14" s="6"/>
      <c r="D14" s="6"/>
      <c r="E14" s="98">
        <f>(E9*E8)+(E12*E10*(1-E13))</f>
        <v>9.1815605580551213E-2</v>
      </c>
    </row>
    <row r="15" spans="1:14" ht="16.899999999999999" customHeight="1" thickTop="1" x14ac:dyDescent="0.6"/>
    <row r="16" spans="1:14" x14ac:dyDescent="0.6">
      <c r="B16" s="18" t="s">
        <v>44</v>
      </c>
      <c r="C16" s="19"/>
      <c r="D16" s="19" t="s">
        <v>45</v>
      </c>
      <c r="E16" s="19" t="s">
        <v>46</v>
      </c>
      <c r="F16" s="19" t="s">
        <v>47</v>
      </c>
      <c r="G16" s="19" t="s">
        <v>48</v>
      </c>
      <c r="H16" s="19" t="s">
        <v>49</v>
      </c>
      <c r="I16" s="19" t="s">
        <v>50</v>
      </c>
      <c r="J16" s="19" t="s">
        <v>51</v>
      </c>
      <c r="K16" s="19" t="s">
        <v>51</v>
      </c>
      <c r="M16" s="21"/>
    </row>
    <row r="17" spans="2:19" x14ac:dyDescent="0.6">
      <c r="B17" s="3" t="s">
        <v>52</v>
      </c>
      <c r="D17" s="96">
        <f>'3 Statement'!D5</f>
        <v>211915</v>
      </c>
      <c r="E17" s="96">
        <f>'3 Statement'!E5</f>
        <v>245122</v>
      </c>
      <c r="F17" s="96">
        <f>'3 Statement'!F5</f>
        <v>281724</v>
      </c>
      <c r="G17" s="83">
        <f>F17*G18</f>
        <v>53527.56</v>
      </c>
      <c r="H17" s="83">
        <f>G17*H18</f>
        <v>10170.2364</v>
      </c>
      <c r="I17" s="83">
        <f>H17*I18</f>
        <v>1932.344916</v>
      </c>
      <c r="J17" s="83">
        <f>I17*J18</f>
        <v>367.14553404000003</v>
      </c>
      <c r="K17" s="83">
        <f>J17*K18</f>
        <v>69.757651467600013</v>
      </c>
      <c r="O17" s="52"/>
      <c r="P17" s="52"/>
      <c r="Q17" s="52"/>
      <c r="R17" s="52"/>
      <c r="S17" s="52"/>
    </row>
    <row r="18" spans="2:19" x14ac:dyDescent="0.6">
      <c r="B18" s="37" t="s">
        <v>53</v>
      </c>
      <c r="D18" s="68"/>
      <c r="E18" s="52">
        <f>E17/D17-1</f>
        <v>0.1566996201307127</v>
      </c>
      <c r="F18" s="52">
        <f>F17/E17-1</f>
        <v>0.14932156232406713</v>
      </c>
      <c r="G18" s="82">
        <f>0.19</f>
        <v>0.19</v>
      </c>
      <c r="H18" s="82">
        <f>0.19</f>
        <v>0.19</v>
      </c>
      <c r="I18" s="82">
        <f>0.19</f>
        <v>0.19</v>
      </c>
      <c r="J18" s="82">
        <f>0.19</f>
        <v>0.19</v>
      </c>
      <c r="K18" s="82">
        <f>0.19</f>
        <v>0.19</v>
      </c>
      <c r="O18" s="20"/>
    </row>
    <row r="19" spans="2:19" x14ac:dyDescent="0.6">
      <c r="B19" s="3" t="s">
        <v>54</v>
      </c>
      <c r="D19" s="100">
        <f>'3 Statement'!D6</f>
        <v>65863</v>
      </c>
      <c r="E19" s="100">
        <f>'3 Statement'!E6</f>
        <v>74114</v>
      </c>
      <c r="F19" s="100">
        <f>'3 Statement'!F6</f>
        <v>87831</v>
      </c>
      <c r="G19" s="101">
        <f>G17*G21</f>
        <v>10705.512000000001</v>
      </c>
      <c r="H19" s="101">
        <f>H17*H21</f>
        <v>2034.04728</v>
      </c>
      <c r="I19" s="101">
        <f>I17*I21</f>
        <v>386.46898320000003</v>
      </c>
      <c r="J19" s="101">
        <f>J17*J21</f>
        <v>73.429106808000014</v>
      </c>
      <c r="K19" s="101">
        <f>K17*K21</f>
        <v>13.951530293520003</v>
      </c>
      <c r="O19" s="20"/>
    </row>
    <row r="20" spans="2:19" x14ac:dyDescent="0.6">
      <c r="B20" s="8" t="s">
        <v>55</v>
      </c>
      <c r="C20" s="22"/>
      <c r="D20" s="96">
        <f t="shared" ref="D20:K20" si="0">D17-D19</f>
        <v>146052</v>
      </c>
      <c r="E20" s="96">
        <f t="shared" si="0"/>
        <v>171008</v>
      </c>
      <c r="F20" s="96">
        <f t="shared" si="0"/>
        <v>193893</v>
      </c>
      <c r="G20" s="83">
        <f t="shared" si="0"/>
        <v>42822.047999999995</v>
      </c>
      <c r="H20" s="83">
        <f t="shared" si="0"/>
        <v>8136.18912</v>
      </c>
      <c r="I20" s="83">
        <f t="shared" si="0"/>
        <v>1545.8759328000001</v>
      </c>
      <c r="J20" s="83">
        <f t="shared" si="0"/>
        <v>293.716427232</v>
      </c>
      <c r="K20" s="83">
        <f t="shared" si="0"/>
        <v>55.806121174080012</v>
      </c>
    </row>
    <row r="21" spans="2:19" x14ac:dyDescent="0.6">
      <c r="B21" s="37" t="s">
        <v>56</v>
      </c>
      <c r="D21" s="68"/>
      <c r="E21" s="52">
        <f>E20/D20-1</f>
        <v>0.1708706488100129</v>
      </c>
      <c r="F21" s="52">
        <f>F20/E20-1</f>
        <v>0.13382414857784442</v>
      </c>
      <c r="G21" s="82">
        <f>0.2</f>
        <v>0.2</v>
      </c>
      <c r="H21" s="82">
        <f>0.2</f>
        <v>0.2</v>
      </c>
      <c r="I21" s="82">
        <f>0.2</f>
        <v>0.2</v>
      </c>
      <c r="J21" s="82">
        <f>0.2</f>
        <v>0.2</v>
      </c>
      <c r="K21" s="82">
        <f>0.2</f>
        <v>0.2</v>
      </c>
      <c r="O21" s="68"/>
    </row>
    <row r="22" spans="2:19" x14ac:dyDescent="0.6">
      <c r="B22" s="7"/>
      <c r="G22" s="76"/>
      <c r="H22" s="76"/>
      <c r="I22" s="76"/>
      <c r="J22" s="76"/>
      <c r="K22" s="76"/>
      <c r="O22" s="68"/>
    </row>
    <row r="23" spans="2:19" x14ac:dyDescent="0.6">
      <c r="B23" s="3" t="s">
        <v>57</v>
      </c>
      <c r="D23" s="100">
        <f>SUM('3 Statement'!D9:D11)</f>
        <v>242768</v>
      </c>
      <c r="E23" s="100">
        <f>SUM('3 Statement'!E9:E11)</f>
        <v>269063</v>
      </c>
      <c r="F23" s="100">
        <f>SUM('3 Statement'!F9:F11)</f>
        <v>303417</v>
      </c>
      <c r="G23" s="101">
        <f>G17*G25</f>
        <v>11240.7876</v>
      </c>
      <c r="H23" s="101">
        <f>H17*H25</f>
        <v>2135.749644</v>
      </c>
      <c r="I23" s="101">
        <f>I17*I25</f>
        <v>405.79243235999996</v>
      </c>
      <c r="J23" s="101">
        <f>J17*J25</f>
        <v>77.100562148400002</v>
      </c>
      <c r="K23" s="101">
        <f>K17*K25</f>
        <v>14.649106808196002</v>
      </c>
    </row>
    <row r="24" spans="2:19" x14ac:dyDescent="0.6">
      <c r="B24" s="9" t="s">
        <v>58</v>
      </c>
      <c r="C24" s="22"/>
      <c r="D24" s="96">
        <f>D20+D23</f>
        <v>388820</v>
      </c>
      <c r="E24" s="96">
        <f>E20+E23</f>
        <v>440071</v>
      </c>
      <c r="F24" s="96">
        <f>F20+F23</f>
        <v>497310</v>
      </c>
      <c r="G24" s="83">
        <f>G21-G23</f>
        <v>-11240.587599999999</v>
      </c>
      <c r="H24" s="83">
        <f>H21-H23</f>
        <v>-2135.5496440000002</v>
      </c>
      <c r="I24" s="83">
        <f>I21-I23</f>
        <v>-405.59243235999998</v>
      </c>
      <c r="J24" s="83">
        <f>J21-J23</f>
        <v>-76.900562148399999</v>
      </c>
      <c r="K24" s="83">
        <f>K21-K23</f>
        <v>-14.449106808196003</v>
      </c>
    </row>
    <row r="25" spans="2:19" x14ac:dyDescent="0.6">
      <c r="B25" s="7" t="s">
        <v>59</v>
      </c>
      <c r="D25" s="52">
        <f>D24/D17</f>
        <v>1.8347922516103154</v>
      </c>
      <c r="E25" s="52">
        <f>E24/E17</f>
        <v>1.7953141700867323</v>
      </c>
      <c r="F25" s="52">
        <f>F24/F17</f>
        <v>1.7652383183541338</v>
      </c>
      <c r="G25" s="82">
        <f>0.21</f>
        <v>0.21</v>
      </c>
      <c r="H25" s="82">
        <f>0.21</f>
        <v>0.21</v>
      </c>
      <c r="I25" s="82">
        <f>0.21</f>
        <v>0.21</v>
      </c>
      <c r="J25" s="82">
        <f>0.21</f>
        <v>0.21</v>
      </c>
      <c r="K25" s="82">
        <f>0.21</f>
        <v>0.21</v>
      </c>
      <c r="N25" s="2"/>
    </row>
    <row r="26" spans="2:19" x14ac:dyDescent="0.6">
      <c r="B26" s="7"/>
      <c r="G26" s="76"/>
      <c r="H26" s="76"/>
      <c r="I26" s="76"/>
      <c r="J26" s="76"/>
      <c r="K26" s="76"/>
    </row>
    <row r="27" spans="2:19" x14ac:dyDescent="0.6">
      <c r="B27" s="10" t="s">
        <v>60</v>
      </c>
      <c r="D27" s="114">
        <f t="shared" ref="D27:K27" si="1">D24*(1-$E$13)</f>
        <v>373267.20000000001</v>
      </c>
      <c r="E27" s="114">
        <f t="shared" si="1"/>
        <v>422468.16</v>
      </c>
      <c r="F27" s="114">
        <f t="shared" si="1"/>
        <v>477417.6</v>
      </c>
      <c r="G27" s="115">
        <f t="shared" si="1"/>
        <v>-10790.964095999998</v>
      </c>
      <c r="H27" s="115">
        <f t="shared" si="1"/>
        <v>-2050.1276582400001</v>
      </c>
      <c r="I27" s="115">
        <f t="shared" si="1"/>
        <v>-389.36873506559994</v>
      </c>
      <c r="J27" s="115">
        <f t="shared" si="1"/>
        <v>-73.824539662463991</v>
      </c>
      <c r="K27" s="115">
        <f t="shared" si="1"/>
        <v>-13.871142535868163</v>
      </c>
    </row>
    <row r="28" spans="2:19" x14ac:dyDescent="0.6">
      <c r="B28" s="3" t="s">
        <v>61</v>
      </c>
      <c r="D28" s="96">
        <f>'3 Statement'!D71</f>
        <v>13861</v>
      </c>
      <c r="E28" s="96">
        <f>'3 Statement'!E71</f>
        <v>22287</v>
      </c>
      <c r="F28" s="96">
        <f>'3 Statement'!F71</f>
        <v>34153</v>
      </c>
      <c r="G28" s="83">
        <f>0.23*G17</f>
        <v>12311.3388</v>
      </c>
      <c r="H28" s="83">
        <f>0.23*H17</f>
        <v>2339.154372</v>
      </c>
      <c r="I28" s="83">
        <f>0.23*I17</f>
        <v>444.43933068000001</v>
      </c>
      <c r="J28" s="83">
        <f>0.23*J17</f>
        <v>84.443472829200005</v>
      </c>
      <c r="K28" s="83">
        <f>0.23*K17</f>
        <v>16.044259837548005</v>
      </c>
      <c r="M28" s="1" t="s">
        <v>81</v>
      </c>
    </row>
    <row r="29" spans="2:19" x14ac:dyDescent="0.6">
      <c r="B29" s="3" t="s">
        <v>62</v>
      </c>
      <c r="D29" s="96">
        <f>'3 Statement'!D78</f>
        <v>-28107</v>
      </c>
      <c r="E29" s="96">
        <f>'3 Statement'!E78</f>
        <v>-44477</v>
      </c>
      <c r="F29" s="96">
        <f>'3 Statement'!F78</f>
        <v>-64551</v>
      </c>
      <c r="G29" s="83">
        <f>-0.24*G17</f>
        <v>-12846.614399999999</v>
      </c>
      <c r="H29" s="83">
        <f>-0.24*H17</f>
        <v>-2440.8567359999997</v>
      </c>
      <c r="I29" s="83">
        <f>-0.24*I17</f>
        <v>-463.76277984000001</v>
      </c>
      <c r="J29" s="83">
        <f>-0.24*J17</f>
        <v>-88.114928169600006</v>
      </c>
      <c r="K29" s="83">
        <f>-0.24*K17</f>
        <v>-16.741836352224002</v>
      </c>
    </row>
    <row r="30" spans="2:19" x14ac:dyDescent="0.6">
      <c r="B30" s="3" t="s">
        <v>63</v>
      </c>
      <c r="D30" s="100">
        <f>'3 Statement'!D74</f>
        <v>-2388</v>
      </c>
      <c r="E30" s="100">
        <f>'3 Statement'!E74</f>
        <v>1824</v>
      </c>
      <c r="F30" s="100">
        <f>'3 Statement'!F74</f>
        <v>-5350</v>
      </c>
      <c r="G30" s="101">
        <f>0.25</f>
        <v>0.25</v>
      </c>
      <c r="H30" s="101">
        <f>0.25</f>
        <v>0.25</v>
      </c>
      <c r="I30" s="101">
        <f>0.25</f>
        <v>0.25</v>
      </c>
      <c r="J30" s="101">
        <f>0.25</f>
        <v>0.25</v>
      </c>
      <c r="K30" s="101">
        <f>0.25</f>
        <v>0.25</v>
      </c>
    </row>
    <row r="31" spans="2:19" x14ac:dyDescent="0.6">
      <c r="B31" s="9" t="s">
        <v>64</v>
      </c>
      <c r="C31" s="22"/>
      <c r="D31" s="96">
        <f t="shared" ref="D31:K31" si="2">D27+D28+D29+D30</f>
        <v>356633.2</v>
      </c>
      <c r="E31" s="96">
        <f t="shared" si="2"/>
        <v>402102.16</v>
      </c>
      <c r="F31" s="96">
        <f t="shared" si="2"/>
        <v>441669.6</v>
      </c>
      <c r="G31" s="83">
        <f t="shared" si="2"/>
        <v>-11325.989695999997</v>
      </c>
      <c r="H31" s="83">
        <f t="shared" si="2"/>
        <v>-2151.5800222399998</v>
      </c>
      <c r="I31" s="83">
        <f t="shared" si="2"/>
        <v>-408.44218422559993</v>
      </c>
      <c r="J31" s="83">
        <f t="shared" si="2"/>
        <v>-77.245995002863992</v>
      </c>
      <c r="K31" s="83">
        <f t="shared" si="2"/>
        <v>-14.318719050544161</v>
      </c>
    </row>
    <row r="33" spans="2:16" x14ac:dyDescent="0.6">
      <c r="B33" s="17" t="s">
        <v>65</v>
      </c>
      <c r="C33" s="19"/>
      <c r="D33" s="19"/>
      <c r="E33" s="19"/>
      <c r="F33" s="19"/>
      <c r="G33" s="19" t="s">
        <v>48</v>
      </c>
      <c r="H33" s="19" t="s">
        <v>49</v>
      </c>
      <c r="I33" s="19" t="s">
        <v>50</v>
      </c>
      <c r="J33" s="19" t="s">
        <v>51</v>
      </c>
      <c r="K33" s="19" t="s">
        <v>51</v>
      </c>
    </row>
    <row r="34" spans="2:16" x14ac:dyDescent="0.6">
      <c r="B34" s="3" t="s">
        <v>66</v>
      </c>
      <c r="G34" s="48">
        <f ca="1">YEARFRAC(TODAY(),$J$5)</f>
        <v>7.4999999999999997E-2</v>
      </c>
      <c r="H34" s="48">
        <f ca="1">G34+1</f>
        <v>1.075</v>
      </c>
      <c r="I34" s="48">
        <f ca="1">H34+1</f>
        <v>2.0750000000000002</v>
      </c>
      <c r="J34" s="48">
        <f ca="1">I34+1</f>
        <v>3.0750000000000002</v>
      </c>
      <c r="K34" s="48">
        <f ca="1">J34+1</f>
        <v>4.0750000000000002</v>
      </c>
      <c r="N34" s="4"/>
      <c r="O34" s="4"/>
      <c r="P34" s="4"/>
    </row>
    <row r="35" spans="2:16" x14ac:dyDescent="0.6">
      <c r="B35" s="3" t="s">
        <v>67</v>
      </c>
      <c r="G35" s="49">
        <f ca="1">(1/(1+$E$14))^G34</f>
        <v>0.99343350400411579</v>
      </c>
      <c r="H35" s="49">
        <f ca="1">(1/(1+$E$14))^H34</f>
        <v>0.9098912846880195</v>
      </c>
      <c r="I35" s="49">
        <f ca="1">(1/(1+$E$14))^I34</f>
        <v>0.83337450027031168</v>
      </c>
      <c r="J35" s="49">
        <f ca="1">(1/(1+$E$14))^J34</f>
        <v>0.76329235084268776</v>
      </c>
      <c r="K35" s="49">
        <f ca="1">(1/(1+$E$14))^K34</f>
        <v>0.69910371947543481</v>
      </c>
      <c r="N35" s="49"/>
      <c r="O35" s="49"/>
      <c r="P35" s="49"/>
    </row>
    <row r="36" spans="2:16" x14ac:dyDescent="0.6">
      <c r="B36" s="3"/>
      <c r="N36" s="49"/>
      <c r="O36" s="49"/>
      <c r="P36" s="49"/>
    </row>
    <row r="37" spans="2:16" x14ac:dyDescent="0.6">
      <c r="B37" s="11" t="s">
        <v>68</v>
      </c>
      <c r="G37" s="1">
        <f ca="1">G31*G35</f>
        <v>-11251.617630011788</v>
      </c>
      <c r="H37" s="1">
        <f ca="1">H31*H35</f>
        <v>-1957.703910545031</v>
      </c>
      <c r="I37" s="1">
        <f ca="1">I31*I35</f>
        <v>-340.38530116832391</v>
      </c>
      <c r="J37" s="1">
        <f ca="1">J31*J35</f>
        <v>-58.961277118918566</v>
      </c>
      <c r="K37" s="1">
        <f ca="1">K31*K35</f>
        <v>-10.010269746359189</v>
      </c>
    </row>
    <row r="38" spans="2:16" x14ac:dyDescent="0.6">
      <c r="B38" s="12" t="s">
        <v>69</v>
      </c>
      <c r="K38" s="21">
        <f ca="1">SUM(G37:K37)</f>
        <v>-13618.678388590421</v>
      </c>
      <c r="N38" s="2"/>
    </row>
    <row r="39" spans="2:16" x14ac:dyDescent="0.6">
      <c r="B39" s="12"/>
    </row>
    <row r="40" spans="2:16" x14ac:dyDescent="0.6">
      <c r="B40" s="11" t="s">
        <v>70</v>
      </c>
      <c r="K40" s="50">
        <f>(K31*(1+J6))/(E14-J6)</f>
        <v>-219.65956754090803</v>
      </c>
    </row>
    <row r="41" spans="2:16" x14ac:dyDescent="0.6">
      <c r="B41" s="12" t="s">
        <v>71</v>
      </c>
      <c r="K41" s="39">
        <f ca="1">K40*K35</f>
        <v>-153.56482068621429</v>
      </c>
    </row>
    <row r="42" spans="2:16" x14ac:dyDescent="0.6">
      <c r="B42" s="12"/>
      <c r="K42" s="40"/>
    </row>
    <row r="43" spans="2:16" x14ac:dyDescent="0.6">
      <c r="B43" s="12" t="s">
        <v>72</v>
      </c>
      <c r="K43" s="40">
        <f ca="1">K41+K38</f>
        <v>-13772.243209276636</v>
      </c>
    </row>
    <row r="44" spans="2:16" x14ac:dyDescent="0.6">
      <c r="B44" s="11" t="s">
        <v>73</v>
      </c>
      <c r="K44" s="51">
        <f>J11-J7</f>
        <v>30346</v>
      </c>
    </row>
    <row r="45" spans="2:16" x14ac:dyDescent="0.6">
      <c r="B45" s="13" t="s">
        <v>74</v>
      </c>
      <c r="C45" s="22"/>
      <c r="D45" s="22"/>
      <c r="E45" s="22"/>
      <c r="F45" s="22"/>
      <c r="G45" s="22"/>
      <c r="H45" s="22"/>
      <c r="I45" s="22"/>
      <c r="J45" s="22"/>
      <c r="K45" s="41">
        <f ca="1">K41-K44</f>
        <v>-30499.564820686213</v>
      </c>
    </row>
    <row r="46" spans="2:16" x14ac:dyDescent="0.6">
      <c r="B46" s="12"/>
      <c r="K46" s="40"/>
    </row>
    <row r="47" spans="2:16" x14ac:dyDescent="0.6">
      <c r="B47" s="11" t="s">
        <v>75</v>
      </c>
      <c r="K47" s="42">
        <f>J8</f>
        <v>7465</v>
      </c>
    </row>
    <row r="48" spans="2:16" x14ac:dyDescent="0.6">
      <c r="B48" s="36" t="s">
        <v>76</v>
      </c>
      <c r="C48" s="22"/>
      <c r="D48" s="22"/>
      <c r="E48" s="22"/>
      <c r="F48" s="22"/>
      <c r="G48" s="22"/>
      <c r="H48" s="22"/>
      <c r="I48" s="22"/>
      <c r="J48" s="22"/>
      <c r="K48" s="43">
        <f ca="1">K45/K47</f>
        <v>-4.0856751266826814</v>
      </c>
    </row>
    <row r="49" spans="2:11" x14ac:dyDescent="0.6">
      <c r="B49" s="38" t="s">
        <v>7</v>
      </c>
      <c r="K49" s="99">
        <f ca="1">(K48/J9-1)</f>
        <v>-1.0085522682826757</v>
      </c>
    </row>
    <row r="51" spans="2:11" x14ac:dyDescent="0.6">
      <c r="B51" s="18" t="s">
        <v>77</v>
      </c>
      <c r="C51" s="18"/>
      <c r="D51" s="18"/>
      <c r="E51" s="18"/>
      <c r="F51" s="18"/>
      <c r="G51" s="18"/>
      <c r="H51" s="18"/>
      <c r="I51" s="18"/>
      <c r="J51" s="18"/>
      <c r="K51" s="18"/>
    </row>
    <row r="52" spans="2:11" ht="16.899999999999999" customHeight="1" thickBot="1" x14ac:dyDescent="0.65">
      <c r="B52" s="1" t="s">
        <v>78</v>
      </c>
      <c r="C52" s="68" t="s">
        <v>82</v>
      </c>
      <c r="E52" s="20"/>
      <c r="F52" s="20"/>
      <c r="G52" s="52"/>
      <c r="H52" s="20"/>
      <c r="I52" s="20"/>
    </row>
    <row r="53" spans="2:11" x14ac:dyDescent="0.6">
      <c r="B53" s="1" t="s">
        <v>79</v>
      </c>
      <c r="C53" s="1" t="s">
        <v>82</v>
      </c>
      <c r="E53" s="70">
        <f ca="1">K48</f>
        <v>-4.0856751266826814</v>
      </c>
      <c r="F53" s="93" t="e">
        <f>G53-C53</f>
        <v>#VALUE!</v>
      </c>
      <c r="G53" s="93" t="e">
        <f>H53-C53</f>
        <v>#VALUE!</v>
      </c>
      <c r="H53" s="93">
        <f>J6</f>
        <v>2.5000000000000001E-2</v>
      </c>
      <c r="I53" s="93" t="e">
        <f>H53+C53</f>
        <v>#VALUE!</v>
      </c>
      <c r="J53" s="94" t="e">
        <f>I53+C53</f>
        <v>#VALUE!</v>
      </c>
    </row>
    <row r="54" spans="2:11" x14ac:dyDescent="0.6">
      <c r="D54" s="20"/>
      <c r="E54" s="91" t="e">
        <f>E55-C52</f>
        <v>#VALUE!</v>
      </c>
      <c r="F54" s="118" t="e">
        <f ca="1">(
$G$31/(1+$E$54)^$G$34
+$H$31/(1+$E$54)^$H$34
+$I$31/(1+$E$54)^$I$34
+$J$31/(1+$E$54)^$J$34
+$K$31/(1+$E$54)^$K$34
+(($K$31*(1+F$53))/($E54-F$53))/(1+$E54)^$K$34
-$K$44
)/$K$47</f>
        <v>#VALUE!</v>
      </c>
      <c r="G54" s="118" t="e">
        <f ca="1">(
$G$31/(1+$E$54)^$G$34
+$H$31/(1+$E$54)^$H$34
+$I$31/(1+$E$54)^$I$34
+$J$31/(1+$E$54)^$J$34
+$K$31/(1+$E$54)^$K$34
+(($K$31*(1+G$53))/($E54-G$53))/(1+$E54)^$K$34
-$K$44
)/$K$47</f>
        <v>#VALUE!</v>
      </c>
      <c r="H54" s="118" t="e">
        <f ca="1">(
$G$31/(1+$E$54)^$G$34
+$H$31/(1+$E$54)^$H$34
+$I$31/(1+$E$54)^$I$34
+$J$31/(1+$E$54)^$J$34
+$K$31/(1+$E$54)^$K$34
+(($K$31*(1+H$53))/($E54-H$53))/(1+$E54)^$K$34
-$K$44
)/$K$47</f>
        <v>#VALUE!</v>
      </c>
      <c r="I54" s="118" t="e">
        <f ca="1">(
$G$31/(1+$E$54)^$G$34
+$H$31/(1+$E$54)^$H$34
+$I$31/(1+$E$54)^$I$34
+$J$31/(1+$E$54)^$J$34
+$K$31/(1+$E$54)^$K$34
+(($K$31*(1+I$53))/($E54-I$53))/(1+$E54)^$K$34
-$K$44
)/$K$47</f>
        <v>#VALUE!</v>
      </c>
      <c r="J54" s="119" t="e">
        <f ca="1">(
$G$31/(1+$E$54)^$G$34
+$H$31/(1+$E$54)^$H$34
+$I$31/(1+$E$54)^$I$34
+$J$31/(1+$E$54)^$J$34
+$K$31/(1+$E$54)^$K$34
+(($K$31*(1+J$53))/($E54-J$53))/(1+$E54)^$K$34
-$K$44
)/$K$47</f>
        <v>#VALUE!</v>
      </c>
    </row>
    <row r="55" spans="2:11" ht="16.899999999999999" customHeight="1" thickBot="1" x14ac:dyDescent="0.65">
      <c r="D55" s="20"/>
      <c r="E55" s="91" t="e">
        <f>E56-C52</f>
        <v>#VALUE!</v>
      </c>
      <c r="F55" s="118" t="e">
        <f ca="1">(
$G$31/(1+$E$55)^$G$34
+$H$31/(1+$E$55)^$H$34
+$I$31/(1+$E$55)^$I$34
+$J$31/(1+$E$55)^$J$34
+$K$31/(1+$E$55)^$K$34
+(($K$31*(1+F$53))/($E55-F$53))/(1+$E$55)^$K$34
-$K$44
)/$K$47</f>
        <v>#VALUE!</v>
      </c>
      <c r="G55" s="118" t="e">
        <f ca="1">(
$G$31/(1+$E$55)^$G$34
+$H$31/(1+$E$55)^$H$34
+$I$31/(1+$E$55)^$I$34
+$J$31/(1+$E$55)^$J$34
+$K$31/(1+$E$55)^$K$34
+(($K$31*(1+G$53))/($E55-G$53))/(1+$E$55)^$K$34
-$K$44
)/$K$47</f>
        <v>#VALUE!</v>
      </c>
      <c r="H55" s="118" t="e">
        <f ca="1">(
$G$31/(1+$E$55)^$G$34
+$H$31/(1+$E$55)^$H$34
+$I$31/(1+$E$55)^$I$34
+$J$31/(1+$E$55)^$J$34
+$K$31/(1+$E$55)^$K$34
+(($K$31*(1+H$53))/($E55-H$53))/(1+$E$55)^$K$34
-$K$44
)/$K$47</f>
        <v>#VALUE!</v>
      </c>
      <c r="I55" s="118" t="e">
        <f ca="1">(
$G$31/(1+$E$55)^$G$34
+$H$31/(1+$E$55)^$H$34
+$I$31/(1+$E$55)^$I$34
+$J$31/(1+$E$55)^$J$34
+$K$31/(1+$E$55)^$K$34
+(($K$31*(1+I$53))/($E55-I$53))/(1+$E$55)^$K$34
-$K$44
)/$K$47</f>
        <v>#VALUE!</v>
      </c>
      <c r="J55" s="119" t="e">
        <f ca="1">(
$G$31/(1+$E$55)^$G$34
+$H$31/(1+$E$55)^$H$34
+$I$31/(1+$E$55)^$I$34
+$J$31/(1+$E$55)^$J$34
+$K$31/(1+$E$55)^$K$34
+(($K$31*(1+J$53))/($E55-J$53))/(1+$E$55)^$K$34
-$K$44
)/$K$47</f>
        <v>#VALUE!</v>
      </c>
    </row>
    <row r="56" spans="2:11" ht="16.899999999999999" customHeight="1" thickBot="1" x14ac:dyDescent="0.65">
      <c r="D56" s="20"/>
      <c r="E56" s="91">
        <f>E14</f>
        <v>9.1815605580551213E-2</v>
      </c>
      <c r="F56" s="118" t="e">
        <f ca="1">(
$G$31/(1+$E$56)^$G$34
+$H$31/(1+$E$56)^$H$34
+$I$31/(1+$E$56)^$I$34
+$J$31/(1+$E$56)^$J$34
+$K$31/(1+$E$56)^$K$34
+(($K$31*(1+F$53))/($E$56-F$53))/(1+$E$56)^$K$34
-$K$44
)/$K$47</f>
        <v>#VALUE!</v>
      </c>
      <c r="G56" s="118" t="e">
        <f ca="1">(
$G$31/(1+$E$56)^$G$34
+$H$31/(1+$E$56)^$H$34
+$I$31/(1+$E$56)^$I$34
+$J$31/(1+$E$56)^$J$34
+$K$31/(1+$E$56)^$K$34
+(($K$31*(1+G$53))/($E$56-G$53))/(1+$E$56)^$K$34
-$K$44
)/$K$47</f>
        <v>#VALUE!</v>
      </c>
      <c r="H56" s="120">
        <f ca="1">(
$G$31/(1+$E$56)^$G$34
+$H$31/(1+$E$56)^$H$34
+$I$31/(1+$E$56)^$I$34
+$J$31/(1+$E$56)^$J$34
+$K$31/(1+$E$56)^$K$34
+(($K$31*(1+H$53))/($E$56-H$53))/(1+$E$56)^$K$34
-$K$44
)/$K$47</f>
        <v>-5.9100124861723566</v>
      </c>
      <c r="I56" s="118" t="e">
        <f ca="1">(
$G$31/(1+$E$56)^$G$34
+$H$31/(1+$E$56)^$H$34
+$I$31/(1+$E$56)^$I$34
+$J$31/(1+$E$56)^$J$34
+$K$31/(1+$E$56)^$K$34
+(($K$31*(1+I$53))/($E$56-I$53))/(1+$E$56)^$K$34
-$K$44
)/$K$47</f>
        <v>#VALUE!</v>
      </c>
      <c r="J56" s="119" t="e">
        <f ca="1">(
$G$31/(1+$E$56)^$G$34
+$H$31/(1+$E$56)^$H$34
+$I$31/(1+$E$56)^$I$34
+$J$31/(1+$E$56)^$J$34
+$K$31/(1+$E$56)^$K$34
+(($K$31*(1+J$53))/($E$56-J$53))/(1+$E$56)^$K$34
-$K$44
)/$K$47</f>
        <v>#VALUE!</v>
      </c>
    </row>
    <row r="57" spans="2:11" x14ac:dyDescent="0.6">
      <c r="E57" s="91" t="e">
        <f>E56+C52</f>
        <v>#VALUE!</v>
      </c>
      <c r="F57" s="118" t="e">
        <f ca="1">(
$G$31/(1+$E$57)^$G$34
+$H$31/(1+$E$57)^$H$34
+$I$31/(1+$E$57)^$I$34
+$J$31/(1+$E$57)^$J$34
+$K$31/(1+$E$57)^$K$34
+(($K$31*(1+F$53))/($E$57-F$53))/(1+$E$57)^$K$34
-$K$44
)/$K$47</f>
        <v>#VALUE!</v>
      </c>
      <c r="G57" s="118" t="e">
        <f ca="1">(
$G$31/(1+$E$57)^$G$34
+$H$31/(1+$E$57)^$H$34
+$I$31/(1+$E$57)^$I$34
+$J$31/(1+$E$57)^$J$34
+$K$31/(1+$E$57)^$K$34
+(($K$31*(1+G$53))/($E$57-G$53))/(1+$E$57)^$K$34
-$K$44
)/$K$47</f>
        <v>#VALUE!</v>
      </c>
      <c r="H57" s="118" t="e">
        <f ca="1">(
$G$31/(1+$E$57)^$G$34
+$H$31/(1+$E$57)^$H$34
+$I$31/(1+$E$57)^$I$34
+$J$31/(1+$E$57)^$J$34
+$K$31/(1+$E$57)^$K$34
+(($K$31*(1+H$53))/($E$57-H$53))/(1+$E$57)^$K$34
-$K$44
)/$K$47</f>
        <v>#VALUE!</v>
      </c>
      <c r="I57" s="118" t="e">
        <f ca="1">(
$G$31/(1+$E$57)^$G$34
+$H$31/(1+$E$57)^$H$34
+$I$31/(1+$E$57)^$I$34
+$J$31/(1+$E$57)^$J$34
+$K$31/(1+$E$57)^$K$34
+(($K$31*(1+I$53))/($E$57-I$53))/(1+$E$57)^$K$34
-$K$44
)/$K$47</f>
        <v>#VALUE!</v>
      </c>
      <c r="J57" s="119" t="e">
        <f ca="1">(
$G$31/(1+$E$57)^$G$34
+$H$31/(1+$E$57)^$H$34
+$I$31/(1+$E$57)^$I$34
+$J$31/(1+$E$57)^$J$34
+$K$31/(1+$E$57)^$K$34
+(($K$31*(1+J$53))/($E$57-J$53))/(1+$E$57)^$K$34
-$K$44
)/$K$47</f>
        <v>#VALUE!</v>
      </c>
    </row>
    <row r="58" spans="2:11" ht="16.899999999999999" customHeight="1" thickBot="1" x14ac:dyDescent="0.65">
      <c r="E58" s="92" t="e">
        <f>E57+C52</f>
        <v>#VALUE!</v>
      </c>
      <c r="F58" s="121" t="e">
        <f ca="1">(
$G$31/(1+$E$58)^$G$34
+$H$31/(1+$E$58)^$H$34
+$I$31/(1+$E$58)^$I$34
+$J$31/(1+$E$58)^$J$34
+$K$31/(1+$E$58)^$K$34
+(($K$31*(1+F$53))/($E$58-F$53))/(1+$E$58)^$K$34
-$K$44
)/$K$47</f>
        <v>#VALUE!</v>
      </c>
      <c r="G58" s="121" t="e">
        <f ca="1">(
$G$31/(1+$E$58)^$G$34
+$H$31/(1+$E$58)^$H$34
+$I$31/(1+$E$58)^$I$34
+$J$31/(1+$E$58)^$J$34
+$K$31/(1+$E$58)^$K$34
+(($K$31*(1+G$53))/($E$58-G$53))/(1+$E$58)^$K$34
-$K$44
)/$K$47</f>
        <v>#VALUE!</v>
      </c>
      <c r="H58" s="121" t="e">
        <f ca="1">(
$G$31/(1+$E$58)^$G$34
+$H$31/(1+$E$58)^$H$34
+$I$31/(1+$E$58)^$I$34
+$J$31/(1+$E$58)^$J$34
+$K$31/(1+$E$58)^$K$34
+(($K$31*(1+H$53))/($E$58-H$53))/(1+$E$58)^$K$34
-$K$44
)/$K$47</f>
        <v>#VALUE!</v>
      </c>
      <c r="I58" s="121" t="e">
        <f ca="1">(
$G$31/(1+$E$58)^$G$34
+$H$31/(1+$E$58)^$H$34
+$I$31/(1+$E$58)^$I$34
+$J$31/(1+$E$58)^$J$34
+$K$31/(1+$E$58)^$K$34
+(($K$31*(1+I$53))/($E$58-I$53))/(1+$E$58)^$K$34
-$K$44
)/$K$47</f>
        <v>#VALUE!</v>
      </c>
      <c r="J58" s="122" t="e">
        <f ca="1">(
$G$31/(1+$E$58)^$G$34
+$H$31/(1+$E$58)^$H$34
+$I$31/(1+$E$58)^$I$34
+$J$31/(1+$E$58)^$J$34
+$K$31/(1+$E$58)^$K$34
+(($K$31*(1+J$53))/($E$58-J$53))/(1+$E$58)^$K$34
-$K$44
)/$K$47</f>
        <v>#VALUE!</v>
      </c>
    </row>
  </sheetData>
  <conditionalFormatting sqref="F54:J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1:ZZ106"/>
  <sheetViews>
    <sheetView showGridLines="0" tabSelected="1" topLeftCell="A9" zoomScale="61" zoomScaleNormal="76" workbookViewId="0">
      <selection activeCell="F41" sqref="F41"/>
    </sheetView>
  </sheetViews>
  <sheetFormatPr defaultColWidth="8.86328125" defaultRowHeight="16.5" x14ac:dyDescent="0.6"/>
  <cols>
    <col min="1" max="1" width="2.86328125" style="1" customWidth="1"/>
    <col min="2" max="2" width="51.6640625" style="1" bestFit="1" customWidth="1"/>
    <col min="3" max="3" width="2.86328125" style="1" customWidth="1"/>
    <col min="4" max="11" width="12.86328125" style="1" customWidth="1"/>
    <col min="12" max="12" width="6.6640625" style="1" customWidth="1"/>
    <col min="13" max="13" width="30.53125" style="1" bestFit="1" customWidth="1"/>
    <col min="14" max="20" width="8.86328125" style="1" customWidth="1"/>
    <col min="21" max="21" width="46.6640625" style="1" customWidth="1"/>
    <col min="22" max="22" width="60.46484375" style="1" customWidth="1"/>
    <col min="23" max="23" width="13.33203125" style="1" bestFit="1" customWidth="1"/>
    <col min="24" max="24" width="8.86328125" style="1" customWidth="1"/>
    <col min="25" max="701" width="8.86328125" style="1"/>
    <col min="702" max="702" width="13" hidden="1" customWidth="1"/>
    <col min="703" max="16384" width="8.86328125" style="1"/>
  </cols>
  <sheetData>
    <row r="1" spans="2:702" x14ac:dyDescent="0.6">
      <c r="ZZ1" t="s">
        <v>83</v>
      </c>
    </row>
    <row r="2" spans="2:702" ht="21.6" customHeight="1" x14ac:dyDescent="0.6">
      <c r="B2" s="125" t="s">
        <v>84</v>
      </c>
      <c r="C2" s="14"/>
      <c r="D2" s="14"/>
      <c r="E2" s="14"/>
      <c r="F2" s="14"/>
      <c r="G2" s="14"/>
      <c r="H2" s="14"/>
      <c r="I2" s="14"/>
      <c r="J2" s="14"/>
      <c r="K2" s="14"/>
    </row>
    <row r="4" spans="2:702" ht="21" customHeight="1" x14ac:dyDescent="0.75">
      <c r="B4" s="75" t="s">
        <v>85</v>
      </c>
      <c r="C4" s="75"/>
      <c r="D4" s="74" t="s">
        <v>45</v>
      </c>
      <c r="E4" s="74" t="s">
        <v>46</v>
      </c>
      <c r="F4" s="74" t="s">
        <v>47</v>
      </c>
      <c r="G4" s="74" t="s">
        <v>48</v>
      </c>
      <c r="H4" s="74" t="s">
        <v>49</v>
      </c>
      <c r="I4" s="74" t="s">
        <v>50</v>
      </c>
      <c r="J4" s="74" t="s">
        <v>86</v>
      </c>
      <c r="K4" s="74" t="s">
        <v>87</v>
      </c>
      <c r="M4" s="18" t="s">
        <v>88</v>
      </c>
      <c r="N4" s="19" t="s">
        <v>89</v>
      </c>
      <c r="O4" s="19" t="s">
        <v>90</v>
      </c>
      <c r="P4" s="19"/>
      <c r="Q4" s="19"/>
      <c r="R4" s="19"/>
      <c r="S4" s="19"/>
    </row>
    <row r="5" spans="2:702" x14ac:dyDescent="0.6">
      <c r="B5" s="1" t="s">
        <v>91</v>
      </c>
      <c r="C5" s="3"/>
      <c r="D5" s="1">
        <v>211915</v>
      </c>
      <c r="E5" s="1">
        <v>245122</v>
      </c>
      <c r="F5" s="1">
        <v>281724</v>
      </c>
      <c r="G5" s="83">
        <f>F5*(1+O5)</f>
        <v>284541.24</v>
      </c>
      <c r="H5" s="83">
        <f>G5*(1+P5)</f>
        <v>287386.65240000002</v>
      </c>
      <c r="I5" s="83">
        <f>H5*(1+Q5)</f>
        <v>290260.51892400003</v>
      </c>
      <c r="J5" s="83">
        <f>I5*(1+R5)</f>
        <v>293163.12411324005</v>
      </c>
      <c r="K5" s="83">
        <f>J5*(1+S5)</f>
        <v>296094.75535437244</v>
      </c>
      <c r="M5" s="1" t="s">
        <v>52</v>
      </c>
      <c r="N5" t="s">
        <v>92</v>
      </c>
      <c r="O5" s="52">
        <v>0.01</v>
      </c>
      <c r="P5" s="68">
        <v>0.01</v>
      </c>
      <c r="Q5" s="68">
        <v>0.01</v>
      </c>
      <c r="R5" s="68">
        <v>0.01</v>
      </c>
      <c r="S5" s="68">
        <v>0.01</v>
      </c>
      <c r="V5" s="1">
        <v>416161000000</v>
      </c>
      <c r="ZZ5" t="s">
        <v>93</v>
      </c>
    </row>
    <row r="6" spans="2:702" x14ac:dyDescent="0.6">
      <c r="B6" s="1" t="s">
        <v>94</v>
      </c>
      <c r="D6" s="1">
        <v>65863</v>
      </c>
      <c r="E6" s="1">
        <v>74114</v>
      </c>
      <c r="F6" s="1">
        <v>87831</v>
      </c>
      <c r="G6" s="83">
        <f>G5-G7</f>
        <v>83018.485199999966</v>
      </c>
      <c r="H6" s="83">
        <f>H5-H7</f>
        <v>78100.937003999978</v>
      </c>
      <c r="I6" s="83">
        <f>I5-I7</f>
        <v>73076.735995559982</v>
      </c>
      <c r="J6" s="83">
        <f>J5-J7</f>
        <v>67944.24087325079</v>
      </c>
      <c r="K6" s="83">
        <f>K5-K7</f>
        <v>62701.788174895832</v>
      </c>
      <c r="M6" s="1" t="s">
        <v>95</v>
      </c>
      <c r="N6" t="s">
        <v>92</v>
      </c>
      <c r="O6" s="20">
        <v>0.02</v>
      </c>
      <c r="P6" s="20">
        <v>0.02</v>
      </c>
      <c r="Q6" s="20">
        <v>0.02</v>
      </c>
      <c r="R6" s="20">
        <v>0.02</v>
      </c>
      <c r="S6" s="20">
        <v>0.02</v>
      </c>
      <c r="V6" s="1">
        <v>220960000000</v>
      </c>
      <c r="Y6" s="1" t="s">
        <v>96</v>
      </c>
      <c r="ZZ6" t="s">
        <v>97</v>
      </c>
    </row>
    <row r="7" spans="2:702" x14ac:dyDescent="0.6">
      <c r="B7" s="21" t="s">
        <v>98</v>
      </c>
      <c r="D7" s="126">
        <v>146052</v>
      </c>
      <c r="E7" s="126">
        <v>171008</v>
      </c>
      <c r="F7" s="126">
        <v>193893</v>
      </c>
      <c r="G7" s="87">
        <f>G8*G5</f>
        <v>201522.75480000002</v>
      </c>
      <c r="H7" s="87">
        <f>H8*H5</f>
        <v>209285.71539600004</v>
      </c>
      <c r="I7" s="87">
        <f>I8*I5</f>
        <v>217183.78292844005</v>
      </c>
      <c r="J7" s="87">
        <f>J8*J5</f>
        <v>225218.88323998926</v>
      </c>
      <c r="K7" s="87">
        <f>K8*K5</f>
        <v>233392.9671794766</v>
      </c>
      <c r="M7" s="1" t="s">
        <v>99</v>
      </c>
      <c r="N7" t="s">
        <v>92</v>
      </c>
      <c r="O7" s="20">
        <v>0.03</v>
      </c>
      <c r="P7" s="20">
        <v>0.03</v>
      </c>
      <c r="Q7" s="20">
        <v>0.03</v>
      </c>
      <c r="R7" s="20">
        <v>0.03</v>
      </c>
      <c r="S7" s="20">
        <v>0.03</v>
      </c>
      <c r="V7" s="1">
        <v>195201000000</v>
      </c>
      <c r="Y7" s="1" t="s">
        <v>100</v>
      </c>
      <c r="ZZ7" t="s">
        <v>101</v>
      </c>
    </row>
    <row r="8" spans="2:702" x14ac:dyDescent="0.6">
      <c r="B8" s="78" t="s">
        <v>102</v>
      </c>
      <c r="D8" s="52">
        <f>D7/D5</f>
        <v>0.68920085883491022</v>
      </c>
      <c r="E8" s="52">
        <f>E7/E5</f>
        <v>0.69764443827971379</v>
      </c>
      <c r="F8" s="52">
        <f>F7/F5</f>
        <v>0.68823742386165188</v>
      </c>
      <c r="G8" s="82">
        <f>F8+(O6)</f>
        <v>0.70823742386165189</v>
      </c>
      <c r="H8" s="82">
        <f>G8+(P6)</f>
        <v>0.72823742386165191</v>
      </c>
      <c r="I8" s="82">
        <f>H8+(Q6)</f>
        <v>0.74823742386165193</v>
      </c>
      <c r="J8" s="82">
        <f>I8+(R6)</f>
        <v>0.76823742386165195</v>
      </c>
      <c r="K8" s="82">
        <f>J8+(S6)</f>
        <v>0.78823742386165196</v>
      </c>
      <c r="M8" s="1" t="s">
        <v>42</v>
      </c>
      <c r="N8" t="s">
        <v>92</v>
      </c>
      <c r="O8" s="68">
        <v>0.04</v>
      </c>
      <c r="P8" s="68">
        <v>0.04</v>
      </c>
      <c r="Q8" s="68">
        <v>0.04</v>
      </c>
      <c r="R8" s="68">
        <v>0.04</v>
      </c>
      <c r="S8" s="68">
        <v>0.04</v>
      </c>
      <c r="V8" s="1">
        <v>34550000000</v>
      </c>
      <c r="Y8" s="1" t="s">
        <v>103</v>
      </c>
      <c r="ZZ8" t="s">
        <v>104</v>
      </c>
    </row>
    <row r="9" spans="2:702" x14ac:dyDescent="0.6">
      <c r="B9" s="1" t="s">
        <v>105</v>
      </c>
      <c r="D9" s="1">
        <v>97376</v>
      </c>
      <c r="E9" s="1">
        <v>113848</v>
      </c>
      <c r="F9" s="1">
        <v>139810</v>
      </c>
      <c r="G9" s="83">
        <f>(F9/F12)*(G7-G12)</f>
        <v>68718.492070646113</v>
      </c>
      <c r="H9" s="83">
        <f>(G9/G12)*(H7-H12)</f>
        <v>30264.605429515588</v>
      </c>
      <c r="I9" s="83">
        <f>(H9/H12)*(I7-I12)</f>
        <v>11962.217678161862</v>
      </c>
      <c r="J9" s="83">
        <f>(I9/I12)*(J7-J12)</f>
        <v>4247.2463657921789</v>
      </c>
      <c r="K9" s="83">
        <f>(J9/J12)*(K7-K12)</f>
        <v>1355.0484893425598</v>
      </c>
      <c r="M9" s="1" t="s">
        <v>106</v>
      </c>
      <c r="N9" t="s">
        <v>92</v>
      </c>
      <c r="O9" s="68">
        <v>0.05</v>
      </c>
      <c r="P9" s="68">
        <v>0.05</v>
      </c>
      <c r="Q9" s="68">
        <v>0.05</v>
      </c>
      <c r="R9" s="68">
        <v>0.05</v>
      </c>
      <c r="S9" s="68">
        <v>0.05</v>
      </c>
      <c r="V9" s="1">
        <v>0</v>
      </c>
      <c r="Y9" s="1" t="s">
        <v>107</v>
      </c>
      <c r="ZZ9" t="s">
        <v>104</v>
      </c>
    </row>
    <row r="10" spans="2:702" x14ac:dyDescent="0.6">
      <c r="B10" s="1" t="s">
        <v>108</v>
      </c>
      <c r="D10" s="1">
        <v>145392</v>
      </c>
      <c r="E10" s="1">
        <v>155215</v>
      </c>
      <c r="F10" s="1">
        <v>163607</v>
      </c>
      <c r="G10" s="83">
        <f>(F10/F12)*(G7-G12)</f>
        <v>80415.037066033896</v>
      </c>
      <c r="H10" s="83">
        <f>(G10/G12)*(H7-H12)</f>
        <v>35415.930909854498</v>
      </c>
      <c r="I10" s="83">
        <f>(H10/H12)*(I7-I12)</f>
        <v>13998.30160697395</v>
      </c>
      <c r="J10" s="83">
        <f>(I10/I12)*(J7-J12)</f>
        <v>4970.1683439536591</v>
      </c>
      <c r="K10" s="83">
        <f>(J10/J12)*(K7-K12)</f>
        <v>1585.6907102200717</v>
      </c>
      <c r="O10" s="68"/>
      <c r="P10" s="68"/>
      <c r="Q10" s="68"/>
      <c r="R10" s="68"/>
      <c r="S10" s="68"/>
      <c r="V10" s="1">
        <v>0</v>
      </c>
      <c r="Y10" s="1" t="s">
        <v>109</v>
      </c>
      <c r="ZZ10" t="s">
        <v>110</v>
      </c>
    </row>
    <row r="11" spans="2:702" x14ac:dyDescent="0.6">
      <c r="B11" s="1" t="s">
        <v>111</v>
      </c>
      <c r="D11" s="1">
        <v>0</v>
      </c>
      <c r="E11" s="1">
        <v>0</v>
      </c>
      <c r="F11" s="1">
        <v>0</v>
      </c>
      <c r="G11" s="83">
        <f>(F11/F12)*(G7-G12)</f>
        <v>0</v>
      </c>
      <c r="H11" s="83">
        <f>(G11/G12)*(H7-H12)</f>
        <v>0</v>
      </c>
      <c r="I11" s="83">
        <f>(H11/H12)*(I7-I12)</f>
        <v>0</v>
      </c>
      <c r="J11" s="83">
        <f>(I11/I12)*(J7-J12)</f>
        <v>0</v>
      </c>
      <c r="K11" s="83">
        <f>(J11/J12)*(K7-K12)</f>
        <v>0</v>
      </c>
      <c r="V11" s="1">
        <v>27601000000</v>
      </c>
      <c r="Y11" s="1" t="s">
        <v>112</v>
      </c>
    </row>
    <row r="12" spans="2:702" x14ac:dyDescent="0.6">
      <c r="B12" s="21" t="s">
        <v>113</v>
      </c>
      <c r="D12" s="126">
        <v>88523</v>
      </c>
      <c r="E12" s="126">
        <v>109433</v>
      </c>
      <c r="F12" s="126">
        <v>128528</v>
      </c>
      <c r="G12" s="87">
        <f>G13*G5</f>
        <v>138349.5172</v>
      </c>
      <c r="H12" s="87">
        <f>H13*H5</f>
        <v>148354.61194400003</v>
      </c>
      <c r="I12" s="87">
        <f>I13*I5</f>
        <v>158545.97363116004</v>
      </c>
      <c r="J12" s="87">
        <f>J13*J5</f>
        <v>168926.32709086887</v>
      </c>
      <c r="K12" s="87">
        <f>K13*K5</f>
        <v>179498.43302240872</v>
      </c>
      <c r="O12" s="68"/>
      <c r="P12" s="68"/>
      <c r="Q12" s="68"/>
      <c r="ZZ12" t="s">
        <v>114</v>
      </c>
    </row>
    <row r="13" spans="2:702" x14ac:dyDescent="0.6">
      <c r="B13" s="78" t="s">
        <v>115</v>
      </c>
      <c r="D13" s="52">
        <f>D12/D5</f>
        <v>0.41772880636104098</v>
      </c>
      <c r="E13" s="52">
        <f>E12/E5</f>
        <v>0.44644299573273716</v>
      </c>
      <c r="F13" s="52">
        <f>F12/F5</f>
        <v>0.45621956240859851</v>
      </c>
      <c r="G13" s="82">
        <f>F13+O7</f>
        <v>0.48621956240859854</v>
      </c>
      <c r="H13" s="82">
        <f>G13+P7</f>
        <v>0.51621956240859856</v>
      </c>
      <c r="I13" s="82">
        <f>H13+Q7</f>
        <v>0.54621956240859859</v>
      </c>
      <c r="J13" s="82">
        <f>I13+R7</f>
        <v>0.57621956240859862</v>
      </c>
      <c r="K13" s="82">
        <f>J13+S7</f>
        <v>0.60621956240859864</v>
      </c>
      <c r="O13" s="68"/>
      <c r="P13" s="68"/>
      <c r="Q13" s="68"/>
      <c r="R13" s="68"/>
      <c r="ZZ13" t="s">
        <v>104</v>
      </c>
    </row>
    <row r="14" spans="2:702" x14ac:dyDescent="0.6">
      <c r="B14" s="1" t="s">
        <v>116</v>
      </c>
      <c r="D14" s="1">
        <v>1026</v>
      </c>
      <c r="E14" s="1">
        <v>222</v>
      </c>
      <c r="F14" s="1">
        <v>262</v>
      </c>
      <c r="G14" s="83">
        <f>($F$14/$F$5)*G5</f>
        <v>264.62</v>
      </c>
      <c r="H14" s="83">
        <f>($F$14/$F$5)*H5</f>
        <v>267.26620000000003</v>
      </c>
      <c r="I14" s="83">
        <f>($F$14/$F$5)*I5</f>
        <v>269.93886200000003</v>
      </c>
      <c r="J14" s="83">
        <f>($F$14/$F$5)*J5</f>
        <v>272.63825062000006</v>
      </c>
      <c r="K14" s="83">
        <f>($F$14/$F$5)*K5</f>
        <v>275.36463312620003</v>
      </c>
      <c r="O14" s="68"/>
      <c r="P14" s="68"/>
      <c r="Q14" s="68"/>
      <c r="R14" s="68"/>
      <c r="ZZ14" t="s">
        <v>117</v>
      </c>
    </row>
    <row r="15" spans="2:702" x14ac:dyDescent="0.6">
      <c r="B15" s="1" t="s">
        <v>118</v>
      </c>
      <c r="D15" s="1">
        <v>145392</v>
      </c>
      <c r="E15" s="1">
        <v>155215</v>
      </c>
      <c r="F15" s="1">
        <v>163607</v>
      </c>
      <c r="G15" s="83">
        <f>F15</f>
        <v>163607</v>
      </c>
      <c r="H15" s="83">
        <f>G15</f>
        <v>163607</v>
      </c>
      <c r="I15" s="83">
        <f>H15</f>
        <v>163607</v>
      </c>
      <c r="J15" s="83">
        <f>I15</f>
        <v>163607</v>
      </c>
      <c r="K15" s="83">
        <f>J15</f>
        <v>163607</v>
      </c>
      <c r="ZZ15" t="s">
        <v>110</v>
      </c>
    </row>
    <row r="16" spans="2:702" x14ac:dyDescent="0.6">
      <c r="B16" s="21" t="s">
        <v>119</v>
      </c>
      <c r="D16" s="126">
        <v>89311</v>
      </c>
      <c r="E16" s="126">
        <v>107787</v>
      </c>
      <c r="F16" s="126">
        <v>123627</v>
      </c>
      <c r="G16" s="87">
        <f>G12-G14-G15</f>
        <v>-25522.102799999993</v>
      </c>
      <c r="H16" s="87">
        <f>H12-H14-H15</f>
        <v>-15519.65425599998</v>
      </c>
      <c r="I16" s="87">
        <f>I12-I14-I15</f>
        <v>-5330.9652308399673</v>
      </c>
      <c r="J16" s="87">
        <f>J12-J14-J15</f>
        <v>5046.6888402488839</v>
      </c>
      <c r="K16" s="87">
        <f>K12-K14-K15</f>
        <v>15616.068389282504</v>
      </c>
      <c r="ZZ16" t="s">
        <v>114</v>
      </c>
    </row>
    <row r="17" spans="2:702" x14ac:dyDescent="0.6">
      <c r="B17" s="1" t="s">
        <v>120</v>
      </c>
      <c r="D17" s="1">
        <v>16950</v>
      </c>
      <c r="E17" s="1">
        <v>19651</v>
      </c>
      <c r="F17" s="1">
        <v>21795</v>
      </c>
      <c r="G17" s="83">
        <f>G16*O9</f>
        <v>-1276.1051399999997</v>
      </c>
      <c r="H17" s="83">
        <f>H16*P9</f>
        <v>-775.98271279999904</v>
      </c>
      <c r="I17" s="83">
        <f>I16*Q9</f>
        <v>-266.54826154199839</v>
      </c>
      <c r="J17" s="83">
        <f>J16*R9</f>
        <v>252.33444201244421</v>
      </c>
      <c r="K17" s="83">
        <f>K16*S9</f>
        <v>780.80341946412523</v>
      </c>
      <c r="ZZ17" t="s">
        <v>121</v>
      </c>
    </row>
    <row r="18" spans="2:702" x14ac:dyDescent="0.6">
      <c r="B18" s="21" t="s">
        <v>122</v>
      </c>
      <c r="D18" s="126">
        <v>144722.0000194</v>
      </c>
      <c r="E18" s="126">
        <v>176272.00002365999</v>
      </c>
      <c r="F18" s="126">
        <v>203664.00002733999</v>
      </c>
      <c r="G18" s="87">
        <f>G16-G17</f>
        <v>-24245.997659999994</v>
      </c>
      <c r="H18" s="87">
        <f>H16-H17</f>
        <v>-14743.67154319998</v>
      </c>
      <c r="I18" s="87">
        <f>I16-I17</f>
        <v>-5064.4169692979685</v>
      </c>
      <c r="J18" s="87">
        <f>J16-J17</f>
        <v>4794.3543982364399</v>
      </c>
      <c r="K18" s="87">
        <f>K16-K17</f>
        <v>14835.264969818378</v>
      </c>
      <c r="ZZ18" t="s">
        <v>123</v>
      </c>
    </row>
    <row r="19" spans="2:702" x14ac:dyDescent="0.6">
      <c r="B19" s="78" t="s">
        <v>124</v>
      </c>
      <c r="D19" s="52"/>
      <c r="E19" s="52"/>
      <c r="F19" s="52"/>
      <c r="G19" s="82">
        <f>G18/G5</f>
        <v>-8.5210838541365727E-2</v>
      </c>
      <c r="H19" s="82">
        <f>H18/H5</f>
        <v>-5.1302561966861823E-2</v>
      </c>
      <c r="I19" s="82">
        <f>I18/I5</f>
        <v>-1.7447832685174809E-2</v>
      </c>
      <c r="J19" s="82">
        <f>J18/J5</f>
        <v>1.635387947491147E-2</v>
      </c>
      <c r="K19" s="82">
        <f>K18/K5</f>
        <v>5.0103099435392637E-2</v>
      </c>
      <c r="ZZ19" t="s">
        <v>123</v>
      </c>
    </row>
    <row r="20" spans="2:702" x14ac:dyDescent="0.6">
      <c r="B20" s="21" t="s">
        <v>125</v>
      </c>
      <c r="D20" s="21">
        <v>9.7200000000000001E-6</v>
      </c>
      <c r="E20" s="21">
        <v>1.186E-5</v>
      </c>
      <c r="F20" s="21">
        <v>1.3699999999999999E-5</v>
      </c>
      <c r="G20" s="85">
        <f>G18/G21</f>
        <v>-0.17343345965665233</v>
      </c>
      <c r="H20" s="85">
        <f>H18/H21</f>
        <v>-0.10547014481150283</v>
      </c>
      <c r="I20" s="85">
        <f>I18/I21</f>
        <v>-3.6231341889383088E-2</v>
      </c>
      <c r="J20" s="85">
        <f>J18/J21</f>
        <v>3.4301741419735562E-2</v>
      </c>
      <c r="K20" s="85">
        <f>K18/K21</f>
        <v>0.10614814660717213</v>
      </c>
      <c r="ZZ20" t="s">
        <v>123</v>
      </c>
    </row>
    <row r="21" spans="2:702" x14ac:dyDescent="0.6">
      <c r="B21" s="1" t="s">
        <v>126</v>
      </c>
      <c r="D21" s="1">
        <v>97376</v>
      </c>
      <c r="E21" s="1">
        <v>113848</v>
      </c>
      <c r="F21" s="1">
        <v>139810</v>
      </c>
      <c r="G21" s="76">
        <f>F21+O70</f>
        <v>139800</v>
      </c>
      <c r="H21" s="76">
        <f>G21+P70</f>
        <v>139790</v>
      </c>
      <c r="I21" s="76">
        <f>H21+Q70</f>
        <v>139780</v>
      </c>
      <c r="J21" s="76">
        <f>I21+R70</f>
        <v>139770</v>
      </c>
      <c r="K21" s="76">
        <f>J21+S70</f>
        <v>139760</v>
      </c>
      <c r="ZZ21" t="s">
        <v>104</v>
      </c>
    </row>
    <row r="24" spans="2:702" ht="21" customHeight="1" x14ac:dyDescent="0.75">
      <c r="B24" s="75" t="s">
        <v>127</v>
      </c>
      <c r="C24" s="74"/>
      <c r="D24" s="74" t="s">
        <v>45</v>
      </c>
      <c r="E24" s="74" t="s">
        <v>46</v>
      </c>
      <c r="F24" s="74" t="s">
        <v>47</v>
      </c>
      <c r="G24" s="74" t="s">
        <v>48</v>
      </c>
      <c r="H24" s="74" t="s">
        <v>49</v>
      </c>
      <c r="I24" s="74" t="s">
        <v>50</v>
      </c>
      <c r="J24" s="74" t="s">
        <v>86</v>
      </c>
      <c r="K24" s="74" t="s">
        <v>87</v>
      </c>
      <c r="M24" s="18" t="s">
        <v>128</v>
      </c>
      <c r="N24" s="19" t="s">
        <v>89</v>
      </c>
      <c r="O24" s="19" t="s">
        <v>90</v>
      </c>
      <c r="P24" s="19"/>
      <c r="Q24" s="19"/>
      <c r="R24" s="19"/>
      <c r="S24" s="19"/>
    </row>
    <row r="25" spans="2:702" x14ac:dyDescent="0.6">
      <c r="B25" s="78" t="s">
        <v>129</v>
      </c>
      <c r="D25" s="1">
        <v>34704</v>
      </c>
      <c r="E25" s="1">
        <v>18315</v>
      </c>
      <c r="F25" s="1">
        <v>30242</v>
      </c>
      <c r="G25" s="84">
        <f>G101</f>
        <v>17262.795282600018</v>
      </c>
      <c r="H25" s="84">
        <f>H101</f>
        <v>32963.725949152024</v>
      </c>
      <c r="I25" s="84">
        <f>I101</f>
        <v>57602.97912987681</v>
      </c>
      <c r="J25" s="84">
        <f>J101</f>
        <v>91351.223632141249</v>
      </c>
      <c r="K25" s="84">
        <f>K101</f>
        <v>134382.03085728796</v>
      </c>
      <c r="M25" s="1" t="s">
        <v>130</v>
      </c>
      <c r="N25" t="s">
        <v>92</v>
      </c>
      <c r="O25" s="68">
        <v>0.06</v>
      </c>
      <c r="P25" s="68">
        <v>0.06</v>
      </c>
      <c r="Q25" s="68">
        <v>0.06</v>
      </c>
      <c r="R25" s="68">
        <v>0.06</v>
      </c>
      <c r="S25" s="68">
        <v>0.06</v>
      </c>
      <c r="ZZ25" t="s">
        <v>131</v>
      </c>
    </row>
    <row r="26" spans="2:702" x14ac:dyDescent="0.6">
      <c r="B26" s="78" t="s">
        <v>132</v>
      </c>
      <c r="D26" s="1">
        <v>76552</v>
      </c>
      <c r="E26" s="1">
        <v>57216</v>
      </c>
      <c r="F26" s="1">
        <v>64323</v>
      </c>
      <c r="G26" s="83">
        <f t="shared" ref="G26:K27" si="0">(F26/F$5)*G$5</f>
        <v>64966.229999999996</v>
      </c>
      <c r="H26" s="83">
        <f t="shared" si="0"/>
        <v>65615.892300000007</v>
      </c>
      <c r="I26" s="83">
        <f t="shared" si="0"/>
        <v>66272.051223000002</v>
      </c>
      <c r="J26" s="83">
        <f t="shared" si="0"/>
        <v>66934.771735229995</v>
      </c>
      <c r="K26" s="83">
        <f t="shared" si="0"/>
        <v>67604.119452582294</v>
      </c>
      <c r="M26" s="1" t="s">
        <v>133</v>
      </c>
      <c r="N26" t="s">
        <v>92</v>
      </c>
      <c r="O26" s="68">
        <v>7.0000000000000007E-2</v>
      </c>
      <c r="P26" s="68">
        <v>7.0000000000000007E-2</v>
      </c>
      <c r="Q26" s="68">
        <v>7.0000000000000007E-2</v>
      </c>
      <c r="R26" s="68">
        <v>7.0000000000000007E-2</v>
      </c>
      <c r="S26" s="68">
        <v>7.0000000000000007E-2</v>
      </c>
    </row>
    <row r="27" spans="2:702" x14ac:dyDescent="0.6">
      <c r="B27" s="78" t="s">
        <v>134</v>
      </c>
      <c r="D27" s="1">
        <v>48688</v>
      </c>
      <c r="E27" s="1">
        <v>56924</v>
      </c>
      <c r="F27" s="1">
        <v>69905</v>
      </c>
      <c r="G27" s="83">
        <f t="shared" si="0"/>
        <v>70604.05</v>
      </c>
      <c r="H27" s="83">
        <f t="shared" si="0"/>
        <v>71310.090500000006</v>
      </c>
      <c r="I27" s="83">
        <f t="shared" si="0"/>
        <v>72023.191405000005</v>
      </c>
      <c r="J27" s="83">
        <f t="shared" si="0"/>
        <v>72743.423319050009</v>
      </c>
      <c r="K27" s="83">
        <f t="shared" si="0"/>
        <v>73470.857552240501</v>
      </c>
      <c r="M27" s="1" t="s">
        <v>135</v>
      </c>
      <c r="N27" t="s">
        <v>92</v>
      </c>
      <c r="O27" s="68">
        <v>0.06</v>
      </c>
      <c r="P27" s="68">
        <v>0.06</v>
      </c>
      <c r="Q27" s="20">
        <v>0.06</v>
      </c>
      <c r="R27" s="20">
        <v>0.06</v>
      </c>
      <c r="S27" s="20">
        <v>0.06</v>
      </c>
    </row>
    <row r="28" spans="2:702" x14ac:dyDescent="0.6">
      <c r="B28" s="78" t="s">
        <v>136</v>
      </c>
      <c r="D28" s="1">
        <v>2500</v>
      </c>
      <c r="E28" s="1">
        <v>1246</v>
      </c>
      <c r="F28" s="1">
        <v>938</v>
      </c>
      <c r="G28" s="83">
        <f>G5*O26</f>
        <v>19917.8868</v>
      </c>
      <c r="H28" s="83">
        <f>H5*P26</f>
        <v>20117.065668000003</v>
      </c>
      <c r="I28" s="83">
        <f>I5*Q26</f>
        <v>20318.236324680005</v>
      </c>
      <c r="J28" s="83">
        <f>J5*R26</f>
        <v>20521.418687926805</v>
      </c>
      <c r="K28" s="83">
        <f>K5*S26</f>
        <v>20726.632874806073</v>
      </c>
      <c r="ZZ28" t="s">
        <v>137</v>
      </c>
    </row>
    <row r="29" spans="2:702" x14ac:dyDescent="0.6">
      <c r="B29" s="78" t="s">
        <v>138</v>
      </c>
      <c r="D29" s="1">
        <v>0</v>
      </c>
      <c r="E29" s="1">
        <v>0</v>
      </c>
      <c r="F29" s="1">
        <v>0</v>
      </c>
      <c r="G29" s="83">
        <f t="shared" ref="G29:K30" si="1">(F29/F$5)*G$5</f>
        <v>0</v>
      </c>
      <c r="H29" s="83">
        <f t="shared" si="1"/>
        <v>0</v>
      </c>
      <c r="I29" s="83">
        <f t="shared" si="1"/>
        <v>0</v>
      </c>
      <c r="J29" s="83">
        <f t="shared" si="1"/>
        <v>0</v>
      </c>
      <c r="K29" s="83">
        <f t="shared" si="1"/>
        <v>0</v>
      </c>
    </row>
    <row r="30" spans="2:702" x14ac:dyDescent="0.6">
      <c r="B30" s="78" t="s">
        <v>139</v>
      </c>
      <c r="D30" s="1">
        <v>21813</v>
      </c>
      <c r="E30" s="1">
        <v>26033</v>
      </c>
      <c r="F30" s="1">
        <v>25723</v>
      </c>
      <c r="G30" s="83">
        <f t="shared" si="1"/>
        <v>25980.23</v>
      </c>
      <c r="H30" s="83">
        <f t="shared" si="1"/>
        <v>26240.032299999999</v>
      </c>
      <c r="I30" s="83">
        <f t="shared" si="1"/>
        <v>26502.432623000001</v>
      </c>
      <c r="J30" s="83">
        <f t="shared" si="1"/>
        <v>26767.456949230003</v>
      </c>
      <c r="K30" s="83">
        <f t="shared" si="1"/>
        <v>27035.131518722301</v>
      </c>
    </row>
    <row r="31" spans="2:702" x14ac:dyDescent="0.6">
      <c r="B31" s="21" t="s">
        <v>140</v>
      </c>
      <c r="C31" s="21"/>
      <c r="D31" s="22">
        <v>184257</v>
      </c>
      <c r="E31" s="22">
        <v>159734</v>
      </c>
      <c r="F31" s="22">
        <v>191131</v>
      </c>
      <c r="G31" s="87">
        <f>SUM(G25:G30)</f>
        <v>198731.19208260003</v>
      </c>
      <c r="H31" s="87">
        <f>SUM(H25:H30)</f>
        <v>216246.80671715201</v>
      </c>
      <c r="I31" s="87">
        <f>SUM(I25:I30)</f>
        <v>242718.89070555681</v>
      </c>
      <c r="J31" s="87">
        <f>SUM(J25:J30)</f>
        <v>278318.29432357807</v>
      </c>
      <c r="K31" s="87">
        <f>SUM(K25:K30)</f>
        <v>323218.77225563908</v>
      </c>
    </row>
    <row r="32" spans="2:702" x14ac:dyDescent="0.6">
      <c r="B32" s="78" t="s">
        <v>141</v>
      </c>
      <c r="D32" s="1">
        <v>109987</v>
      </c>
      <c r="E32" s="1">
        <v>154552</v>
      </c>
      <c r="F32" s="1">
        <v>229789</v>
      </c>
      <c r="G32" s="83">
        <f>F32-G81-G74</f>
        <v>249518.80679999999</v>
      </c>
      <c r="H32" s="83">
        <f>G32-H81-H74</f>
        <v>250475.40486800001</v>
      </c>
      <c r="I32" s="83">
        <f>H32-I81-I74</f>
        <v>251441.56891668003</v>
      </c>
      <c r="J32" s="83">
        <f>I32-J81-J74</f>
        <v>252417.39460584681</v>
      </c>
      <c r="K32" s="83">
        <f>J32-K81-K74</f>
        <v>253402.97855190525</v>
      </c>
    </row>
    <row r="33" spans="2:702" x14ac:dyDescent="0.6">
      <c r="B33" s="78" t="s">
        <v>142</v>
      </c>
      <c r="D33" s="1">
        <v>67886</v>
      </c>
      <c r="E33" s="1">
        <v>119220</v>
      </c>
      <c r="F33" s="1">
        <v>119509</v>
      </c>
      <c r="G33" s="83">
        <f t="shared" ref="G33:K34" si="2">F33</f>
        <v>119509</v>
      </c>
      <c r="H33" s="83">
        <f t="shared" si="2"/>
        <v>119509</v>
      </c>
      <c r="I33" s="83">
        <f t="shared" si="2"/>
        <v>119509</v>
      </c>
      <c r="J33" s="83">
        <f t="shared" si="2"/>
        <v>119509</v>
      </c>
      <c r="K33" s="83">
        <f t="shared" si="2"/>
        <v>119509</v>
      </c>
    </row>
    <row r="34" spans="2:702" x14ac:dyDescent="0.6">
      <c r="B34" s="78" t="s">
        <v>143</v>
      </c>
      <c r="D34" s="1">
        <v>9366</v>
      </c>
      <c r="E34" s="1">
        <v>27597</v>
      </c>
      <c r="F34" s="1">
        <v>22604</v>
      </c>
      <c r="G34" s="83">
        <f t="shared" si="2"/>
        <v>22604</v>
      </c>
      <c r="H34" s="83">
        <f t="shared" si="2"/>
        <v>22604</v>
      </c>
      <c r="I34" s="83">
        <f t="shared" si="2"/>
        <v>22604</v>
      </c>
      <c r="J34" s="83">
        <f t="shared" si="2"/>
        <v>22604</v>
      </c>
      <c r="K34" s="83">
        <f t="shared" si="2"/>
        <v>22604</v>
      </c>
    </row>
    <row r="35" spans="2:702" x14ac:dyDescent="0.6">
      <c r="B35" s="78" t="s">
        <v>144</v>
      </c>
      <c r="D35" s="1">
        <v>9879</v>
      </c>
      <c r="E35" s="1">
        <v>14600</v>
      </c>
      <c r="F35" s="1">
        <v>15405</v>
      </c>
      <c r="G35" s="83">
        <f t="shared" ref="G35:K37" si="3">(F35/F$5)*G$5</f>
        <v>15559.05</v>
      </c>
      <c r="H35" s="83">
        <f t="shared" si="3"/>
        <v>15714.6405</v>
      </c>
      <c r="I35" s="83">
        <f t="shared" si="3"/>
        <v>15871.786905000001</v>
      </c>
      <c r="J35" s="83">
        <f t="shared" si="3"/>
        <v>16030.504774050001</v>
      </c>
      <c r="K35" s="83">
        <f t="shared" si="3"/>
        <v>16190.809821790501</v>
      </c>
    </row>
    <row r="36" spans="2:702" x14ac:dyDescent="0.6">
      <c r="B36" s="78" t="s">
        <v>145</v>
      </c>
      <c r="D36" s="1">
        <v>0</v>
      </c>
      <c r="E36" s="1">
        <v>0</v>
      </c>
      <c r="F36" s="1">
        <v>0</v>
      </c>
      <c r="G36" s="83">
        <f t="shared" si="3"/>
        <v>0</v>
      </c>
      <c r="H36" s="83">
        <f t="shared" si="3"/>
        <v>0</v>
      </c>
      <c r="I36" s="83">
        <f t="shared" si="3"/>
        <v>0</v>
      </c>
      <c r="J36" s="83">
        <f t="shared" si="3"/>
        <v>0</v>
      </c>
      <c r="K36" s="83">
        <f t="shared" si="3"/>
        <v>0</v>
      </c>
    </row>
    <row r="37" spans="2:702" x14ac:dyDescent="0.6">
      <c r="B37" s="78" t="s">
        <v>146</v>
      </c>
      <c r="D37" s="1">
        <v>30601</v>
      </c>
      <c r="E37" s="1">
        <v>36460</v>
      </c>
      <c r="F37" s="1">
        <v>40565</v>
      </c>
      <c r="G37" s="83">
        <f t="shared" si="3"/>
        <v>40970.649999999994</v>
      </c>
      <c r="H37" s="83">
        <f t="shared" si="3"/>
        <v>41380.356500000002</v>
      </c>
      <c r="I37" s="83">
        <f t="shared" si="3"/>
        <v>41794.160065000004</v>
      </c>
      <c r="J37" s="83">
        <f t="shared" si="3"/>
        <v>42212.10166565</v>
      </c>
      <c r="K37" s="83">
        <f t="shared" si="3"/>
        <v>42634.222682306499</v>
      </c>
    </row>
    <row r="38" spans="2:702" x14ac:dyDescent="0.6">
      <c r="B38" s="95" t="s">
        <v>147</v>
      </c>
      <c r="D38" s="96"/>
      <c r="E38" s="96"/>
      <c r="F38" s="96"/>
      <c r="G38" s="83">
        <f>G67-SUM(G31,G32:G37)</f>
        <v>-33498.146800000104</v>
      </c>
      <c r="H38" s="83">
        <f>H67-SUM(H31,H32:H37)</f>
        <v>-49406.873275999911</v>
      </c>
      <c r="I38" s="83">
        <f>I67-SUM(I31,I32:I37)</f>
        <v>-65382.56161675998</v>
      </c>
      <c r="J38" s="83">
        <f>J67-SUM(J31,J32:J37)</f>
        <v>-81425.881440927624</v>
      </c>
      <c r="K38" s="83">
        <f>K67-SUM(K31,K32:K37)</f>
        <v>-97537.509063336882</v>
      </c>
    </row>
    <row r="39" spans="2:702" ht="16.899999999999999" customHeight="1" thickBot="1" x14ac:dyDescent="0.65">
      <c r="B39" s="21" t="s">
        <v>148</v>
      </c>
      <c r="D39" s="127">
        <v>-2756</v>
      </c>
      <c r="E39" s="127">
        <v>-1289</v>
      </c>
      <c r="F39" s="127">
        <v>2516</v>
      </c>
      <c r="G39" s="105">
        <f>SUM(G32:G37)</f>
        <v>448161.50679999997</v>
      </c>
      <c r="H39" s="105">
        <f>SUM(H32:H37)</f>
        <v>449683.40186799999</v>
      </c>
      <c r="I39" s="105">
        <f>SUM(I32:I37)</f>
        <v>451220.51588668005</v>
      </c>
      <c r="J39" s="105">
        <f>SUM(J32:J37)</f>
        <v>452773.00104554684</v>
      </c>
      <c r="K39" s="105">
        <f>SUM(K32:K37)</f>
        <v>454341.01105600223</v>
      </c>
    </row>
    <row r="40" spans="2:702" ht="16.899999999999999" customHeight="1" thickTop="1" x14ac:dyDescent="0.6">
      <c r="B40" s="21" t="s">
        <v>149</v>
      </c>
      <c r="D40" s="21">
        <v>411976</v>
      </c>
      <c r="E40" s="21">
        <v>512163</v>
      </c>
      <c r="F40" s="21">
        <v>619003</v>
      </c>
      <c r="G40" s="85">
        <f>SUM(G31,G39,G38)</f>
        <v>613394.55208259996</v>
      </c>
      <c r="H40" s="85">
        <f>SUM(H31,H39,H38)</f>
        <v>616523.33530915203</v>
      </c>
      <c r="I40" s="85">
        <f>SUM(I31,I39,I38)</f>
        <v>628556.84497547685</v>
      </c>
      <c r="J40" s="85">
        <f>SUM(J31,J39,J38)</f>
        <v>649665.41392819735</v>
      </c>
      <c r="K40" s="85">
        <f>SUM(K31,K39,K38)</f>
        <v>680022.27424830443</v>
      </c>
    </row>
    <row r="41" spans="2:702" x14ac:dyDescent="0.6">
      <c r="G41" s="83"/>
      <c r="H41" s="83"/>
      <c r="I41" s="83"/>
      <c r="J41" s="83"/>
      <c r="K41" s="83"/>
    </row>
    <row r="42" spans="2:702" x14ac:dyDescent="0.6">
      <c r="B42" s="78" t="s">
        <v>150</v>
      </c>
      <c r="D42" s="1">
        <v>18095</v>
      </c>
      <c r="E42" s="1">
        <v>21996</v>
      </c>
      <c r="F42" s="1">
        <v>27724</v>
      </c>
      <c r="G42" s="83">
        <f t="shared" ref="G42:K49" si="4">(F42/F$5)*G$5</f>
        <v>28001.24</v>
      </c>
      <c r="H42" s="83">
        <f t="shared" si="4"/>
        <v>28281.252400000005</v>
      </c>
      <c r="I42" s="83">
        <f t="shared" si="4"/>
        <v>28564.064924000006</v>
      </c>
      <c r="J42" s="83">
        <f t="shared" si="4"/>
        <v>28849.705573240004</v>
      </c>
      <c r="K42" s="83">
        <f t="shared" si="4"/>
        <v>29138.202628972405</v>
      </c>
      <c r="ZZ42" t="s">
        <v>151</v>
      </c>
    </row>
    <row r="43" spans="2:702" x14ac:dyDescent="0.6">
      <c r="B43" s="78" t="s">
        <v>152</v>
      </c>
      <c r="D43" s="1">
        <v>4152</v>
      </c>
      <c r="E43" s="1">
        <v>5017</v>
      </c>
      <c r="F43" s="1">
        <v>7211</v>
      </c>
      <c r="G43" s="83">
        <f t="shared" si="4"/>
        <v>7283.11</v>
      </c>
      <c r="H43" s="83">
        <f t="shared" si="4"/>
        <v>7355.9411</v>
      </c>
      <c r="I43" s="83">
        <f t="shared" si="4"/>
        <v>7429.5005110000002</v>
      </c>
      <c r="J43" s="83">
        <f t="shared" si="4"/>
        <v>7503.7955161100008</v>
      </c>
      <c r="K43" s="83">
        <f t="shared" si="4"/>
        <v>7578.8334712711003</v>
      </c>
    </row>
    <row r="44" spans="2:702" x14ac:dyDescent="0.6">
      <c r="B44" s="78" t="s">
        <v>153</v>
      </c>
      <c r="D44" s="1">
        <v>0</v>
      </c>
      <c r="E44" s="1">
        <v>0</v>
      </c>
      <c r="F44" s="1">
        <v>0</v>
      </c>
      <c r="G44" s="83">
        <f t="shared" si="4"/>
        <v>0</v>
      </c>
      <c r="H44" s="83">
        <f t="shared" si="4"/>
        <v>0</v>
      </c>
      <c r="I44" s="83">
        <f t="shared" si="4"/>
        <v>0</v>
      </c>
      <c r="J44" s="83">
        <f t="shared" si="4"/>
        <v>0</v>
      </c>
      <c r="K44" s="83">
        <f t="shared" si="4"/>
        <v>0</v>
      </c>
      <c r="ZZ44" t="s">
        <v>154</v>
      </c>
    </row>
    <row r="45" spans="2:702" x14ac:dyDescent="0.6">
      <c r="B45" s="78" t="s">
        <v>155</v>
      </c>
      <c r="D45" s="1">
        <v>5247</v>
      </c>
      <c r="E45" s="1">
        <v>8942</v>
      </c>
      <c r="F45" s="1">
        <v>2999</v>
      </c>
      <c r="G45" s="83">
        <f t="shared" si="4"/>
        <v>3028.9900000000002</v>
      </c>
      <c r="H45" s="83">
        <f t="shared" si="4"/>
        <v>3059.2799000000005</v>
      </c>
      <c r="I45" s="83">
        <f t="shared" si="4"/>
        <v>3089.8726990000005</v>
      </c>
      <c r="J45" s="83">
        <f t="shared" si="4"/>
        <v>3120.7714259900008</v>
      </c>
      <c r="K45" s="83">
        <f t="shared" si="4"/>
        <v>3151.9791402499004</v>
      </c>
      <c r="ZZ45" t="s">
        <v>156</v>
      </c>
    </row>
    <row r="46" spans="2:702" x14ac:dyDescent="0.6">
      <c r="B46" s="78" t="s">
        <v>157</v>
      </c>
      <c r="D46" s="1">
        <v>0</v>
      </c>
      <c r="E46" s="1">
        <v>0</v>
      </c>
      <c r="F46" s="1">
        <v>0</v>
      </c>
      <c r="G46" s="83">
        <f t="shared" si="4"/>
        <v>0</v>
      </c>
      <c r="H46" s="83">
        <f t="shared" si="4"/>
        <v>0</v>
      </c>
      <c r="I46" s="83">
        <f t="shared" si="4"/>
        <v>0</v>
      </c>
      <c r="J46" s="83">
        <f t="shared" si="4"/>
        <v>0</v>
      </c>
      <c r="K46" s="83">
        <f t="shared" si="4"/>
        <v>0</v>
      </c>
      <c r="ZZ46" t="s">
        <v>151</v>
      </c>
    </row>
    <row r="47" spans="2:702" x14ac:dyDescent="0.6">
      <c r="B47" s="78" t="s">
        <v>158</v>
      </c>
      <c r="D47" s="1">
        <v>4152</v>
      </c>
      <c r="E47" s="1">
        <v>5017</v>
      </c>
      <c r="F47" s="1">
        <v>0</v>
      </c>
      <c r="G47" s="83">
        <f t="shared" si="4"/>
        <v>0</v>
      </c>
      <c r="H47" s="83">
        <f t="shared" si="4"/>
        <v>0</v>
      </c>
      <c r="I47" s="83">
        <f t="shared" si="4"/>
        <v>0</v>
      </c>
      <c r="J47" s="83">
        <f t="shared" si="4"/>
        <v>0</v>
      </c>
      <c r="K47" s="83">
        <f t="shared" si="4"/>
        <v>0</v>
      </c>
    </row>
    <row r="48" spans="2:702" x14ac:dyDescent="0.6">
      <c r="B48" s="78" t="s">
        <v>159</v>
      </c>
      <c r="D48" s="1">
        <v>50901</v>
      </c>
      <c r="E48" s="1">
        <v>57582</v>
      </c>
      <c r="F48" s="1">
        <v>64555</v>
      </c>
      <c r="G48" s="83">
        <f t="shared" si="4"/>
        <v>65200.549999999996</v>
      </c>
      <c r="H48" s="83">
        <f t="shared" si="4"/>
        <v>65852.555500000002</v>
      </c>
      <c r="I48" s="83">
        <f t="shared" si="4"/>
        <v>66511.081055000002</v>
      </c>
      <c r="J48" s="83">
        <f t="shared" si="4"/>
        <v>67176.191865550005</v>
      </c>
      <c r="K48" s="83">
        <f t="shared" si="4"/>
        <v>67847.9537842055</v>
      </c>
      <c r="ZZ48" t="s">
        <v>93</v>
      </c>
    </row>
    <row r="49" spans="2:702" x14ac:dyDescent="0.6">
      <c r="B49" s="78" t="s">
        <v>160</v>
      </c>
      <c r="D49" s="1">
        <v>25754</v>
      </c>
      <c r="E49" s="1">
        <v>31749</v>
      </c>
      <c r="F49" s="1">
        <v>38729</v>
      </c>
      <c r="G49" s="83">
        <f t="shared" si="4"/>
        <v>39116.289999999994</v>
      </c>
      <c r="H49" s="83">
        <f t="shared" si="4"/>
        <v>39507.452900000004</v>
      </c>
      <c r="I49" s="83">
        <f t="shared" si="4"/>
        <v>39902.527429000002</v>
      </c>
      <c r="J49" s="83">
        <f t="shared" si="4"/>
        <v>40301.552703290006</v>
      </c>
      <c r="K49" s="83">
        <f t="shared" si="4"/>
        <v>40704.568230322904</v>
      </c>
    </row>
    <row r="50" spans="2:702" x14ac:dyDescent="0.6">
      <c r="B50" s="21" t="s">
        <v>161</v>
      </c>
      <c r="D50" s="126">
        <v>104149</v>
      </c>
      <c r="E50" s="126">
        <v>125286</v>
      </c>
      <c r="F50" s="126">
        <v>141218</v>
      </c>
      <c r="G50" s="87">
        <f>SUM(G42:G49)</f>
        <v>142630.18</v>
      </c>
      <c r="H50" s="87">
        <f>SUM(H42:H49)</f>
        <v>144056.48180000001</v>
      </c>
      <c r="I50" s="87">
        <f>SUM(I42:I49)</f>
        <v>145497.04661800002</v>
      </c>
      <c r="J50" s="87">
        <f>SUM(J42:J49)</f>
        <v>146952.01708418003</v>
      </c>
      <c r="K50" s="87">
        <f>SUM(K42:K49)</f>
        <v>148421.53725502183</v>
      </c>
    </row>
    <row r="51" spans="2:702" x14ac:dyDescent="0.6">
      <c r="B51" s="78" t="s">
        <v>162</v>
      </c>
      <c r="D51" s="1">
        <v>41990</v>
      </c>
      <c r="E51" s="1">
        <v>42688</v>
      </c>
      <c r="F51" s="1">
        <v>40152</v>
      </c>
      <c r="G51" s="83">
        <f>F51*(1+O27)</f>
        <v>42561.120000000003</v>
      </c>
      <c r="H51" s="83">
        <f>G51*(1+P27)</f>
        <v>45114.787200000006</v>
      </c>
      <c r="I51" s="83">
        <f>H51*(1+Q27)</f>
        <v>47821.674432000007</v>
      </c>
      <c r="J51" s="83">
        <f>I51*(1+R27)</f>
        <v>50690.974897920009</v>
      </c>
      <c r="K51" s="83">
        <f>J51*(1+S27)</f>
        <v>53732.43339179521</v>
      </c>
      <c r="ZZ51" t="s">
        <v>156</v>
      </c>
    </row>
    <row r="52" spans="2:702" x14ac:dyDescent="0.6">
      <c r="B52" s="78" t="s">
        <v>163</v>
      </c>
      <c r="D52" s="1">
        <v>12728</v>
      </c>
      <c r="E52" s="1">
        <v>15497</v>
      </c>
      <c r="F52" s="1">
        <v>17437</v>
      </c>
      <c r="G52" s="83">
        <f>F52</f>
        <v>17437</v>
      </c>
      <c r="H52" s="83">
        <f>G52</f>
        <v>17437</v>
      </c>
      <c r="I52" s="83">
        <f>H52</f>
        <v>17437</v>
      </c>
      <c r="J52" s="83">
        <f>I52</f>
        <v>17437</v>
      </c>
      <c r="K52" s="83">
        <f>J52</f>
        <v>17437</v>
      </c>
      <c r="ZZ52" t="s">
        <v>151</v>
      </c>
    </row>
    <row r="53" spans="2:702" x14ac:dyDescent="0.6">
      <c r="B53" s="78" t="s">
        <v>164</v>
      </c>
      <c r="D53" s="1">
        <v>2912</v>
      </c>
      <c r="E53" s="1">
        <v>2602</v>
      </c>
      <c r="F53" s="1">
        <v>2710</v>
      </c>
      <c r="G53" s="83">
        <f t="shared" ref="G53:K54" si="5">(F53/F$5)*G$5</f>
        <v>2737.1</v>
      </c>
      <c r="H53" s="83">
        <f t="shared" si="5"/>
        <v>2764.4710000000005</v>
      </c>
      <c r="I53" s="83">
        <f t="shared" si="5"/>
        <v>2792.1157100000005</v>
      </c>
      <c r="J53" s="83">
        <f t="shared" si="5"/>
        <v>2820.0368671000006</v>
      </c>
      <c r="K53" s="83">
        <f t="shared" si="5"/>
        <v>2848.2372357710005</v>
      </c>
      <c r="ZZ53" t="s">
        <v>93</v>
      </c>
    </row>
    <row r="54" spans="2:702" x14ac:dyDescent="0.6">
      <c r="B54" s="78" t="s">
        <v>165</v>
      </c>
      <c r="D54" s="1">
        <v>433</v>
      </c>
      <c r="E54" s="1">
        <v>2618</v>
      </c>
      <c r="F54" s="1">
        <v>2835</v>
      </c>
      <c r="G54" s="83">
        <f t="shared" si="5"/>
        <v>2863.35</v>
      </c>
      <c r="H54" s="83">
        <f t="shared" si="5"/>
        <v>2891.9835000000003</v>
      </c>
      <c r="I54" s="83">
        <f t="shared" si="5"/>
        <v>2920.9033350000004</v>
      </c>
      <c r="J54" s="83">
        <f t="shared" si="5"/>
        <v>2950.1123683500005</v>
      </c>
      <c r="K54" s="83">
        <f t="shared" si="5"/>
        <v>2979.6134920335003</v>
      </c>
    </row>
    <row r="55" spans="2:702" x14ac:dyDescent="0.6">
      <c r="B55" s="78" t="s">
        <v>166</v>
      </c>
      <c r="D55" s="1">
        <v>43541</v>
      </c>
      <c r="E55" s="1">
        <v>54995</v>
      </c>
      <c r="F55" s="1">
        <v>71172</v>
      </c>
      <c r="G55" s="83">
        <f>F55</f>
        <v>71172</v>
      </c>
      <c r="H55" s="83">
        <f>G55</f>
        <v>71172</v>
      </c>
      <c r="I55" s="83">
        <f>H55</f>
        <v>71172</v>
      </c>
      <c r="J55" s="83">
        <f>I55</f>
        <v>71172</v>
      </c>
      <c r="K55" s="83">
        <f>J55</f>
        <v>71172</v>
      </c>
    </row>
    <row r="56" spans="2:702" ht="16.899999999999999" customHeight="1" thickBot="1" x14ac:dyDescent="0.65">
      <c r="B56" s="21" t="s">
        <v>167</v>
      </c>
      <c r="D56" s="127">
        <v>101604</v>
      </c>
      <c r="E56" s="127">
        <v>118400</v>
      </c>
      <c r="F56" s="127">
        <v>134306</v>
      </c>
      <c r="G56" s="105">
        <f>SUM(G51:G55)</f>
        <v>136770.57</v>
      </c>
      <c r="H56" s="105">
        <f>SUM(H51:H55)</f>
        <v>139380.24170000001</v>
      </c>
      <c r="I56" s="105">
        <f>SUM(I51:I55)</f>
        <v>142143.69347699999</v>
      </c>
      <c r="J56" s="105">
        <f>SUM(J51:J55)</f>
        <v>145070.12413337</v>
      </c>
      <c r="K56" s="105">
        <f>SUM(K51:K55)</f>
        <v>148169.2841195997</v>
      </c>
    </row>
    <row r="57" spans="2:702" ht="16.899999999999999" customHeight="1" thickTop="1" x14ac:dyDescent="0.6">
      <c r="B57" s="21" t="s">
        <v>168</v>
      </c>
      <c r="D57" s="21">
        <v>205753</v>
      </c>
      <c r="E57" s="21">
        <v>243686</v>
      </c>
      <c r="F57" s="21">
        <v>275524</v>
      </c>
      <c r="G57" s="85">
        <f>SUM(G50,G56)</f>
        <v>279400.75</v>
      </c>
      <c r="H57" s="85">
        <f>SUM(H50,H56)</f>
        <v>283436.72350000002</v>
      </c>
      <c r="I57" s="85">
        <f>SUM(I50,I56)</f>
        <v>287640.74009500002</v>
      </c>
      <c r="J57" s="85">
        <f>SUM(J50,J56)</f>
        <v>292022.14121755003</v>
      </c>
      <c r="K57" s="85">
        <f>SUM(K50,K56)</f>
        <v>296590.82137462153</v>
      </c>
    </row>
    <row r="58" spans="2:702" x14ac:dyDescent="0.6">
      <c r="D58" s="96"/>
      <c r="E58" s="96"/>
      <c r="F58" s="96"/>
      <c r="G58" s="83"/>
      <c r="H58" s="83"/>
      <c r="I58" s="83"/>
      <c r="J58" s="83"/>
      <c r="K58" s="83"/>
    </row>
    <row r="59" spans="2:702" x14ac:dyDescent="0.6">
      <c r="B59" s="1" t="s">
        <v>169</v>
      </c>
      <c r="D59" s="1">
        <v>0</v>
      </c>
      <c r="E59" s="1">
        <v>0</v>
      </c>
      <c r="F59" s="1">
        <v>0</v>
      </c>
      <c r="G59" s="83">
        <f>F59+G90</f>
        <v>0</v>
      </c>
      <c r="H59" s="83">
        <f>G59+H90</f>
        <v>0</v>
      </c>
      <c r="I59" s="83">
        <f>H59+I90</f>
        <v>0</v>
      </c>
      <c r="J59" s="83">
        <f>I59+J90</f>
        <v>0</v>
      </c>
      <c r="K59" s="83">
        <f>J59+K90</f>
        <v>0</v>
      </c>
    </row>
    <row r="60" spans="2:702" x14ac:dyDescent="0.6">
      <c r="B60" s="1" t="s">
        <v>170</v>
      </c>
      <c r="D60" s="1">
        <v>0</v>
      </c>
      <c r="E60" s="1">
        <v>0</v>
      </c>
      <c r="F60" s="1">
        <v>0</v>
      </c>
      <c r="G60" s="83">
        <f>F60+G89</f>
        <v>0</v>
      </c>
      <c r="H60" s="83">
        <f>G60+H89</f>
        <v>0</v>
      </c>
      <c r="I60" s="83">
        <f>H60+I89</f>
        <v>0</v>
      </c>
      <c r="J60" s="83">
        <f>I60+J89</f>
        <v>0</v>
      </c>
      <c r="K60" s="83">
        <f>J60+K89</f>
        <v>0</v>
      </c>
    </row>
    <row r="61" spans="2:702" x14ac:dyDescent="0.6">
      <c r="B61" s="1" t="s">
        <v>171</v>
      </c>
      <c r="D61" s="1">
        <v>93718</v>
      </c>
      <c r="E61" s="1">
        <v>100923</v>
      </c>
      <c r="F61" s="1">
        <v>109095</v>
      </c>
      <c r="G61" s="83">
        <f>F61+G73</f>
        <v>121188.73999999999</v>
      </c>
      <c r="H61" s="83">
        <f>G61+H73</f>
        <v>133403.41739999998</v>
      </c>
      <c r="I61" s="83">
        <f>H61+I73</f>
        <v>145740.24157399999</v>
      </c>
      <c r="J61" s="83">
        <f>I61+J73</f>
        <v>158200.43398973998</v>
      </c>
      <c r="K61" s="83">
        <f>J61+K73</f>
        <v>170785.22832963738</v>
      </c>
    </row>
    <row r="62" spans="2:702" x14ac:dyDescent="0.6">
      <c r="B62" s="1" t="s">
        <v>172</v>
      </c>
      <c r="D62" s="1">
        <v>118848</v>
      </c>
      <c r="E62" s="1">
        <v>173144</v>
      </c>
      <c r="F62" s="1">
        <v>237731</v>
      </c>
      <c r="G62" s="83">
        <f>F62+G18+G91</f>
        <v>216152.06208259999</v>
      </c>
      <c r="H62" s="83">
        <f>G62+H18+H91</f>
        <v>203030.19440915203</v>
      </c>
      <c r="I62" s="83">
        <f>H62+I18+I91</f>
        <v>198522.86330647682</v>
      </c>
      <c r="J62" s="83">
        <f>I62+J18+J91</f>
        <v>202789.83872090725</v>
      </c>
      <c r="K62" s="83">
        <f>J62+K18+K91</f>
        <v>215993.2245440456</v>
      </c>
      <c r="ZZ62" t="s">
        <v>104</v>
      </c>
    </row>
    <row r="63" spans="2:702" x14ac:dyDescent="0.6">
      <c r="B63" s="1" t="s">
        <v>173</v>
      </c>
      <c r="D63" s="1">
        <v>0</v>
      </c>
      <c r="E63" s="1">
        <v>0</v>
      </c>
      <c r="F63" s="1">
        <v>0</v>
      </c>
      <c r="G63" s="83">
        <f t="shared" ref="G63:K65" si="6">F63</f>
        <v>0</v>
      </c>
      <c r="H63" s="83">
        <f t="shared" si="6"/>
        <v>0</v>
      </c>
      <c r="I63" s="83">
        <f t="shared" si="6"/>
        <v>0</v>
      </c>
      <c r="J63" s="83">
        <f t="shared" si="6"/>
        <v>0</v>
      </c>
      <c r="K63" s="83">
        <f t="shared" si="6"/>
        <v>0</v>
      </c>
      <c r="ZZ63" t="s">
        <v>151</v>
      </c>
    </row>
    <row r="64" spans="2:702" x14ac:dyDescent="0.6">
      <c r="B64" s="1" t="s">
        <v>174</v>
      </c>
      <c r="D64" s="1">
        <v>-6343</v>
      </c>
      <c r="E64" s="1">
        <v>-5590</v>
      </c>
      <c r="F64" s="1">
        <v>-3347</v>
      </c>
      <c r="G64" s="83">
        <f t="shared" si="6"/>
        <v>-3347</v>
      </c>
      <c r="H64" s="83">
        <f t="shared" si="6"/>
        <v>-3347</v>
      </c>
      <c r="I64" s="83">
        <f t="shared" si="6"/>
        <v>-3347</v>
      </c>
      <c r="J64" s="83">
        <f t="shared" si="6"/>
        <v>-3347</v>
      </c>
      <c r="K64" s="83">
        <f t="shared" si="6"/>
        <v>-3347</v>
      </c>
    </row>
    <row r="65" spans="2:702" ht="16.899999999999999" customHeight="1" thickBot="1" x14ac:dyDescent="0.65">
      <c r="B65" s="1" t="s">
        <v>175</v>
      </c>
      <c r="D65" s="128">
        <v>0</v>
      </c>
      <c r="E65" s="128">
        <v>0</v>
      </c>
      <c r="F65" s="128">
        <v>0</v>
      </c>
      <c r="G65" s="106">
        <f t="shared" si="6"/>
        <v>0</v>
      </c>
      <c r="H65" s="106">
        <f t="shared" si="6"/>
        <v>0</v>
      </c>
      <c r="I65" s="106">
        <f t="shared" si="6"/>
        <v>0</v>
      </c>
      <c r="J65" s="106">
        <f t="shared" si="6"/>
        <v>0</v>
      </c>
      <c r="K65" s="106">
        <f t="shared" si="6"/>
        <v>0</v>
      </c>
    </row>
    <row r="66" spans="2:702" ht="17.25" customHeight="1" thickTop="1" thickBot="1" x14ac:dyDescent="0.65">
      <c r="B66" s="21" t="s">
        <v>176</v>
      </c>
      <c r="D66" s="129">
        <v>206223</v>
      </c>
      <c r="E66" s="129">
        <v>268477</v>
      </c>
      <c r="F66" s="129">
        <v>343479</v>
      </c>
      <c r="G66" s="107">
        <f>SUM(G59:G65)</f>
        <v>333993.80208259996</v>
      </c>
      <c r="H66" s="107">
        <f>SUM(H59:H65)</f>
        <v>333086.611809152</v>
      </c>
      <c r="I66" s="107">
        <f>SUM(I59:I65)</f>
        <v>340916.10488047684</v>
      </c>
      <c r="J66" s="107">
        <f>SUM(J59:J65)</f>
        <v>357643.2727106472</v>
      </c>
      <c r="K66" s="107">
        <f>SUM(K59:K65)</f>
        <v>383431.45287368295</v>
      </c>
    </row>
    <row r="67" spans="2:702" ht="16.899999999999999" customHeight="1" thickTop="1" x14ac:dyDescent="0.6">
      <c r="B67" s="21" t="s">
        <v>177</v>
      </c>
      <c r="D67" s="102">
        <f t="shared" ref="D67:K67" si="7">SUM(D66,D57)</f>
        <v>411976</v>
      </c>
      <c r="E67" s="102">
        <f t="shared" si="7"/>
        <v>512163</v>
      </c>
      <c r="F67" s="102">
        <f t="shared" si="7"/>
        <v>619003</v>
      </c>
      <c r="G67" s="87">
        <f t="shared" si="7"/>
        <v>613394.55208259996</v>
      </c>
      <c r="H67" s="87">
        <f t="shared" si="7"/>
        <v>616523.33530915203</v>
      </c>
      <c r="I67" s="87">
        <f t="shared" si="7"/>
        <v>628556.84497547685</v>
      </c>
      <c r="J67" s="87">
        <f t="shared" si="7"/>
        <v>649665.41392819723</v>
      </c>
      <c r="K67" s="87">
        <f t="shared" si="7"/>
        <v>680022.27424830454</v>
      </c>
    </row>
    <row r="68" spans="2:702" x14ac:dyDescent="0.6">
      <c r="B68" s="21"/>
      <c r="D68" s="96"/>
      <c r="E68" s="96"/>
      <c r="F68" s="96"/>
      <c r="G68" s="103"/>
      <c r="H68" s="103"/>
      <c r="I68" s="103"/>
      <c r="J68" s="103"/>
      <c r="K68" s="103"/>
    </row>
    <row r="69" spans="2:702" ht="21" customHeight="1" x14ac:dyDescent="0.75">
      <c r="B69" s="75" t="s">
        <v>178</v>
      </c>
      <c r="C69" s="74"/>
      <c r="D69" s="74" t="s">
        <v>45</v>
      </c>
      <c r="E69" s="74" t="s">
        <v>46</v>
      </c>
      <c r="F69" s="74" t="s">
        <v>47</v>
      </c>
      <c r="G69" s="74" t="s">
        <v>48</v>
      </c>
      <c r="H69" s="74" t="s">
        <v>49</v>
      </c>
      <c r="I69" s="74" t="s">
        <v>50</v>
      </c>
      <c r="J69" s="74" t="s">
        <v>86</v>
      </c>
      <c r="K69" s="74" t="s">
        <v>87</v>
      </c>
      <c r="M69" s="18" t="s">
        <v>88</v>
      </c>
      <c r="N69" s="19" t="s">
        <v>89</v>
      </c>
      <c r="O69" s="19" t="s">
        <v>90</v>
      </c>
      <c r="P69" s="19"/>
      <c r="Q69" s="19"/>
      <c r="R69" s="19"/>
      <c r="S69" s="19"/>
      <c r="ZZ69" t="s">
        <v>131</v>
      </c>
    </row>
    <row r="70" spans="2:702" x14ac:dyDescent="0.6">
      <c r="B70" s="1" t="s">
        <v>179</v>
      </c>
      <c r="D70" s="1">
        <v>144722.0000194</v>
      </c>
      <c r="E70" s="1">
        <v>176272.00002365999</v>
      </c>
      <c r="F70" s="1">
        <v>203664.00002733999</v>
      </c>
      <c r="G70" s="83">
        <f>G18</f>
        <v>-24245.997659999994</v>
      </c>
      <c r="H70" s="83">
        <f>H18</f>
        <v>-14743.67154319998</v>
      </c>
      <c r="I70" s="83">
        <f>I18</f>
        <v>-5064.4169692979685</v>
      </c>
      <c r="J70" s="83">
        <f>J18</f>
        <v>4794.3543982364399</v>
      </c>
      <c r="K70" s="83">
        <f>K18</f>
        <v>14835.264969818378</v>
      </c>
      <c r="M70" s="1" t="s">
        <v>180</v>
      </c>
      <c r="N70" t="s">
        <v>92</v>
      </c>
      <c r="O70">
        <v>-10</v>
      </c>
      <c r="P70">
        <v>-10</v>
      </c>
      <c r="Q70">
        <v>-10</v>
      </c>
      <c r="R70">
        <v>-10</v>
      </c>
      <c r="S70">
        <v>-10</v>
      </c>
      <c r="ZZ70" t="s">
        <v>123</v>
      </c>
    </row>
    <row r="71" spans="2:702" x14ac:dyDescent="0.6">
      <c r="B71" s="1" t="s">
        <v>181</v>
      </c>
      <c r="D71" s="1">
        <v>13861</v>
      </c>
      <c r="E71" s="1">
        <v>22287</v>
      </c>
      <c r="F71" s="1">
        <v>34153</v>
      </c>
      <c r="G71" s="83">
        <f>O25*F32</f>
        <v>13787.34</v>
      </c>
      <c r="H71" s="83">
        <f>P25*G32</f>
        <v>14971.128407999999</v>
      </c>
      <c r="I71" s="83">
        <f>Q25*H32</f>
        <v>15028.524292080001</v>
      </c>
      <c r="J71" s="83">
        <f>R25*I32</f>
        <v>15086.494135000801</v>
      </c>
      <c r="K71" s="83">
        <f>S25*J32</f>
        <v>15145.043676350808</v>
      </c>
      <c r="M71" s="1" t="s">
        <v>182</v>
      </c>
      <c r="N71" t="s">
        <v>92</v>
      </c>
      <c r="O71" s="20">
        <v>0.11</v>
      </c>
      <c r="P71" s="20">
        <v>0.11</v>
      </c>
      <c r="Q71" s="68">
        <v>0.11</v>
      </c>
      <c r="R71" s="68">
        <v>0.11</v>
      </c>
      <c r="S71" s="68">
        <v>0.11</v>
      </c>
      <c r="ZZ71" t="s">
        <v>183</v>
      </c>
    </row>
    <row r="72" spans="2:702" x14ac:dyDescent="0.6">
      <c r="B72" s="1" t="s">
        <v>184</v>
      </c>
      <c r="D72" s="1">
        <v>-6059</v>
      </c>
      <c r="E72" s="1">
        <v>-4738</v>
      </c>
      <c r="F72" s="1">
        <v>-7056</v>
      </c>
      <c r="G72" s="83">
        <f>(-G36+G54)-(-F36+F54)</f>
        <v>28.349999999999909</v>
      </c>
      <c r="H72" s="83">
        <f>(-H36+H54)-(-G36+G54)</f>
        <v>28.633500000000367</v>
      </c>
      <c r="I72" s="83">
        <f>(-I36+I54)-(-H36+H54)</f>
        <v>28.919835000000148</v>
      </c>
      <c r="J72" s="83">
        <f>(-J36+J54)-(-I36+I54)</f>
        <v>29.209033350000027</v>
      </c>
      <c r="K72" s="83">
        <f>(-K36+K54)-(-J36+J54)</f>
        <v>29.501123683499827</v>
      </c>
      <c r="M72" s="1" t="s">
        <v>185</v>
      </c>
      <c r="N72" t="s">
        <v>92</v>
      </c>
      <c r="O72">
        <v>-9</v>
      </c>
      <c r="P72">
        <v>-9</v>
      </c>
      <c r="Q72">
        <v>-9</v>
      </c>
      <c r="R72">
        <v>-9</v>
      </c>
      <c r="S72">
        <v>-9</v>
      </c>
    </row>
    <row r="73" spans="2:702" x14ac:dyDescent="0.6">
      <c r="B73" s="1" t="s">
        <v>186</v>
      </c>
      <c r="D73" s="1">
        <v>9611</v>
      </c>
      <c r="E73" s="1">
        <v>10734</v>
      </c>
      <c r="F73" s="1">
        <v>11974</v>
      </c>
      <c r="G73" s="83">
        <f>(F73/F$5)*G$5</f>
        <v>12093.739999999998</v>
      </c>
      <c r="H73" s="83">
        <f>(G73/G$5)*H$5</f>
        <v>12214.6774</v>
      </c>
      <c r="I73" s="83">
        <f>(H73/H$5)*I$5</f>
        <v>12336.824174000001</v>
      </c>
      <c r="J73" s="83">
        <f>(I73/I$5)*J$5</f>
        <v>12460.192415740001</v>
      </c>
      <c r="K73" s="83">
        <f>(J73/J$5)*K$5</f>
        <v>12584.7943398974</v>
      </c>
    </row>
    <row r="74" spans="2:702" x14ac:dyDescent="0.6">
      <c r="B74" s="1" t="s">
        <v>187</v>
      </c>
      <c r="D74" s="1">
        <v>-2388</v>
      </c>
      <c r="E74" s="1">
        <v>1824</v>
      </c>
      <c r="F74" s="1">
        <v>-5350</v>
      </c>
      <c r="G74" s="83">
        <f>(SUM(F27:F30,F37)-SUM(F47:F49,F42:F44,F53,F55))-(SUM(G27:G30,G37)-SUM(G47:G49,G42:G44,G53,G55))</f>
        <v>-18932.526799999992</v>
      </c>
      <c r="H74" s="83">
        <f>(SUM(G27:G30,G37)-SUM(G47:G49,G42:G44,G53,G55))-(SUM(H27:H30,H37)-SUM(H47:H49,H42:H44,H53,H55))</f>
        <v>-151.34526800000458</v>
      </c>
      <c r="I74" s="83">
        <f>(SUM(H27:H30,H37)-SUM(H47:H49,H42:H44,H53,H55))-(SUM(I27:I30,I37)-SUM(I47:I49,I42:I44,I53,I55))</f>
        <v>-152.85872068002936</v>
      </c>
      <c r="J74" s="83">
        <f>(SUM(I27:I30,I37)-SUM(I47:I49,I42:I44,I53,I55))-(SUM(J27:J30,J37)-SUM(J47:J49,J42:J44,J53,J55))</f>
        <v>-154.38730788679095</v>
      </c>
      <c r="K74" s="83">
        <f>(SUM(J27:J30,J37)-SUM(J47:J49,J42:J44,J53,J55))-(SUM(K27:K30,K37)-SUM(K47:K49,K42:K44,K53,K55))</f>
        <v>-155.93118096565013</v>
      </c>
      <c r="ZZ74" t="s">
        <v>188</v>
      </c>
    </row>
    <row r="75" spans="2:702" ht="16.899999999999999" customHeight="1" thickBot="1" x14ac:dyDescent="0.65">
      <c r="B75" s="1" t="s">
        <v>189</v>
      </c>
      <c r="D75" s="128">
        <v>34704</v>
      </c>
      <c r="E75" s="128">
        <v>18315</v>
      </c>
      <c r="F75" s="128">
        <v>30242</v>
      </c>
      <c r="G75" s="106">
        <v>0</v>
      </c>
      <c r="H75" s="106">
        <v>0</v>
      </c>
      <c r="I75" s="106">
        <v>0</v>
      </c>
      <c r="J75" s="106">
        <v>0</v>
      </c>
      <c r="K75" s="106">
        <v>0</v>
      </c>
      <c r="ZZ75" t="s">
        <v>131</v>
      </c>
    </row>
    <row r="76" spans="2:702" ht="16.899999999999999" customHeight="1" thickTop="1" x14ac:dyDescent="0.6">
      <c r="B76" s="21" t="s">
        <v>190</v>
      </c>
      <c r="D76" s="21">
        <v>87582</v>
      </c>
      <c r="E76" s="21">
        <v>118548</v>
      </c>
      <c r="F76" s="21">
        <v>136162</v>
      </c>
      <c r="G76" s="85">
        <f>SUM(G70:G75)</f>
        <v>-17269.094459999986</v>
      </c>
      <c r="H76" s="85">
        <f>SUM(H70:H75)</f>
        <v>12319.422496800014</v>
      </c>
      <c r="I76" s="85">
        <f>SUM(I70:I75)</f>
        <v>22176.992611102003</v>
      </c>
      <c r="J76" s="85">
        <f>SUM(J70:J75)</f>
        <v>32215.862674440446</v>
      </c>
      <c r="K76" s="85">
        <f>SUM(K70:K75)</f>
        <v>42438.672928784435</v>
      </c>
      <c r="ZZ76" t="s">
        <v>131</v>
      </c>
    </row>
    <row r="77" spans="2:702" x14ac:dyDescent="0.6">
      <c r="D77" s="96"/>
      <c r="E77" s="96"/>
      <c r="F77" s="96"/>
      <c r="G77" s="83"/>
      <c r="H77" s="83"/>
      <c r="I77" s="83"/>
      <c r="J77" s="83"/>
      <c r="K77" s="83"/>
    </row>
    <row r="78" spans="2:702" x14ac:dyDescent="0.6">
      <c r="B78" s="1" t="s">
        <v>191</v>
      </c>
      <c r="D78" s="1">
        <v>-28107</v>
      </c>
      <c r="E78" s="1">
        <v>-44477</v>
      </c>
      <c r="F78" s="1">
        <v>-64551</v>
      </c>
      <c r="G78" s="83">
        <f>O72</f>
        <v>-9</v>
      </c>
      <c r="H78" s="83">
        <f>P72</f>
        <v>-9</v>
      </c>
      <c r="I78" s="83">
        <f>Q72</f>
        <v>-9</v>
      </c>
      <c r="J78" s="83">
        <f>R72</f>
        <v>-9</v>
      </c>
      <c r="K78" s="83">
        <f>S72</f>
        <v>-9</v>
      </c>
      <c r="ZZ78" t="s">
        <v>192</v>
      </c>
    </row>
    <row r="79" spans="2:702" x14ac:dyDescent="0.6">
      <c r="B79" s="1" t="s">
        <v>193</v>
      </c>
      <c r="D79" s="96"/>
      <c r="E79" s="96"/>
      <c r="F79" s="96"/>
      <c r="G79" s="83">
        <v>0</v>
      </c>
      <c r="H79" s="83">
        <v>0</v>
      </c>
      <c r="I79" s="83">
        <v>0</v>
      </c>
      <c r="J79" s="83">
        <v>0</v>
      </c>
      <c r="K79" s="83">
        <f>(J$79/$F$5)*K$5</f>
        <v>0</v>
      </c>
    </row>
    <row r="80" spans="2:702" x14ac:dyDescent="0.6">
      <c r="B80" s="1" t="s">
        <v>194</v>
      </c>
      <c r="D80" s="96"/>
      <c r="E80" s="96"/>
      <c r="F80" s="96"/>
      <c r="G80" s="83">
        <v>0</v>
      </c>
      <c r="H80" s="83">
        <v>0</v>
      </c>
      <c r="I80" s="83">
        <v>0</v>
      </c>
      <c r="J80" s="83">
        <v>0</v>
      </c>
      <c r="K80" s="83">
        <v>0</v>
      </c>
    </row>
    <row r="81" spans="2:702" x14ac:dyDescent="0.6">
      <c r="B81" s="1" t="s">
        <v>195</v>
      </c>
      <c r="D81" s="1">
        <v>211915</v>
      </c>
      <c r="E81" s="1">
        <v>245122</v>
      </c>
      <c r="F81" s="1">
        <v>281724</v>
      </c>
      <c r="G81" s="83">
        <f>F26-G26+F35-G35</f>
        <v>-797.2799999999952</v>
      </c>
      <c r="H81" s="83">
        <f>G26-H26+G35-H35</f>
        <v>-805.25280000001112</v>
      </c>
      <c r="I81" s="83">
        <f>H26-I26+H35-I35</f>
        <v>-813.30532799999673</v>
      </c>
      <c r="J81" s="83">
        <f>I26-J26+I35-J35</f>
        <v>-821.43838127999334</v>
      </c>
      <c r="K81" s="83">
        <f>J26-K26+J35-K35</f>
        <v>-829.65276509279829</v>
      </c>
      <c r="ZZ81" t="s">
        <v>93</v>
      </c>
    </row>
    <row r="82" spans="2:702" ht="16.899999999999999" customHeight="1" thickBot="1" x14ac:dyDescent="0.65">
      <c r="B82" s="1" t="s">
        <v>196</v>
      </c>
      <c r="D82" s="104"/>
      <c r="E82" s="104"/>
      <c r="F82" s="104"/>
      <c r="G82" s="106">
        <v>0</v>
      </c>
      <c r="H82" s="106">
        <v>0</v>
      </c>
      <c r="I82" s="106">
        <v>0</v>
      </c>
      <c r="J82" s="106">
        <v>0</v>
      </c>
      <c r="K82" s="106">
        <v>0</v>
      </c>
    </row>
    <row r="83" spans="2:702" ht="16.899999999999999" customHeight="1" thickTop="1" x14ac:dyDescent="0.6">
      <c r="B83" s="21" t="s">
        <v>197</v>
      </c>
      <c r="D83" s="1">
        <v>34704</v>
      </c>
      <c r="E83" s="1">
        <v>18315</v>
      </c>
      <c r="F83" s="1">
        <v>30242</v>
      </c>
      <c r="G83" s="85">
        <f>SUM(G78:G82)</f>
        <v>-806.2799999999952</v>
      </c>
      <c r="H83" s="85">
        <f>SUM(H78:H82)</f>
        <v>-814.25280000001112</v>
      </c>
      <c r="I83" s="85">
        <f>SUM(I78:I82)</f>
        <v>-822.30532799999673</v>
      </c>
      <c r="J83" s="85">
        <f>SUM(J78:J82)</f>
        <v>-830.43838127999334</v>
      </c>
      <c r="K83" s="85">
        <f>SUM(K78:K82)</f>
        <v>-838.65276509279829</v>
      </c>
      <c r="ZZ83" t="s">
        <v>131</v>
      </c>
    </row>
    <row r="84" spans="2:702" x14ac:dyDescent="0.6">
      <c r="D84" s="96"/>
      <c r="E84" s="96"/>
      <c r="F84" s="96"/>
      <c r="G84" s="83"/>
      <c r="H84" s="83"/>
      <c r="I84" s="83"/>
      <c r="J84" s="83"/>
      <c r="K84" s="83"/>
    </row>
    <row r="85" spans="2:702" x14ac:dyDescent="0.6">
      <c r="B85" s="1" t="s">
        <v>198</v>
      </c>
      <c r="D85" s="1">
        <v>5247</v>
      </c>
      <c r="E85" s="1">
        <v>8942</v>
      </c>
      <c r="F85" s="1">
        <v>2999</v>
      </c>
      <c r="G85" s="83">
        <f>G51+G45-F45-F51</f>
        <v>2439.1100000000006</v>
      </c>
      <c r="H85" s="83">
        <f>H51+H45-G45-G51</f>
        <v>2583.9571000000069</v>
      </c>
      <c r="I85" s="83">
        <f>I51+I45-H45-H51</f>
        <v>2737.4800309999991</v>
      </c>
      <c r="J85" s="83">
        <f>J51+J45-I45-I51</f>
        <v>2900.1991929100041</v>
      </c>
      <c r="K85" s="83">
        <f>K51+K45-J45-J51</f>
        <v>3072.6662081351024</v>
      </c>
      <c r="ZZ85" t="s">
        <v>156</v>
      </c>
    </row>
    <row r="86" spans="2:702" x14ac:dyDescent="0.6">
      <c r="B86" s="1" t="s">
        <v>199</v>
      </c>
      <c r="D86" s="1">
        <v>-20379</v>
      </c>
      <c r="E86" s="1">
        <v>-15252</v>
      </c>
      <c r="F86" s="1">
        <v>-16364</v>
      </c>
      <c r="G86" s="83">
        <f>O70</f>
        <v>-10</v>
      </c>
      <c r="H86" s="83">
        <f>P70</f>
        <v>-10</v>
      </c>
      <c r="I86" s="83">
        <f>Q70</f>
        <v>-10</v>
      </c>
      <c r="J86" s="83">
        <f>R70</f>
        <v>-10</v>
      </c>
      <c r="K86" s="83">
        <f>S70</f>
        <v>-10</v>
      </c>
    </row>
    <row r="87" spans="2:702" x14ac:dyDescent="0.6">
      <c r="B87" s="1" t="s">
        <v>200</v>
      </c>
      <c r="D87" s="1">
        <v>-20379</v>
      </c>
      <c r="E87" s="1">
        <v>-15252</v>
      </c>
      <c r="F87" s="1">
        <v>-16364</v>
      </c>
      <c r="G87" s="83">
        <v>0</v>
      </c>
      <c r="H87" s="83">
        <v>0</v>
      </c>
      <c r="I87" s="83">
        <v>0</v>
      </c>
      <c r="J87" s="83">
        <v>0</v>
      </c>
      <c r="K87" s="83">
        <v>0</v>
      </c>
    </row>
    <row r="88" spans="2:702" x14ac:dyDescent="0.6">
      <c r="B88" s="1" t="s">
        <v>201</v>
      </c>
      <c r="D88" s="1">
        <v>1866</v>
      </c>
      <c r="E88" s="1">
        <v>2002</v>
      </c>
      <c r="F88" s="1">
        <v>2056</v>
      </c>
      <c r="G88" s="83">
        <v>0</v>
      </c>
      <c r="H88" s="83">
        <v>0</v>
      </c>
      <c r="I88" s="83">
        <v>0</v>
      </c>
      <c r="J88" s="83">
        <v>0</v>
      </c>
      <c r="K88" s="83">
        <v>0</v>
      </c>
    </row>
    <row r="89" spans="2:702" x14ac:dyDescent="0.6">
      <c r="B89" s="1" t="s">
        <v>202</v>
      </c>
      <c r="D89" s="1">
        <v>-22245</v>
      </c>
      <c r="E89" s="1">
        <v>-17254</v>
      </c>
      <c r="F89" s="1">
        <v>-18420</v>
      </c>
      <c r="G89" s="83">
        <v>0</v>
      </c>
      <c r="H89" s="83">
        <v>0</v>
      </c>
      <c r="I89" s="83">
        <v>0</v>
      </c>
      <c r="J89" s="83">
        <v>0</v>
      </c>
      <c r="K89" s="83">
        <v>0</v>
      </c>
    </row>
    <row r="90" spans="2:702" x14ac:dyDescent="0.6">
      <c r="B90" s="1" t="s">
        <v>203</v>
      </c>
      <c r="D90" s="1">
        <v>0</v>
      </c>
      <c r="E90" s="1">
        <v>0</v>
      </c>
      <c r="F90" s="1">
        <v>0</v>
      </c>
      <c r="G90" s="83">
        <v>0</v>
      </c>
      <c r="H90" s="83">
        <v>0</v>
      </c>
      <c r="I90" s="83">
        <v>0</v>
      </c>
      <c r="J90" s="83">
        <v>0</v>
      </c>
      <c r="K90" s="83">
        <v>0</v>
      </c>
    </row>
    <row r="91" spans="2:702" x14ac:dyDescent="0.6">
      <c r="B91" s="1" t="s">
        <v>204</v>
      </c>
      <c r="D91" s="1">
        <v>-19800</v>
      </c>
      <c r="E91" s="1">
        <v>-21771</v>
      </c>
      <c r="F91" s="1">
        <v>-24082</v>
      </c>
      <c r="G91" s="83">
        <f>-O71*G18</f>
        <v>2667.0597425999995</v>
      </c>
      <c r="H91" s="83">
        <f>-P71*H18</f>
        <v>1621.8038697519978</v>
      </c>
      <c r="I91" s="83">
        <f>-Q71*I18</f>
        <v>557.08586662277651</v>
      </c>
      <c r="J91" s="83">
        <f>-R71*J18</f>
        <v>-527.37898380600836</v>
      </c>
      <c r="K91" s="83">
        <f>-S71*K18</f>
        <v>-1631.8791466800214</v>
      </c>
      <c r="ZZ91" t="s">
        <v>205</v>
      </c>
    </row>
    <row r="92" spans="2:702" x14ac:dyDescent="0.6">
      <c r="B92" s="1" t="s">
        <v>206</v>
      </c>
      <c r="D92" s="1">
        <v>-19800</v>
      </c>
      <c r="E92" s="1">
        <v>-21771</v>
      </c>
      <c r="F92" s="1">
        <v>-24082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ZZ92" t="s">
        <v>205</v>
      </c>
    </row>
    <row r="93" spans="2:702" x14ac:dyDescent="0.6">
      <c r="B93" s="1" t="s">
        <v>207</v>
      </c>
      <c r="D93" s="1">
        <v>-19800</v>
      </c>
      <c r="E93" s="1">
        <v>-21771</v>
      </c>
      <c r="F93" s="1">
        <v>-24082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ZZ93" t="s">
        <v>205</v>
      </c>
    </row>
    <row r="94" spans="2:702" ht="16.899999999999999" customHeight="1" thickBot="1" x14ac:dyDescent="0.65">
      <c r="B94" s="1" t="s">
        <v>208</v>
      </c>
      <c r="D94" s="128">
        <v>-1006</v>
      </c>
      <c r="E94" s="128">
        <v>-1309</v>
      </c>
      <c r="F94" s="128">
        <v>-2291</v>
      </c>
      <c r="G94" s="106">
        <v>0</v>
      </c>
      <c r="H94" s="106">
        <v>0</v>
      </c>
      <c r="I94" s="106">
        <v>0</v>
      </c>
      <c r="J94" s="106">
        <v>0</v>
      </c>
      <c r="K94" s="106">
        <v>0</v>
      </c>
    </row>
    <row r="95" spans="2:702" ht="16.899999999999999" customHeight="1" thickTop="1" x14ac:dyDescent="0.6">
      <c r="B95" s="21" t="s">
        <v>209</v>
      </c>
      <c r="D95" s="1">
        <v>-43935</v>
      </c>
      <c r="E95" s="1">
        <v>-37757</v>
      </c>
      <c r="F95" s="1">
        <v>-51699</v>
      </c>
      <c r="G95" s="85">
        <f>SUM(G85:G94)</f>
        <v>5096.1697426000001</v>
      </c>
      <c r="H95" s="85">
        <f>SUM(H85:H94)</f>
        <v>4195.7609697520047</v>
      </c>
      <c r="I95" s="85">
        <f>SUM(I85:I94)</f>
        <v>3284.5658976227755</v>
      </c>
      <c r="J95" s="85">
        <f>SUM(J85:J94)</f>
        <v>2362.8202091039957</v>
      </c>
      <c r="K95" s="85">
        <f>SUM(K85:K94)</f>
        <v>1430.7870614550809</v>
      </c>
      <c r="ZZ95" t="s">
        <v>131</v>
      </c>
    </row>
    <row r="96" spans="2:702" x14ac:dyDescent="0.6">
      <c r="D96" s="96"/>
      <c r="E96" s="96"/>
      <c r="F96" s="96"/>
      <c r="G96" s="83"/>
      <c r="H96" s="83"/>
      <c r="I96" s="83"/>
      <c r="J96" s="83"/>
      <c r="K96" s="83"/>
    </row>
    <row r="97" spans="2:702" x14ac:dyDescent="0.6">
      <c r="B97" s="1" t="s">
        <v>210</v>
      </c>
      <c r="D97" s="1">
        <v>34704</v>
      </c>
      <c r="E97" s="1">
        <v>18315</v>
      </c>
      <c r="F97" s="1">
        <v>30242</v>
      </c>
      <c r="G97" s="83">
        <v>0</v>
      </c>
      <c r="H97" s="83">
        <v>0</v>
      </c>
      <c r="I97" s="83">
        <v>0</v>
      </c>
      <c r="J97" s="83">
        <v>0</v>
      </c>
      <c r="K97" s="83">
        <v>0</v>
      </c>
      <c r="ZZ97" t="s">
        <v>131</v>
      </c>
    </row>
    <row r="98" spans="2:702" x14ac:dyDescent="0.6">
      <c r="D98" s="96"/>
      <c r="E98" s="96"/>
      <c r="F98" s="96"/>
      <c r="G98" s="96"/>
      <c r="H98" s="96"/>
      <c r="I98" s="96"/>
      <c r="J98" s="96"/>
      <c r="K98" s="96"/>
    </row>
    <row r="99" spans="2:702" x14ac:dyDescent="0.6">
      <c r="B99" s="21" t="s">
        <v>211</v>
      </c>
      <c r="C99" s="21"/>
      <c r="D99" s="21">
        <v>34704</v>
      </c>
      <c r="E99" s="21">
        <v>18315</v>
      </c>
      <c r="F99" s="21">
        <v>30242</v>
      </c>
      <c r="G99" s="103">
        <f>F101</f>
        <v>30242</v>
      </c>
      <c r="H99" s="103">
        <f>G101</f>
        <v>17262.795282600018</v>
      </c>
      <c r="I99" s="103">
        <f>H101</f>
        <v>32963.725949152024</v>
      </c>
      <c r="J99" s="103">
        <f>I101</f>
        <v>57602.97912987681</v>
      </c>
      <c r="K99" s="103">
        <f>J101</f>
        <v>91351.223632141249</v>
      </c>
      <c r="ZZ99" t="s">
        <v>131</v>
      </c>
    </row>
    <row r="100" spans="2:702" x14ac:dyDescent="0.6">
      <c r="B100" s="1" t="s">
        <v>212</v>
      </c>
      <c r="D100" s="1">
        <v>20773</v>
      </c>
      <c r="E100" s="1">
        <v>-16389</v>
      </c>
      <c r="F100" s="1">
        <v>11927</v>
      </c>
      <c r="G100" s="96">
        <f>G95+G97+G83+G76</f>
        <v>-12979.204717399982</v>
      </c>
      <c r="H100" s="96">
        <f>H95+H97+H83+H76</f>
        <v>15700.930666552009</v>
      </c>
      <c r="I100" s="96">
        <f>I95+I97+I83+I76</f>
        <v>24639.253180724783</v>
      </c>
      <c r="J100" s="96">
        <f>J95+J97+J83+J76</f>
        <v>33748.244502264446</v>
      </c>
      <c r="K100" s="96">
        <f>K95+K97+K83+K76</f>
        <v>43030.807225146717</v>
      </c>
      <c r="ZZ100" t="s">
        <v>131</v>
      </c>
    </row>
    <row r="101" spans="2:702" x14ac:dyDescent="0.6">
      <c r="B101" s="21" t="s">
        <v>213</v>
      </c>
      <c r="C101" s="21"/>
      <c r="D101" s="21">
        <v>34704</v>
      </c>
      <c r="E101" s="21">
        <v>18315</v>
      </c>
      <c r="F101" s="21">
        <v>30242</v>
      </c>
      <c r="G101" s="103">
        <f>G99+G100</f>
        <v>17262.795282600018</v>
      </c>
      <c r="H101" s="103">
        <f>H99+H100</f>
        <v>32963.725949152024</v>
      </c>
      <c r="I101" s="103">
        <f>I99+I100</f>
        <v>57602.97912987681</v>
      </c>
      <c r="J101" s="103">
        <f>J99+J100</f>
        <v>91351.223632141249</v>
      </c>
      <c r="K101" s="103">
        <f>K99+K100</f>
        <v>134382.03085728796</v>
      </c>
      <c r="ZZ101" t="s">
        <v>131</v>
      </c>
    </row>
    <row r="102" spans="2:702" x14ac:dyDescent="0.6">
      <c r="D102" s="96"/>
      <c r="E102" s="96"/>
      <c r="F102" s="96"/>
      <c r="G102" s="96"/>
      <c r="H102" s="96"/>
      <c r="I102" s="96"/>
      <c r="J102" s="96"/>
      <c r="K102" s="96"/>
    </row>
    <row r="103" spans="2:702" x14ac:dyDescent="0.6">
      <c r="B103" s="21" t="s">
        <v>214</v>
      </c>
      <c r="C103" s="21"/>
      <c r="D103" s="130">
        <v>34704</v>
      </c>
      <c r="E103" s="130">
        <v>18315</v>
      </c>
      <c r="F103" s="130">
        <v>30242</v>
      </c>
      <c r="G103" s="88">
        <f>G$12*(1-$O$9)+G71-G78-G74</f>
        <v>164160.90813999998</v>
      </c>
      <c r="H103" s="88">
        <f>H12*(1-P9)+H71-H78-H74</f>
        <v>156068.35502280001</v>
      </c>
      <c r="I103" s="88">
        <f>I12*(1-Q9)+I71-I78-I74</f>
        <v>165809.05796236204</v>
      </c>
      <c r="J103" s="88">
        <f>J12*(1-R9)+J71-J78-J74</f>
        <v>175729.892179213</v>
      </c>
      <c r="K103" s="88">
        <f>K12*(1-S9)+K71-K78-K74</f>
        <v>185833.48622860474</v>
      </c>
      <c r="ZZ103" t="s">
        <v>131</v>
      </c>
    </row>
    <row r="106" spans="2:702" x14ac:dyDescent="0.6">
      <c r="B106" s="1" t="s">
        <v>215</v>
      </c>
      <c r="D106" s="96">
        <f t="shared" ref="D106:K106" si="8">D40-D67</f>
        <v>0</v>
      </c>
      <c r="E106" s="96">
        <f t="shared" si="8"/>
        <v>0</v>
      </c>
      <c r="F106" s="96">
        <f t="shared" si="8"/>
        <v>0</v>
      </c>
      <c r="G106" s="96">
        <f t="shared" si="8"/>
        <v>0</v>
      </c>
      <c r="H106" s="96">
        <f t="shared" si="8"/>
        <v>0</v>
      </c>
      <c r="I106" s="96">
        <f t="shared" si="8"/>
        <v>0</v>
      </c>
      <c r="J106" s="96">
        <f t="shared" si="8"/>
        <v>0</v>
      </c>
      <c r="K106" s="96">
        <f t="shared" si="8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M21"/>
  <sheetViews>
    <sheetView showGridLines="0" workbookViewId="0">
      <selection activeCell="F21" sqref="F21"/>
    </sheetView>
  </sheetViews>
  <sheetFormatPr defaultColWidth="8.86328125" defaultRowHeight="16.5" x14ac:dyDescent="0.6"/>
  <cols>
    <col min="1" max="1" width="2.86328125" style="1" customWidth="1"/>
    <col min="2" max="2" width="21.1328125" style="1" bestFit="1" customWidth="1"/>
    <col min="3" max="3" width="2.86328125" style="1" customWidth="1"/>
    <col min="4" max="5" width="12.86328125" style="1" customWidth="1"/>
    <col min="6" max="6" width="15.86328125" style="1" bestFit="1" customWidth="1"/>
    <col min="7" max="7" width="18.33203125" style="1" bestFit="1" customWidth="1"/>
    <col min="8" max="8" width="12.86328125" style="1" customWidth="1"/>
    <col min="9" max="9" width="27.1328125" style="1" bestFit="1" customWidth="1"/>
    <col min="10" max="13" width="12.86328125" style="1" customWidth="1"/>
    <col min="14" max="14" width="8.86328125" style="1" customWidth="1"/>
    <col min="15" max="16384" width="8.86328125" style="1"/>
  </cols>
  <sheetData>
    <row r="1" spans="1:13" x14ac:dyDescent="0.6">
      <c r="A1" s="2"/>
      <c r="K1" s="2"/>
    </row>
    <row r="2" spans="1:13" ht="21.6" customHeight="1" x14ac:dyDescent="0.6">
      <c r="B2" s="15" t="s">
        <v>216</v>
      </c>
      <c r="C2" s="14"/>
      <c r="D2" s="14"/>
      <c r="E2" s="14"/>
      <c r="F2" s="14"/>
      <c r="G2" s="14"/>
      <c r="H2" s="14"/>
      <c r="I2" s="14"/>
      <c r="J2" s="14"/>
      <c r="K2" s="19"/>
      <c r="M2" s="2"/>
    </row>
    <row r="3" spans="1:13" x14ac:dyDescent="0.6">
      <c r="G3" s="2"/>
    </row>
    <row r="4" spans="1:13" x14ac:dyDescent="0.6">
      <c r="B4" s="19"/>
      <c r="C4" s="19"/>
      <c r="D4" s="18" t="s">
        <v>18</v>
      </c>
      <c r="E4" s="18" t="s">
        <v>19</v>
      </c>
      <c r="F4" s="18" t="s">
        <v>20</v>
      </c>
      <c r="G4" s="18" t="s">
        <v>21</v>
      </c>
      <c r="I4" s="18" t="s">
        <v>9</v>
      </c>
      <c r="J4" s="19"/>
    </row>
    <row r="5" spans="1:13" x14ac:dyDescent="0.6">
      <c r="B5" s="1" t="s">
        <v>0</v>
      </c>
      <c r="D5" s="123">
        <f>G16/F16</f>
        <v>12.712150072329656</v>
      </c>
      <c r="E5" s="123">
        <f>E16/(F16/(K16/1000000))</f>
        <v>12.65868172395678</v>
      </c>
      <c r="F5" s="123">
        <f>E16/I16</f>
        <v>35.024193548387096</v>
      </c>
      <c r="G5" s="123">
        <f>E16/(J16/(K16/1000000))</f>
        <v>10.382743777639972</v>
      </c>
      <c r="I5" s="1" t="s">
        <v>18</v>
      </c>
      <c r="J5" s="52">
        <v>0.25</v>
      </c>
    </row>
    <row r="6" spans="1:13" x14ac:dyDescent="0.6">
      <c r="B6" s="1" t="s">
        <v>217</v>
      </c>
      <c r="D6" s="123">
        <f>G17/F17</f>
        <v>0.96295018854899106</v>
      </c>
      <c r="E6" s="123">
        <f>E17/(F17/(K17/1000000))</f>
        <v>0.44987254724127995</v>
      </c>
      <c r="F6" s="123">
        <f>E17/I17</f>
        <v>11.725274725274724</v>
      </c>
      <c r="G6" s="123">
        <f>E17/(J17/(K17/1000000))</f>
        <v>1.3369642630644343</v>
      </c>
      <c r="I6" s="1" t="s">
        <v>19</v>
      </c>
      <c r="J6" s="52">
        <v>0.25</v>
      </c>
    </row>
    <row r="7" spans="1:13" x14ac:dyDescent="0.6">
      <c r="B7" s="1" t="s">
        <v>218</v>
      </c>
      <c r="D7" s="123">
        <f>G18/F18</f>
        <v>11.778322375163329</v>
      </c>
      <c r="E7" s="123">
        <f>E18/(F18/(K18/1000000))</f>
        <v>10.372204742242896</v>
      </c>
      <c r="F7" s="123">
        <f>E18/I18</f>
        <v>47.864055299539167</v>
      </c>
      <c r="G7" s="123">
        <f>E18/(J18/(K18/1000000))</f>
        <v>29.111250305608529</v>
      </c>
      <c r="I7" s="1" t="s">
        <v>20</v>
      </c>
      <c r="J7" s="52">
        <v>0.25</v>
      </c>
    </row>
    <row r="8" spans="1:13" x14ac:dyDescent="0.6">
      <c r="B8" s="1" t="s">
        <v>219</v>
      </c>
      <c r="D8" s="123">
        <f>G19/F19</f>
        <v>14.700758016388574</v>
      </c>
      <c r="E8" s="123">
        <f>E19/(F19/(K19/1000000))</f>
        <v>15.996483979936533</v>
      </c>
      <c r="F8" s="123">
        <f>E19/I19</f>
        <v>218.99019607843138</v>
      </c>
      <c r="G8" s="123">
        <f>E19/(J19/(K19/1000000))</f>
        <v>21.432344300741978</v>
      </c>
      <c r="I8" s="1" t="s">
        <v>21</v>
      </c>
      <c r="J8" s="52">
        <v>0.25</v>
      </c>
    </row>
    <row r="9" spans="1:13" x14ac:dyDescent="0.6">
      <c r="B9" s="1" t="s">
        <v>220</v>
      </c>
      <c r="D9" s="123">
        <f>G20/F20</f>
        <v>10.239843966517766</v>
      </c>
      <c r="E9" s="123">
        <f>E20/(F20/(K20/1000000))</f>
        <v>10.245036542467938</v>
      </c>
      <c r="F9" s="123">
        <f>E20/I20</f>
        <v>38.089812332439678</v>
      </c>
      <c r="G9" s="123">
        <f>E20/(J20/(K20/1000000))</f>
        <v>57.824646393744999</v>
      </c>
    </row>
    <row r="10" spans="1:13" x14ac:dyDescent="0.6">
      <c r="B10" s="22" t="s">
        <v>221</v>
      </c>
      <c r="C10" s="22"/>
      <c r="D10" s="124">
        <f>MIN(D5:D9)</f>
        <v>0.96295018854899106</v>
      </c>
      <c r="E10" s="124">
        <f>MIN(E5:E9)</f>
        <v>0.44987254724127995</v>
      </c>
      <c r="F10" s="124">
        <f>MIN(F5:F9)</f>
        <v>11.725274725274724</v>
      </c>
      <c r="G10" s="124">
        <f>MIN(G5:G9)</f>
        <v>1.3369642630644343</v>
      </c>
      <c r="I10" s="21" t="s">
        <v>222</v>
      </c>
      <c r="J10" s="117">
        <f>(D13*J5)+(E13*J6)+(F13*J7)+(G13*J8)</f>
        <v>704.0286279309538</v>
      </c>
    </row>
    <row r="11" spans="1:13" x14ac:dyDescent="0.6">
      <c r="B11" s="1" t="s">
        <v>223</v>
      </c>
      <c r="D11" s="123">
        <f>AVERAGE(D5:D9)</f>
        <v>10.078804923789665</v>
      </c>
      <c r="E11" s="123">
        <f>AVERAGE(E5:E9)</f>
        <v>9.9444559071690861</v>
      </c>
      <c r="F11" s="123">
        <f>AVERAGE(F5:F9)</f>
        <v>70.338706396814402</v>
      </c>
      <c r="G11" s="123">
        <f>AVERAGE(G5:G9)</f>
        <v>24.017589808159983</v>
      </c>
      <c r="I11" s="1" t="s">
        <v>7</v>
      </c>
      <c r="J11" s="90">
        <f>(J10/E16)-1</f>
        <v>0.47369566058433388</v>
      </c>
    </row>
    <row r="12" spans="1:13" x14ac:dyDescent="0.6">
      <c r="B12" s="1" t="s">
        <v>224</v>
      </c>
      <c r="D12" s="123">
        <f>MAX(D5:D9)</f>
        <v>14.700758016388574</v>
      </c>
      <c r="E12" s="123">
        <f>MAX(E5:E9)</f>
        <v>15.996483979936533</v>
      </c>
      <c r="F12" s="123">
        <f>MAX(F5:F9)</f>
        <v>218.99019607843138</v>
      </c>
      <c r="G12" s="123">
        <f>MAX(G5:G9)</f>
        <v>57.824646393744999</v>
      </c>
    </row>
    <row r="13" spans="1:13" x14ac:dyDescent="0.6">
      <c r="B13" s="22" t="s">
        <v>0</v>
      </c>
      <c r="C13" s="22"/>
      <c r="D13" s="116">
        <f>(((D11)*F16)-H16)/(K16/1000000)</f>
        <v>376.30210828529397</v>
      </c>
      <c r="E13" s="116">
        <f>E11*(F16/(K16/1000000))</f>
        <v>375.29697200151423</v>
      </c>
      <c r="F13" s="116">
        <f>F11*(I16)</f>
        <v>959.41995525254845</v>
      </c>
      <c r="G13" s="116">
        <f>G11*(J16/(K16/1000000))</f>
        <v>1105.0954761844587</v>
      </c>
    </row>
    <row r="15" spans="1:13" x14ac:dyDescent="0.6">
      <c r="B15" s="63" t="s">
        <v>225</v>
      </c>
      <c r="C15" s="63"/>
      <c r="D15" s="63" t="s">
        <v>226</v>
      </c>
      <c r="E15" s="63" t="s">
        <v>227</v>
      </c>
      <c r="F15" s="63" t="s">
        <v>228</v>
      </c>
      <c r="G15" s="63" t="s">
        <v>229</v>
      </c>
      <c r="H15" s="63" t="s">
        <v>230</v>
      </c>
      <c r="I15" s="63" t="s">
        <v>231</v>
      </c>
      <c r="J15" s="63" t="s">
        <v>232</v>
      </c>
      <c r="K15" s="63" t="s">
        <v>233</v>
      </c>
    </row>
    <row r="16" spans="1:13" x14ac:dyDescent="0.6">
      <c r="B16" s="64" t="s">
        <v>0</v>
      </c>
      <c r="D16" s="1">
        <v>3550971.7669770001</v>
      </c>
      <c r="E16" s="1">
        <v>477.73</v>
      </c>
      <c r="F16" s="1">
        <v>281724</v>
      </c>
      <c r="G16" s="1">
        <v>3581317.7669770001</v>
      </c>
      <c r="H16" s="1">
        <v>30346</v>
      </c>
      <c r="I16" s="1">
        <v>13.64</v>
      </c>
      <c r="J16" s="1">
        <v>343479</v>
      </c>
      <c r="K16" s="1">
        <v>7465000000</v>
      </c>
    </row>
    <row r="17" spans="2:11" x14ac:dyDescent="0.6">
      <c r="B17" s="64" t="s">
        <v>217</v>
      </c>
      <c r="D17" s="131">
        <v>69676.309242000003</v>
      </c>
      <c r="E17" s="1">
        <v>74.69</v>
      </c>
      <c r="F17" s="131">
        <v>187442</v>
      </c>
      <c r="G17" s="131">
        <v>180497.30924199999</v>
      </c>
      <c r="H17" s="1">
        <v>110821</v>
      </c>
      <c r="I17" s="131">
        <v>6.37</v>
      </c>
      <c r="J17" s="131">
        <v>63072</v>
      </c>
      <c r="K17" s="131">
        <v>1129000000</v>
      </c>
    </row>
    <row r="18" spans="2:11" x14ac:dyDescent="0.6">
      <c r="B18" s="64" t="s">
        <v>218</v>
      </c>
      <c r="D18" s="1">
        <v>582745.92601199995</v>
      </c>
      <c r="E18" s="1">
        <v>207.73</v>
      </c>
      <c r="F18" s="1">
        <v>57399</v>
      </c>
      <c r="G18" s="1">
        <v>676063.92601199995</v>
      </c>
      <c r="H18" s="1">
        <v>93318</v>
      </c>
      <c r="I18" s="1">
        <v>4.34</v>
      </c>
      <c r="J18" s="1">
        <v>20451</v>
      </c>
      <c r="K18" s="1">
        <v>2866000000</v>
      </c>
    </row>
    <row r="19" spans="2:11" x14ac:dyDescent="0.6">
      <c r="B19" s="64" t="s">
        <v>219</v>
      </c>
      <c r="D19" s="1">
        <v>1438633.0506209999</v>
      </c>
      <c r="E19" s="1">
        <v>446.74</v>
      </c>
      <c r="F19" s="1">
        <v>97690</v>
      </c>
      <c r="G19" s="1">
        <v>1436117.0506209999</v>
      </c>
      <c r="H19" s="1">
        <v>-2516</v>
      </c>
      <c r="I19" s="1">
        <v>2.04</v>
      </c>
      <c r="J19" s="1">
        <v>72913</v>
      </c>
      <c r="K19" s="1">
        <v>3498000000</v>
      </c>
    </row>
    <row r="20" spans="2:11" x14ac:dyDescent="0.6">
      <c r="B20" s="64" t="s">
        <v>220</v>
      </c>
      <c r="D20" s="1">
        <v>4198700.7049500002</v>
      </c>
      <c r="E20" s="1">
        <v>284.14999999999998</v>
      </c>
      <c r="F20" s="1">
        <v>416161</v>
      </c>
      <c r="G20" s="1">
        <v>4261423.7049500002</v>
      </c>
      <c r="H20" s="1">
        <v>62723</v>
      </c>
      <c r="I20" s="1">
        <v>7.46</v>
      </c>
      <c r="J20" s="1">
        <v>73733</v>
      </c>
      <c r="K20" s="1">
        <v>15004697000</v>
      </c>
    </row>
    <row r="21" spans="2:11" x14ac:dyDescent="0.6">
      <c r="G21" s="9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2:F1260"/>
  <sheetViews>
    <sheetView showGridLines="0" workbookViewId="0">
      <pane ySplit="6" topLeftCell="A1238" activePane="bottomLeft" state="frozen"/>
      <selection pane="bottomLeft" activeCell="E1242" sqref="E1242"/>
    </sheetView>
  </sheetViews>
  <sheetFormatPr defaultRowHeight="14.25" x14ac:dyDescent="0.45"/>
  <cols>
    <col min="1" max="1" width="2.86328125" customWidth="1"/>
    <col min="2" max="2" width="14.6640625" customWidth="1"/>
    <col min="3" max="3" width="14.33203125" bestFit="1" customWidth="1"/>
    <col min="4" max="4" width="18.6640625" bestFit="1" customWidth="1"/>
    <col min="5" max="5" width="12.6640625" bestFit="1" customWidth="1"/>
    <col min="6" max="6" width="17.33203125" bestFit="1" customWidth="1"/>
  </cols>
  <sheetData>
    <row r="2" spans="2:6" x14ac:dyDescent="0.45">
      <c r="B2" t="s">
        <v>3</v>
      </c>
      <c r="C2" t="s">
        <v>1</v>
      </c>
    </row>
    <row r="3" spans="2:6" x14ac:dyDescent="0.45">
      <c r="B3" t="s">
        <v>234</v>
      </c>
      <c r="C3" t="s">
        <v>235</v>
      </c>
    </row>
    <row r="4" spans="2:6" x14ac:dyDescent="0.45">
      <c r="B4" t="s">
        <v>236</v>
      </c>
      <c r="C4">
        <v>5</v>
      </c>
    </row>
    <row r="5" spans="2:6" x14ac:dyDescent="0.45">
      <c r="B5" t="s">
        <v>237</v>
      </c>
      <c r="C5">
        <f>SLOPE(E8:E1260,F8:F1260)</f>
        <v>1.1566004260148679</v>
      </c>
    </row>
    <row r="6" spans="2:6" x14ac:dyDescent="0.45">
      <c r="B6" t="s">
        <v>238</v>
      </c>
      <c r="C6" t="s">
        <v>239</v>
      </c>
      <c r="D6" t="s">
        <v>240</v>
      </c>
      <c r="E6" t="s">
        <v>241</v>
      </c>
      <c r="F6" t="s">
        <v>242</v>
      </c>
    </row>
    <row r="7" spans="2:6" x14ac:dyDescent="0.45">
      <c r="B7" s="132">
        <v>44172</v>
      </c>
      <c r="C7">
        <v>205.61976623535159</v>
      </c>
      <c r="D7">
        <v>3691.9599609375</v>
      </c>
    </row>
    <row r="8" spans="2:6" x14ac:dyDescent="0.45">
      <c r="B8" s="132">
        <v>44173</v>
      </c>
      <c r="C8">
        <v>207.27015686035159</v>
      </c>
      <c r="D8">
        <v>3702.25</v>
      </c>
      <c r="E8">
        <f t="shared" ref="E8:E71" si="0">((C8/C7)-1)*100</f>
        <v>0.80264201016111425</v>
      </c>
      <c r="F8">
        <f t="shared" ref="F8:F71" si="1">((D8/D7)-1)*100</f>
        <v>0.2787148065356293</v>
      </c>
    </row>
    <row r="9" spans="2:6" x14ac:dyDescent="0.45">
      <c r="B9" s="132">
        <v>44174</v>
      </c>
      <c r="C9">
        <v>203.23054504394531</v>
      </c>
      <c r="D9">
        <v>3672.820068359375</v>
      </c>
      <c r="E9">
        <f t="shared" si="0"/>
        <v>-1.9489596947272925</v>
      </c>
      <c r="F9">
        <f t="shared" si="1"/>
        <v>-0.79492016045985547</v>
      </c>
    </row>
    <row r="10" spans="2:6" x14ac:dyDescent="0.45">
      <c r="B10" s="132">
        <v>44175</v>
      </c>
      <c r="C10">
        <v>202.00230407714841</v>
      </c>
      <c r="D10">
        <v>3668.10009765625</v>
      </c>
      <c r="E10">
        <f t="shared" si="0"/>
        <v>-0.60435844746237199</v>
      </c>
      <c r="F10">
        <f t="shared" si="1"/>
        <v>-0.12851080682624305</v>
      </c>
    </row>
    <row r="11" spans="2:6" x14ac:dyDescent="0.45">
      <c r="B11" s="132">
        <v>44176</v>
      </c>
      <c r="C11">
        <v>204.63148498535159</v>
      </c>
      <c r="D11">
        <v>3663.4599609375</v>
      </c>
      <c r="E11">
        <f t="shared" si="0"/>
        <v>1.3015598610197188</v>
      </c>
      <c r="F11">
        <f t="shared" si="1"/>
        <v>-0.12649972997506032</v>
      </c>
    </row>
    <row r="12" spans="2:6" x14ac:dyDescent="0.45">
      <c r="B12" s="132">
        <v>44179</v>
      </c>
      <c r="C12">
        <v>205.53343200683591</v>
      </c>
      <c r="D12">
        <v>3647.489990234375</v>
      </c>
      <c r="E12">
        <f t="shared" si="0"/>
        <v>0.44076649375284216</v>
      </c>
      <c r="F12">
        <f t="shared" si="1"/>
        <v>-0.4359258971957769</v>
      </c>
    </row>
    <row r="13" spans="2:6" x14ac:dyDescent="0.45">
      <c r="B13" s="132">
        <v>44180</v>
      </c>
      <c r="C13">
        <v>205.46623229980469</v>
      </c>
      <c r="D13">
        <v>3694.6201171875</v>
      </c>
      <c r="E13">
        <f t="shared" si="0"/>
        <v>-3.2695268295324098E-2</v>
      </c>
      <c r="F13">
        <f t="shared" si="1"/>
        <v>1.2921249154708825</v>
      </c>
    </row>
    <row r="14" spans="2:6" x14ac:dyDescent="0.45">
      <c r="B14" s="132">
        <v>44181</v>
      </c>
      <c r="C14">
        <v>210.40791320800781</v>
      </c>
      <c r="D14">
        <v>3701.169921875</v>
      </c>
      <c r="E14">
        <f t="shared" si="0"/>
        <v>2.4051061105712535</v>
      </c>
      <c r="F14">
        <f t="shared" si="1"/>
        <v>0.17727951669590514</v>
      </c>
    </row>
    <row r="15" spans="2:6" x14ac:dyDescent="0.45">
      <c r="B15" s="132">
        <v>44182</v>
      </c>
      <c r="C15">
        <v>210.542236328125</v>
      </c>
      <c r="D15">
        <v>3722.47998046875</v>
      </c>
      <c r="E15">
        <f t="shared" si="0"/>
        <v>6.3839386109210139E-2</v>
      </c>
      <c r="F15">
        <f t="shared" si="1"/>
        <v>0.57576547533797484</v>
      </c>
    </row>
    <row r="16" spans="2:6" x14ac:dyDescent="0.45">
      <c r="B16" s="132">
        <v>44183</v>
      </c>
      <c r="C16">
        <v>209.74578857421881</v>
      </c>
      <c r="D16">
        <v>3709.409912109375</v>
      </c>
      <c r="E16">
        <f t="shared" si="0"/>
        <v>-0.37828407629572069</v>
      </c>
      <c r="F16">
        <f t="shared" si="1"/>
        <v>-0.35111185091528663</v>
      </c>
    </row>
    <row r="17" spans="2:6" x14ac:dyDescent="0.45">
      <c r="B17" s="132">
        <v>44186</v>
      </c>
      <c r="C17">
        <v>213.58393859863281</v>
      </c>
      <c r="D17">
        <v>3694.919921875</v>
      </c>
      <c r="E17">
        <f t="shared" si="0"/>
        <v>1.829905644592178</v>
      </c>
      <c r="F17">
        <f t="shared" si="1"/>
        <v>-0.39062790518439305</v>
      </c>
    </row>
    <row r="18" spans="2:6" x14ac:dyDescent="0.45">
      <c r="B18" s="132">
        <v>44187</v>
      </c>
      <c r="C18">
        <v>214.8793029785156</v>
      </c>
      <c r="D18">
        <v>3687.260009765625</v>
      </c>
      <c r="E18">
        <f t="shared" si="0"/>
        <v>0.60648960234648275</v>
      </c>
      <c r="F18">
        <f t="shared" si="1"/>
        <v>-0.20730928602880061</v>
      </c>
    </row>
    <row r="19" spans="2:6" x14ac:dyDescent="0.45">
      <c r="B19" s="132">
        <v>44188</v>
      </c>
      <c r="C19">
        <v>212.07749938964841</v>
      </c>
      <c r="D19">
        <v>3690.010009765625</v>
      </c>
      <c r="E19">
        <f t="shared" si="0"/>
        <v>-1.3038964432732336</v>
      </c>
      <c r="F19">
        <f t="shared" si="1"/>
        <v>7.4581125082495703E-2</v>
      </c>
    </row>
    <row r="20" spans="2:6" x14ac:dyDescent="0.45">
      <c r="B20" s="132">
        <v>44189</v>
      </c>
      <c r="C20">
        <v>213.73747253417969</v>
      </c>
      <c r="D20">
        <v>3703.06005859375</v>
      </c>
      <c r="E20">
        <f t="shared" si="0"/>
        <v>0.78272006663064886</v>
      </c>
      <c r="F20">
        <f t="shared" si="1"/>
        <v>0.35365890047962534</v>
      </c>
    </row>
    <row r="21" spans="2:6" x14ac:dyDescent="0.45">
      <c r="B21" s="132">
        <v>44193</v>
      </c>
      <c r="C21">
        <v>215.8580322265625</v>
      </c>
      <c r="D21">
        <v>3735.360107421875</v>
      </c>
      <c r="E21">
        <f t="shared" si="0"/>
        <v>0.99213285683619201</v>
      </c>
      <c r="F21">
        <f t="shared" si="1"/>
        <v>0.8722529021144565</v>
      </c>
    </row>
    <row r="22" spans="2:6" x14ac:dyDescent="0.45">
      <c r="B22" s="132">
        <v>44194</v>
      </c>
      <c r="C22">
        <v>215.08085632324219</v>
      </c>
      <c r="D22">
        <v>3727.0400390625</v>
      </c>
      <c r="E22">
        <f t="shared" si="0"/>
        <v>-0.36004029838676566</v>
      </c>
      <c r="F22">
        <f t="shared" si="1"/>
        <v>-0.222738052560012</v>
      </c>
    </row>
    <row r="23" spans="2:6" x14ac:dyDescent="0.45">
      <c r="B23" s="132">
        <v>44195</v>
      </c>
      <c r="C23">
        <v>212.71075439453119</v>
      </c>
      <c r="D23">
        <v>3732.0400390625</v>
      </c>
      <c r="E23">
        <f t="shared" si="0"/>
        <v>-1.1019585700128509</v>
      </c>
      <c r="F23">
        <f t="shared" si="1"/>
        <v>0.13415471654707467</v>
      </c>
    </row>
    <row r="24" spans="2:6" x14ac:dyDescent="0.45">
      <c r="B24" s="132">
        <v>44196</v>
      </c>
      <c r="C24">
        <v>213.42082214355469</v>
      </c>
      <c r="D24">
        <v>3756.070068359375</v>
      </c>
      <c r="E24">
        <f t="shared" si="0"/>
        <v>0.33381845268927179</v>
      </c>
      <c r="F24">
        <f t="shared" si="1"/>
        <v>0.64388455229198449</v>
      </c>
    </row>
    <row r="25" spans="2:6" x14ac:dyDescent="0.45">
      <c r="B25" s="132">
        <v>44200</v>
      </c>
      <c r="C25">
        <v>208.8822021484375</v>
      </c>
      <c r="D25">
        <v>3700.64990234375</v>
      </c>
      <c r="E25">
        <f t="shared" si="0"/>
        <v>-2.1266059935165726</v>
      </c>
      <c r="F25">
        <f t="shared" si="1"/>
        <v>-1.4754827521051062</v>
      </c>
    </row>
    <row r="26" spans="2:6" x14ac:dyDescent="0.45">
      <c r="B26" s="132">
        <v>44201</v>
      </c>
      <c r="C26">
        <v>209.0837097167969</v>
      </c>
      <c r="D26">
        <v>3726.860107421875</v>
      </c>
      <c r="E26">
        <f t="shared" si="0"/>
        <v>9.6469477191840625E-2</v>
      </c>
      <c r="F26">
        <f t="shared" si="1"/>
        <v>0.70825951575492763</v>
      </c>
    </row>
    <row r="27" spans="2:6" x14ac:dyDescent="0.45">
      <c r="B27" s="132">
        <v>44202</v>
      </c>
      <c r="C27">
        <v>203.66233825683591</v>
      </c>
      <c r="D27">
        <v>3748.139892578125</v>
      </c>
      <c r="E27">
        <f t="shared" si="0"/>
        <v>-2.5929191075212077</v>
      </c>
      <c r="F27">
        <f t="shared" si="1"/>
        <v>0.5709842747752214</v>
      </c>
    </row>
    <row r="28" spans="2:6" x14ac:dyDescent="0.45">
      <c r="B28" s="132">
        <v>44203</v>
      </c>
      <c r="C28">
        <v>209.4579162597656</v>
      </c>
      <c r="D28">
        <v>3803.7900390625</v>
      </c>
      <c r="E28">
        <f t="shared" si="0"/>
        <v>2.8456797916269538</v>
      </c>
      <c r="F28">
        <f t="shared" si="1"/>
        <v>1.4847403800101189</v>
      </c>
    </row>
    <row r="29" spans="2:6" x14ac:dyDescent="0.45">
      <c r="B29" s="132">
        <v>44204</v>
      </c>
      <c r="C29">
        <v>210.734130859375</v>
      </c>
      <c r="D29">
        <v>3824.679931640625</v>
      </c>
      <c r="E29">
        <f t="shared" si="0"/>
        <v>0.60929403977583174</v>
      </c>
      <c r="F29">
        <f t="shared" si="1"/>
        <v>0.54918626852689112</v>
      </c>
    </row>
    <row r="30" spans="2:6" x14ac:dyDescent="0.45">
      <c r="B30" s="132">
        <v>44207</v>
      </c>
      <c r="C30">
        <v>208.69032287597659</v>
      </c>
      <c r="D30">
        <v>3799.610107421875</v>
      </c>
      <c r="E30">
        <f t="shared" si="0"/>
        <v>-0.96985143083549996</v>
      </c>
      <c r="F30">
        <f t="shared" si="1"/>
        <v>-0.65547508985924763</v>
      </c>
    </row>
    <row r="31" spans="2:6" x14ac:dyDescent="0.45">
      <c r="B31" s="132">
        <v>44208</v>
      </c>
      <c r="C31">
        <v>206.23387145996091</v>
      </c>
      <c r="D31">
        <v>3801.18994140625</v>
      </c>
      <c r="E31">
        <f t="shared" si="0"/>
        <v>-1.1770796950060447</v>
      </c>
      <c r="F31">
        <f t="shared" si="1"/>
        <v>4.1578844663270331E-2</v>
      </c>
    </row>
    <row r="32" spans="2:6" x14ac:dyDescent="0.45">
      <c r="B32" s="132">
        <v>44209</v>
      </c>
      <c r="C32">
        <v>207.5867919921875</v>
      </c>
      <c r="D32">
        <v>3809.840087890625</v>
      </c>
      <c r="E32">
        <f t="shared" si="0"/>
        <v>0.65601276970124189</v>
      </c>
      <c r="F32">
        <f t="shared" si="1"/>
        <v>0.22756417379066196</v>
      </c>
    </row>
    <row r="33" spans="2:6" x14ac:dyDescent="0.45">
      <c r="B33" s="132">
        <v>44210</v>
      </c>
      <c r="C33">
        <v>204.40118408203119</v>
      </c>
      <c r="D33">
        <v>3795.5400390625</v>
      </c>
      <c r="E33">
        <f t="shared" si="0"/>
        <v>-1.5345908473195169</v>
      </c>
      <c r="F33">
        <f t="shared" si="1"/>
        <v>-0.37534511943366766</v>
      </c>
    </row>
    <row r="34" spans="2:6" x14ac:dyDescent="0.45">
      <c r="B34" s="132">
        <v>44211</v>
      </c>
      <c r="C34">
        <v>204.0461120605469</v>
      </c>
      <c r="D34">
        <v>3768.25</v>
      </c>
      <c r="E34">
        <f t="shared" si="0"/>
        <v>-0.17371328991019341</v>
      </c>
      <c r="F34">
        <f t="shared" si="1"/>
        <v>-0.71900279753709384</v>
      </c>
    </row>
    <row r="35" spans="2:6" x14ac:dyDescent="0.45">
      <c r="B35" s="132">
        <v>44215</v>
      </c>
      <c r="C35">
        <v>207.68278503417969</v>
      </c>
      <c r="D35">
        <v>3798.909912109375</v>
      </c>
      <c r="E35">
        <f t="shared" si="0"/>
        <v>1.7822799645178522</v>
      </c>
      <c r="F35">
        <f t="shared" si="1"/>
        <v>0.81363795155244834</v>
      </c>
    </row>
    <row r="36" spans="2:6" x14ac:dyDescent="0.45">
      <c r="B36" s="132">
        <v>44216</v>
      </c>
      <c r="C36">
        <v>215.26313781738281</v>
      </c>
      <c r="D36">
        <v>3851.85009765625</v>
      </c>
      <c r="E36">
        <f t="shared" si="0"/>
        <v>3.6499668385877815</v>
      </c>
      <c r="F36">
        <f t="shared" si="1"/>
        <v>1.3935625421946263</v>
      </c>
    </row>
    <row r="37" spans="2:6" x14ac:dyDescent="0.45">
      <c r="B37" s="132">
        <v>44217</v>
      </c>
      <c r="C37">
        <v>215.86767578125</v>
      </c>
      <c r="D37">
        <v>3853.070068359375</v>
      </c>
      <c r="E37">
        <f t="shared" si="0"/>
        <v>0.28083673312429003</v>
      </c>
      <c r="F37">
        <f t="shared" si="1"/>
        <v>3.1672330755228018E-2</v>
      </c>
    </row>
    <row r="38" spans="2:6" x14ac:dyDescent="0.45">
      <c r="B38" s="132">
        <v>44218</v>
      </c>
      <c r="C38">
        <v>216.80804443359381</v>
      </c>
      <c r="D38">
        <v>3841.469970703125</v>
      </c>
      <c r="E38">
        <f t="shared" si="0"/>
        <v>0.43562272532953195</v>
      </c>
      <c r="F38">
        <f t="shared" si="1"/>
        <v>-0.30106116552376383</v>
      </c>
    </row>
    <row r="39" spans="2:6" x14ac:dyDescent="0.45">
      <c r="B39" s="132">
        <v>44221</v>
      </c>
      <c r="C39">
        <v>220.24317932128909</v>
      </c>
      <c r="D39">
        <v>3855.360107421875</v>
      </c>
      <c r="E39">
        <f t="shared" si="0"/>
        <v>1.5844130215137975</v>
      </c>
      <c r="F39">
        <f t="shared" si="1"/>
        <v>0.36158389430824833</v>
      </c>
    </row>
    <row r="40" spans="2:6" x14ac:dyDescent="0.45">
      <c r="B40" s="132">
        <v>44222</v>
      </c>
      <c r="C40">
        <v>222.9299011230469</v>
      </c>
      <c r="D40">
        <v>3849.6201171875</v>
      </c>
      <c r="E40">
        <f t="shared" si="0"/>
        <v>1.2198887656985846</v>
      </c>
      <c r="F40">
        <f t="shared" si="1"/>
        <v>-0.14888337468982327</v>
      </c>
    </row>
    <row r="41" spans="2:6" x14ac:dyDescent="0.45">
      <c r="B41" s="132">
        <v>44223</v>
      </c>
      <c r="C41">
        <v>223.4767761230469</v>
      </c>
      <c r="D41">
        <v>3750.77001953125</v>
      </c>
      <c r="E41">
        <f t="shared" si="0"/>
        <v>0.24531253871509229</v>
      </c>
      <c r="F41">
        <f t="shared" si="1"/>
        <v>-2.5677883699462001</v>
      </c>
    </row>
    <row r="42" spans="2:6" x14ac:dyDescent="0.45">
      <c r="B42" s="132">
        <v>44224</v>
      </c>
      <c r="C42">
        <v>229.26280212402341</v>
      </c>
      <c r="D42">
        <v>3787.3798828125</v>
      </c>
      <c r="E42">
        <f t="shared" si="0"/>
        <v>2.589094983986473</v>
      </c>
      <c r="F42">
        <f t="shared" si="1"/>
        <v>0.97606259756297664</v>
      </c>
    </row>
    <row r="43" spans="2:6" x14ac:dyDescent="0.45">
      <c r="B43" s="132">
        <v>44225</v>
      </c>
      <c r="C43">
        <v>222.5748291015625</v>
      </c>
      <c r="D43">
        <v>3714.239990234375</v>
      </c>
      <c r="E43">
        <f t="shared" si="0"/>
        <v>-2.9171644769668936</v>
      </c>
      <c r="F43">
        <f t="shared" si="1"/>
        <v>-1.9311475173124593</v>
      </c>
    </row>
    <row r="44" spans="2:6" x14ac:dyDescent="0.45">
      <c r="B44" s="132">
        <v>44228</v>
      </c>
      <c r="C44">
        <v>229.95372009277341</v>
      </c>
      <c r="D44">
        <v>3773.860107421875</v>
      </c>
      <c r="E44">
        <f t="shared" si="0"/>
        <v>3.315240551232268</v>
      </c>
      <c r="F44">
        <f t="shared" si="1"/>
        <v>1.6051767614439383</v>
      </c>
    </row>
    <row r="45" spans="2:6" x14ac:dyDescent="0.45">
      <c r="B45" s="132">
        <v>44229</v>
      </c>
      <c r="C45">
        <v>229.81935119628909</v>
      </c>
      <c r="D45">
        <v>3826.31005859375</v>
      </c>
      <c r="E45">
        <f t="shared" si="0"/>
        <v>-5.8433017056691572E-2</v>
      </c>
      <c r="F45">
        <f t="shared" si="1"/>
        <v>1.3898223484416938</v>
      </c>
    </row>
    <row r="46" spans="2:6" x14ac:dyDescent="0.45">
      <c r="B46" s="132">
        <v>44230</v>
      </c>
      <c r="C46">
        <v>233.16816711425781</v>
      </c>
      <c r="D46">
        <v>3830.169921875</v>
      </c>
      <c r="E46">
        <f t="shared" si="0"/>
        <v>1.4571514106784145</v>
      </c>
      <c r="F46">
        <f t="shared" si="1"/>
        <v>0.10087690809532646</v>
      </c>
    </row>
    <row r="47" spans="2:6" x14ac:dyDescent="0.45">
      <c r="B47" s="132">
        <v>44231</v>
      </c>
      <c r="C47">
        <v>232.21821594238281</v>
      </c>
      <c r="D47">
        <v>3871.739990234375</v>
      </c>
      <c r="E47">
        <f t="shared" si="0"/>
        <v>-0.40741031832596253</v>
      </c>
      <c r="F47">
        <f t="shared" si="1"/>
        <v>1.0853322230420792</v>
      </c>
    </row>
    <row r="48" spans="2:6" x14ac:dyDescent="0.45">
      <c r="B48" s="132">
        <v>44232</v>
      </c>
      <c r="C48">
        <v>232.40055847167969</v>
      </c>
      <c r="D48">
        <v>3886.830078125</v>
      </c>
      <c r="E48">
        <f t="shared" si="0"/>
        <v>7.8522061052321845E-2</v>
      </c>
      <c r="F48">
        <f t="shared" si="1"/>
        <v>0.3897495164625342</v>
      </c>
    </row>
    <row r="49" spans="2:6" x14ac:dyDescent="0.45">
      <c r="B49" s="132">
        <v>44235</v>
      </c>
      <c r="C49">
        <v>232.65960693359381</v>
      </c>
      <c r="D49">
        <v>3915.590087890625</v>
      </c>
      <c r="E49">
        <f t="shared" si="0"/>
        <v>0.11146636807488619</v>
      </c>
      <c r="F49">
        <f t="shared" si="1"/>
        <v>0.73993483603735921</v>
      </c>
    </row>
    <row r="50" spans="2:6" x14ac:dyDescent="0.45">
      <c r="B50" s="132">
        <v>44236</v>
      </c>
      <c r="C50">
        <v>233.90704345703119</v>
      </c>
      <c r="D50">
        <v>3911.22998046875</v>
      </c>
      <c r="E50">
        <f t="shared" si="0"/>
        <v>0.53616377156238126</v>
      </c>
      <c r="F50">
        <f t="shared" si="1"/>
        <v>-0.11135249921484514</v>
      </c>
    </row>
    <row r="51" spans="2:6" x14ac:dyDescent="0.45">
      <c r="B51" s="132">
        <v>44237</v>
      </c>
      <c r="C51">
        <v>232.99543762207031</v>
      </c>
      <c r="D51">
        <v>3909.8798828125</v>
      </c>
      <c r="E51">
        <f t="shared" si="0"/>
        <v>-0.38972996344521782</v>
      </c>
      <c r="F51">
        <f t="shared" si="1"/>
        <v>-3.4518493235935477E-2</v>
      </c>
    </row>
    <row r="52" spans="2:6" x14ac:dyDescent="0.45">
      <c r="B52" s="132">
        <v>44238</v>
      </c>
      <c r="C52">
        <v>234.5979309082031</v>
      </c>
      <c r="D52">
        <v>3916.3798828125</v>
      </c>
      <c r="E52">
        <f t="shared" si="0"/>
        <v>0.68777882626702702</v>
      </c>
      <c r="F52">
        <f t="shared" si="1"/>
        <v>0.16624551635393559</v>
      </c>
    </row>
    <row r="53" spans="2:6" x14ac:dyDescent="0.45">
      <c r="B53" s="132">
        <v>44239</v>
      </c>
      <c r="C53">
        <v>235.07765197753909</v>
      </c>
      <c r="D53">
        <v>3934.830078125</v>
      </c>
      <c r="E53">
        <f t="shared" si="0"/>
        <v>0.20448648778734757</v>
      </c>
      <c r="F53">
        <f t="shared" si="1"/>
        <v>0.47110331133788375</v>
      </c>
    </row>
    <row r="54" spans="2:6" x14ac:dyDescent="0.45">
      <c r="B54" s="132">
        <v>44243</v>
      </c>
      <c r="C54">
        <v>233.83985900878909</v>
      </c>
      <c r="D54">
        <v>3932.590087890625</v>
      </c>
      <c r="E54">
        <f t="shared" si="0"/>
        <v>-0.52654642342108149</v>
      </c>
      <c r="F54">
        <f t="shared" si="1"/>
        <v>-5.6927241835114106E-2</v>
      </c>
    </row>
    <row r="55" spans="2:6" x14ac:dyDescent="0.45">
      <c r="B55" s="132">
        <v>44244</v>
      </c>
      <c r="C55">
        <v>234.8592834472656</v>
      </c>
      <c r="D55">
        <v>3931.330078125</v>
      </c>
      <c r="E55">
        <f t="shared" si="0"/>
        <v>0.43594981745100903</v>
      </c>
      <c r="F55">
        <f t="shared" si="1"/>
        <v>-3.2040200922667239E-2</v>
      </c>
    </row>
    <row r="56" spans="2:6" x14ac:dyDescent="0.45">
      <c r="B56" s="132">
        <v>44245</v>
      </c>
      <c r="C56">
        <v>234.46498107910159</v>
      </c>
      <c r="D56">
        <v>3913.969970703125</v>
      </c>
      <c r="E56">
        <f t="shared" si="0"/>
        <v>-0.16788877253495205</v>
      </c>
      <c r="F56">
        <f t="shared" si="1"/>
        <v>-0.44158356273545918</v>
      </c>
    </row>
    <row r="57" spans="2:6" x14ac:dyDescent="0.45">
      <c r="B57" s="132">
        <v>44246</v>
      </c>
      <c r="C57">
        <v>231.7528076171875</v>
      </c>
      <c r="D57">
        <v>3906.7099609375</v>
      </c>
      <c r="E57">
        <f t="shared" si="0"/>
        <v>-1.1567499118339875</v>
      </c>
      <c r="F57">
        <f t="shared" si="1"/>
        <v>-0.18548966445751658</v>
      </c>
    </row>
    <row r="58" spans="2:6" x14ac:dyDescent="0.45">
      <c r="B58" s="132">
        <v>44249</v>
      </c>
      <c r="C58">
        <v>225.53993225097659</v>
      </c>
      <c r="D58">
        <v>3876.5</v>
      </c>
      <c r="E58">
        <f t="shared" si="0"/>
        <v>-2.6808198917155801</v>
      </c>
      <c r="F58">
        <f t="shared" si="1"/>
        <v>-0.77328394581538396</v>
      </c>
    </row>
    <row r="59" spans="2:6" x14ac:dyDescent="0.45">
      <c r="B59" s="132">
        <v>44250</v>
      </c>
      <c r="C59">
        <v>224.34736633300781</v>
      </c>
      <c r="D59">
        <v>3881.3701171875</v>
      </c>
      <c r="E59">
        <f t="shared" si="0"/>
        <v>-0.52876043105383186</v>
      </c>
      <c r="F59">
        <f t="shared" si="1"/>
        <v>0.12563181187927874</v>
      </c>
    </row>
    <row r="60" spans="2:6" x14ac:dyDescent="0.45">
      <c r="B60" s="132">
        <v>44251</v>
      </c>
      <c r="C60">
        <v>225.5783996582031</v>
      </c>
      <c r="D60">
        <v>3925.429931640625</v>
      </c>
      <c r="E60">
        <f t="shared" si="0"/>
        <v>0.54871752912313276</v>
      </c>
      <c r="F60">
        <f t="shared" si="1"/>
        <v>1.1351613765979041</v>
      </c>
    </row>
    <row r="61" spans="2:6" x14ac:dyDescent="0.45">
      <c r="B61" s="132">
        <v>44252</v>
      </c>
      <c r="C61">
        <v>220.23109436035159</v>
      </c>
      <c r="D61">
        <v>3829.340087890625</v>
      </c>
      <c r="E61">
        <f t="shared" si="0"/>
        <v>-2.3704864055927977</v>
      </c>
      <c r="F61">
        <f t="shared" si="1"/>
        <v>-2.4478807525126212</v>
      </c>
    </row>
    <row r="62" spans="2:6" x14ac:dyDescent="0.45">
      <c r="B62" s="132">
        <v>44253</v>
      </c>
      <c r="C62">
        <v>223.4914245605469</v>
      </c>
      <c r="D62">
        <v>3811.14990234375</v>
      </c>
      <c r="E62">
        <f t="shared" si="0"/>
        <v>1.480413203986819</v>
      </c>
      <c r="F62">
        <f t="shared" si="1"/>
        <v>-0.47502141699028444</v>
      </c>
    </row>
    <row r="63" spans="2:6" x14ac:dyDescent="0.45">
      <c r="B63" s="132">
        <v>44256</v>
      </c>
      <c r="C63">
        <v>227.87699890136719</v>
      </c>
      <c r="D63">
        <v>3901.820068359375</v>
      </c>
      <c r="E63">
        <f t="shared" si="0"/>
        <v>1.9623009470916664</v>
      </c>
      <c r="F63">
        <f t="shared" si="1"/>
        <v>2.3790763506800205</v>
      </c>
    </row>
    <row r="64" spans="2:6" x14ac:dyDescent="0.45">
      <c r="B64" s="132">
        <v>44257</v>
      </c>
      <c r="C64">
        <v>224.92439270019531</v>
      </c>
      <c r="D64">
        <v>3870.2900390625</v>
      </c>
      <c r="E64">
        <f t="shared" si="0"/>
        <v>-1.2957017230378121</v>
      </c>
      <c r="F64">
        <f t="shared" si="1"/>
        <v>-0.8080851690870694</v>
      </c>
    </row>
    <row r="65" spans="2:6" x14ac:dyDescent="0.45">
      <c r="B65" s="132">
        <v>44258</v>
      </c>
      <c r="C65">
        <v>218.85577392578119</v>
      </c>
      <c r="D65">
        <v>3819.719970703125</v>
      </c>
      <c r="E65">
        <f t="shared" si="0"/>
        <v>-2.6980705389757609</v>
      </c>
      <c r="F65">
        <f t="shared" si="1"/>
        <v>-1.3066221871998129</v>
      </c>
    </row>
    <row r="66" spans="2:6" x14ac:dyDescent="0.45">
      <c r="B66" s="132">
        <v>44259</v>
      </c>
      <c r="C66">
        <v>218.05751037597659</v>
      </c>
      <c r="D66">
        <v>3768.469970703125</v>
      </c>
      <c r="E66">
        <f t="shared" si="0"/>
        <v>-0.36474411229164838</v>
      </c>
      <c r="F66">
        <f t="shared" si="1"/>
        <v>-1.3417213930100202</v>
      </c>
    </row>
    <row r="67" spans="2:6" x14ac:dyDescent="0.45">
      <c r="B67" s="132">
        <v>44260</v>
      </c>
      <c r="C67">
        <v>222.7412414550781</v>
      </c>
      <c r="D67">
        <v>3841.93994140625</v>
      </c>
      <c r="E67">
        <f t="shared" si="0"/>
        <v>2.1479338505817847</v>
      </c>
      <c r="F67">
        <f t="shared" si="1"/>
        <v>1.949596819778221</v>
      </c>
    </row>
    <row r="68" spans="2:6" x14ac:dyDescent="0.45">
      <c r="B68" s="132">
        <v>44263</v>
      </c>
      <c r="C68">
        <v>218.69227600097659</v>
      </c>
      <c r="D68">
        <v>3821.35009765625</v>
      </c>
      <c r="E68">
        <f t="shared" si="0"/>
        <v>-1.8177888511580753</v>
      </c>
      <c r="F68">
        <f t="shared" si="1"/>
        <v>-0.53592310301612267</v>
      </c>
    </row>
    <row r="69" spans="2:6" x14ac:dyDescent="0.45">
      <c r="B69" s="132">
        <v>44264</v>
      </c>
      <c r="C69">
        <v>224.8378601074219</v>
      </c>
      <c r="D69">
        <v>3875.43994140625</v>
      </c>
      <c r="E69">
        <f t="shared" si="0"/>
        <v>2.8101514231887448</v>
      </c>
      <c r="F69">
        <f t="shared" si="1"/>
        <v>1.4154642303822129</v>
      </c>
    </row>
    <row r="70" spans="2:6" x14ac:dyDescent="0.45">
      <c r="B70" s="132">
        <v>44265</v>
      </c>
      <c r="C70">
        <v>223.52989196777341</v>
      </c>
      <c r="D70">
        <v>3898.81005859375</v>
      </c>
      <c r="E70">
        <f t="shared" si="0"/>
        <v>-0.58173838650820153</v>
      </c>
      <c r="F70">
        <f t="shared" si="1"/>
        <v>0.60303133427013211</v>
      </c>
    </row>
    <row r="71" spans="2:6" x14ac:dyDescent="0.45">
      <c r="B71" s="132">
        <v>44266</v>
      </c>
      <c r="C71">
        <v>228.05973815917969</v>
      </c>
      <c r="D71">
        <v>3939.340087890625</v>
      </c>
      <c r="E71">
        <f t="shared" si="0"/>
        <v>2.0265057847651757</v>
      </c>
      <c r="F71">
        <f t="shared" si="1"/>
        <v>1.0395487004435822</v>
      </c>
    </row>
    <row r="72" spans="2:6" x14ac:dyDescent="0.45">
      <c r="B72" s="132">
        <v>44267</v>
      </c>
      <c r="C72">
        <v>226.73252868652341</v>
      </c>
      <c r="D72">
        <v>3943.340087890625</v>
      </c>
      <c r="E72">
        <f t="shared" ref="E72:E135" si="2">((C72/C71)-1)*100</f>
        <v>-0.58195693960234607</v>
      </c>
      <c r="F72">
        <f t="shared" ref="F72:F135" si="3">((D72/D71)-1)*100</f>
        <v>0.10153984958789497</v>
      </c>
    </row>
    <row r="73" spans="2:6" x14ac:dyDescent="0.45">
      <c r="B73" s="132">
        <v>44270</v>
      </c>
      <c r="C73">
        <v>225.82844543457031</v>
      </c>
      <c r="D73">
        <v>3968.93994140625</v>
      </c>
      <c r="E73">
        <f t="shared" si="2"/>
        <v>-0.3987443959587611</v>
      </c>
      <c r="F73">
        <f t="shared" si="3"/>
        <v>0.64919213014971167</v>
      </c>
    </row>
    <row r="74" spans="2:6" x14ac:dyDescent="0.45">
      <c r="B74" s="132">
        <v>44271</v>
      </c>
      <c r="C74">
        <v>228.6175537109375</v>
      </c>
      <c r="D74">
        <v>3962.7099609375</v>
      </c>
      <c r="E74">
        <f t="shared" si="2"/>
        <v>1.2350562264200171</v>
      </c>
      <c r="F74">
        <f t="shared" si="3"/>
        <v>-0.15696837343783798</v>
      </c>
    </row>
    <row r="75" spans="2:6" x14ac:dyDescent="0.45">
      <c r="B75" s="132">
        <v>44272</v>
      </c>
      <c r="C75">
        <v>227.97315979003909</v>
      </c>
      <c r="D75">
        <v>3974.1201171875</v>
      </c>
      <c r="E75">
        <f t="shared" si="2"/>
        <v>-0.28186546065188667</v>
      </c>
      <c r="F75">
        <f t="shared" si="3"/>
        <v>0.28793821305308498</v>
      </c>
    </row>
    <row r="76" spans="2:6" x14ac:dyDescent="0.45">
      <c r="B76" s="132">
        <v>44273</v>
      </c>
      <c r="C76">
        <v>221.8948669433594</v>
      </c>
      <c r="D76">
        <v>3915.4599609375</v>
      </c>
      <c r="E76">
        <f t="shared" si="2"/>
        <v>-2.6662317846003147</v>
      </c>
      <c r="F76">
        <f t="shared" si="3"/>
        <v>-1.4760539319459198</v>
      </c>
    </row>
    <row r="77" spans="2:6" x14ac:dyDescent="0.45">
      <c r="B77" s="132">
        <v>44274</v>
      </c>
      <c r="C77">
        <v>221.5390930175781</v>
      </c>
      <c r="D77">
        <v>3913.10009765625</v>
      </c>
      <c r="E77">
        <f t="shared" si="2"/>
        <v>-0.16033445508774058</v>
      </c>
      <c r="F77">
        <f t="shared" si="3"/>
        <v>-6.0270397470363335E-2</v>
      </c>
    </row>
    <row r="78" spans="2:6" x14ac:dyDescent="0.45">
      <c r="B78" s="132">
        <v>44277</v>
      </c>
      <c r="C78">
        <v>226.9633483886719</v>
      </c>
      <c r="D78">
        <v>3940.590087890625</v>
      </c>
      <c r="E78">
        <f t="shared" si="2"/>
        <v>2.4484416259045627</v>
      </c>
      <c r="F78">
        <f t="shared" si="3"/>
        <v>0.7025118077311765</v>
      </c>
    </row>
    <row r="79" spans="2:6" x14ac:dyDescent="0.45">
      <c r="B79" s="132">
        <v>44278</v>
      </c>
      <c r="C79">
        <v>228.49250793457031</v>
      </c>
      <c r="D79">
        <v>3910.52001953125</v>
      </c>
      <c r="E79">
        <f t="shared" si="2"/>
        <v>0.67374735029011035</v>
      </c>
      <c r="F79">
        <f t="shared" si="3"/>
        <v>-0.76308541839406052</v>
      </c>
    </row>
    <row r="80" spans="2:6" x14ac:dyDescent="0.45">
      <c r="B80" s="132">
        <v>44279</v>
      </c>
      <c r="C80">
        <v>226.45361328125</v>
      </c>
      <c r="D80">
        <v>3889.139892578125</v>
      </c>
      <c r="E80">
        <f t="shared" si="2"/>
        <v>-0.89232451065930363</v>
      </c>
      <c r="F80">
        <f t="shared" si="3"/>
        <v>-0.546733601831495</v>
      </c>
    </row>
    <row r="81" spans="2:6" x14ac:dyDescent="0.45">
      <c r="B81" s="132">
        <v>44280</v>
      </c>
      <c r="C81">
        <v>223.45292663574219</v>
      </c>
      <c r="D81">
        <v>3909.52001953125</v>
      </c>
      <c r="E81">
        <f t="shared" si="2"/>
        <v>-1.3250778391338924</v>
      </c>
      <c r="F81">
        <f t="shared" si="3"/>
        <v>0.52402658469594687</v>
      </c>
    </row>
    <row r="82" spans="2:6" x14ac:dyDescent="0.45">
      <c r="B82" s="132">
        <v>44281</v>
      </c>
      <c r="C82">
        <v>227.43458557128909</v>
      </c>
      <c r="D82">
        <v>3974.5400390625</v>
      </c>
      <c r="E82">
        <f t="shared" si="2"/>
        <v>1.7818781769806558</v>
      </c>
      <c r="F82">
        <f t="shared" si="3"/>
        <v>1.6631202604519668</v>
      </c>
    </row>
    <row r="83" spans="2:6" x14ac:dyDescent="0.45">
      <c r="B83" s="132">
        <v>44284</v>
      </c>
      <c r="C83">
        <v>226.24205017089841</v>
      </c>
      <c r="D83">
        <v>3971.090087890625</v>
      </c>
      <c r="E83">
        <f t="shared" si="2"/>
        <v>-0.52434215200610756</v>
      </c>
      <c r="F83">
        <f t="shared" si="3"/>
        <v>-8.6801268523362118E-2</v>
      </c>
    </row>
    <row r="84" spans="2:6" x14ac:dyDescent="0.45">
      <c r="B84" s="132">
        <v>44285</v>
      </c>
      <c r="C84">
        <v>222.981689453125</v>
      </c>
      <c r="D84">
        <v>3958.550048828125</v>
      </c>
      <c r="E84">
        <f t="shared" si="2"/>
        <v>-1.441094047419833</v>
      </c>
      <c r="F84">
        <f t="shared" si="3"/>
        <v>-0.31578329337678124</v>
      </c>
    </row>
    <row r="85" spans="2:6" x14ac:dyDescent="0.45">
      <c r="B85" s="132">
        <v>44286</v>
      </c>
      <c r="C85">
        <v>226.75175476074219</v>
      </c>
      <c r="D85">
        <v>3972.889892578125</v>
      </c>
      <c r="E85">
        <f t="shared" si="2"/>
        <v>1.6907510732668163</v>
      </c>
      <c r="F85">
        <f t="shared" si="3"/>
        <v>0.36224990395776757</v>
      </c>
    </row>
    <row r="86" spans="2:6" x14ac:dyDescent="0.45">
      <c r="B86" s="132">
        <v>44287</v>
      </c>
      <c r="C86">
        <v>233.08001708984381</v>
      </c>
      <c r="D86">
        <v>4019.8701171875</v>
      </c>
      <c r="E86">
        <f t="shared" si="2"/>
        <v>2.790832792354303</v>
      </c>
      <c r="F86">
        <f t="shared" si="3"/>
        <v>1.1825201774944727</v>
      </c>
    </row>
    <row r="87" spans="2:6" x14ac:dyDescent="0.45">
      <c r="B87" s="132">
        <v>44291</v>
      </c>
      <c r="C87">
        <v>239.54301452636719</v>
      </c>
      <c r="D87">
        <v>4077.909912109375</v>
      </c>
      <c r="E87">
        <f t="shared" si="2"/>
        <v>2.7728663817765842</v>
      </c>
      <c r="F87">
        <f t="shared" si="3"/>
        <v>1.4438226417743616</v>
      </c>
    </row>
    <row r="88" spans="2:6" x14ac:dyDescent="0.45">
      <c r="B88" s="132">
        <v>44292</v>
      </c>
      <c r="C88">
        <v>238.37934875488281</v>
      </c>
      <c r="D88">
        <v>4073.93994140625</v>
      </c>
      <c r="E88">
        <f t="shared" si="2"/>
        <v>-0.48578572570159295</v>
      </c>
      <c r="F88">
        <f t="shared" si="3"/>
        <v>-9.7353075195116823E-2</v>
      </c>
    </row>
    <row r="89" spans="2:6" x14ac:dyDescent="0.45">
      <c r="B89" s="132">
        <v>44293</v>
      </c>
      <c r="C89">
        <v>240.34124755859381</v>
      </c>
      <c r="D89">
        <v>4079.949951171875</v>
      </c>
      <c r="E89">
        <f t="shared" si="2"/>
        <v>0.82301542224967328</v>
      </c>
      <c r="F89">
        <f t="shared" si="3"/>
        <v>0.1475232784985625</v>
      </c>
    </row>
    <row r="90" spans="2:6" x14ac:dyDescent="0.45">
      <c r="B90" s="132">
        <v>44294</v>
      </c>
      <c r="C90">
        <v>243.56312561035159</v>
      </c>
      <c r="D90">
        <v>4097.169921875</v>
      </c>
      <c r="E90">
        <f t="shared" si="2"/>
        <v>1.3405431171244597</v>
      </c>
      <c r="F90">
        <f t="shared" si="3"/>
        <v>0.42206328286402695</v>
      </c>
    </row>
    <row r="91" spans="2:6" x14ac:dyDescent="0.45">
      <c r="B91" s="132">
        <v>44295</v>
      </c>
      <c r="C91">
        <v>246.06365966796881</v>
      </c>
      <c r="D91">
        <v>4128.7998046875</v>
      </c>
      <c r="E91">
        <f t="shared" si="2"/>
        <v>1.0266472198330767</v>
      </c>
      <c r="F91">
        <f t="shared" si="3"/>
        <v>0.77199343487381888</v>
      </c>
    </row>
    <row r="92" spans="2:6" x14ac:dyDescent="0.45">
      <c r="B92" s="132">
        <v>44298</v>
      </c>
      <c r="C92">
        <v>246.12135314941409</v>
      </c>
      <c r="D92">
        <v>4127.990234375</v>
      </c>
      <c r="E92">
        <f t="shared" si="2"/>
        <v>2.3446567251395045E-2</v>
      </c>
      <c r="F92">
        <f t="shared" si="3"/>
        <v>-1.9607884876882142E-2</v>
      </c>
    </row>
    <row r="93" spans="2:6" x14ac:dyDescent="0.45">
      <c r="B93" s="132">
        <v>44299</v>
      </c>
      <c r="C93">
        <v>248.6026916503906</v>
      </c>
      <c r="D93">
        <v>4141.58984375</v>
      </c>
      <c r="E93">
        <f t="shared" si="2"/>
        <v>1.0081768482193221</v>
      </c>
      <c r="F93">
        <f t="shared" si="3"/>
        <v>0.32944868090414303</v>
      </c>
    </row>
    <row r="94" spans="2:6" x14ac:dyDescent="0.45">
      <c r="B94" s="132">
        <v>44300</v>
      </c>
      <c r="C94">
        <v>245.8136291503906</v>
      </c>
      <c r="D94">
        <v>4124.66015625</v>
      </c>
      <c r="E94">
        <f t="shared" si="2"/>
        <v>-1.1218955359993621</v>
      </c>
      <c r="F94">
        <f t="shared" si="3"/>
        <v>-0.40877267278285334</v>
      </c>
    </row>
    <row r="95" spans="2:6" x14ac:dyDescent="0.45">
      <c r="B95" s="132">
        <v>44301</v>
      </c>
      <c r="C95">
        <v>249.5740661621094</v>
      </c>
      <c r="D95">
        <v>4170.419921875</v>
      </c>
      <c r="E95">
        <f t="shared" si="2"/>
        <v>1.5297919097147172</v>
      </c>
      <c r="F95">
        <f t="shared" si="3"/>
        <v>1.109419052516647</v>
      </c>
    </row>
    <row r="96" spans="2:6" x14ac:dyDescent="0.45">
      <c r="B96" s="132">
        <v>44302</v>
      </c>
      <c r="C96">
        <v>250.76658630371091</v>
      </c>
      <c r="D96">
        <v>4185.47021484375</v>
      </c>
      <c r="E96">
        <f t="shared" si="2"/>
        <v>0.47782213911076177</v>
      </c>
      <c r="F96">
        <f t="shared" si="3"/>
        <v>0.36088195555097347</v>
      </c>
    </row>
    <row r="97" spans="2:6" x14ac:dyDescent="0.45">
      <c r="B97" s="132">
        <v>44305</v>
      </c>
      <c r="C97">
        <v>248.8431091308594</v>
      </c>
      <c r="D97">
        <v>4163.259765625</v>
      </c>
      <c r="E97">
        <f t="shared" si="2"/>
        <v>-0.7670388631928482</v>
      </c>
      <c r="F97">
        <f t="shared" si="3"/>
        <v>-0.53065600944860458</v>
      </c>
    </row>
    <row r="98" spans="2:6" x14ac:dyDescent="0.45">
      <c r="B98" s="132">
        <v>44306</v>
      </c>
      <c r="C98">
        <v>248.38145446777341</v>
      </c>
      <c r="D98">
        <v>4134.93994140625</v>
      </c>
      <c r="E98">
        <f t="shared" si="2"/>
        <v>-0.18552037253449782</v>
      </c>
      <c r="F98">
        <f t="shared" si="3"/>
        <v>-0.68023197717759221</v>
      </c>
    </row>
    <row r="99" spans="2:6" x14ac:dyDescent="0.45">
      <c r="B99" s="132">
        <v>44307</v>
      </c>
      <c r="C99">
        <v>250.61271667480469</v>
      </c>
      <c r="D99">
        <v>4173.419921875</v>
      </c>
      <c r="E99">
        <f t="shared" si="2"/>
        <v>0.89832077512081998</v>
      </c>
      <c r="F99">
        <f t="shared" si="3"/>
        <v>0.93060554721535738</v>
      </c>
    </row>
    <row r="100" spans="2:6" x14ac:dyDescent="0.45">
      <c r="B100" s="132">
        <v>44308</v>
      </c>
      <c r="C100">
        <v>247.3332214355469</v>
      </c>
      <c r="D100">
        <v>4134.97998046875</v>
      </c>
      <c r="E100">
        <f t="shared" si="2"/>
        <v>-1.3085909138095597</v>
      </c>
      <c r="F100">
        <f t="shared" si="3"/>
        <v>-0.9210657476561801</v>
      </c>
    </row>
    <row r="101" spans="2:6" x14ac:dyDescent="0.45">
      <c r="B101" s="132">
        <v>44309</v>
      </c>
      <c r="C101">
        <v>251.16094970703119</v>
      </c>
      <c r="D101">
        <v>4180.169921875</v>
      </c>
      <c r="E101">
        <f t="shared" si="2"/>
        <v>1.5475997317577317</v>
      </c>
      <c r="F101">
        <f t="shared" si="3"/>
        <v>1.0928696540176919</v>
      </c>
    </row>
    <row r="102" spans="2:6" x14ac:dyDescent="0.45">
      <c r="B102" s="132">
        <v>44312</v>
      </c>
      <c r="C102">
        <v>251.54566955566409</v>
      </c>
      <c r="D102">
        <v>4187.6201171875</v>
      </c>
      <c r="E102">
        <f t="shared" si="2"/>
        <v>0.15317661805374083</v>
      </c>
      <c r="F102">
        <f t="shared" si="3"/>
        <v>0.1782270924804541</v>
      </c>
    </row>
    <row r="103" spans="2:6" x14ac:dyDescent="0.45">
      <c r="B103" s="132">
        <v>44313</v>
      </c>
      <c r="C103">
        <v>251.94960021972659</v>
      </c>
      <c r="D103">
        <v>4186.72021484375</v>
      </c>
      <c r="E103">
        <f t="shared" si="2"/>
        <v>0.16057945452847555</v>
      </c>
      <c r="F103">
        <f t="shared" si="3"/>
        <v>-2.1489588801437698E-2</v>
      </c>
    </row>
    <row r="104" spans="2:6" x14ac:dyDescent="0.45">
      <c r="B104" s="132">
        <v>44314</v>
      </c>
      <c r="C104">
        <v>244.822998046875</v>
      </c>
      <c r="D104">
        <v>4183.18017578125</v>
      </c>
      <c r="E104">
        <f t="shared" si="2"/>
        <v>-2.828582449282091</v>
      </c>
      <c r="F104">
        <f t="shared" si="3"/>
        <v>-8.4553991688984809E-2</v>
      </c>
    </row>
    <row r="105" spans="2:6" x14ac:dyDescent="0.45">
      <c r="B105" s="132">
        <v>44315</v>
      </c>
      <c r="C105">
        <v>242.85142517089841</v>
      </c>
      <c r="D105">
        <v>4211.47021484375</v>
      </c>
      <c r="E105">
        <f t="shared" si="2"/>
        <v>-0.80530542134734651</v>
      </c>
      <c r="F105">
        <f t="shared" si="3"/>
        <v>0.67628067340457232</v>
      </c>
    </row>
    <row r="106" spans="2:6" x14ac:dyDescent="0.45">
      <c r="B106" s="132">
        <v>44316</v>
      </c>
      <c r="C106">
        <v>242.53401184082031</v>
      </c>
      <c r="D106">
        <v>4181.169921875</v>
      </c>
      <c r="E106">
        <f t="shared" si="2"/>
        <v>-0.13070268369013149</v>
      </c>
      <c r="F106">
        <f t="shared" si="3"/>
        <v>-0.71947066993264253</v>
      </c>
    </row>
    <row r="107" spans="2:6" x14ac:dyDescent="0.45">
      <c r="B107" s="132">
        <v>44319</v>
      </c>
      <c r="C107">
        <v>242.22633361816409</v>
      </c>
      <c r="D107">
        <v>4192.66015625</v>
      </c>
      <c r="E107">
        <f t="shared" si="2"/>
        <v>-0.12685982486372316</v>
      </c>
      <c r="F107">
        <f t="shared" si="3"/>
        <v>0.27480907472536842</v>
      </c>
    </row>
    <row r="108" spans="2:6" x14ac:dyDescent="0.45">
      <c r="B108" s="132">
        <v>44320</v>
      </c>
      <c r="C108">
        <v>238.31199645996091</v>
      </c>
      <c r="D108">
        <v>4164.66015625</v>
      </c>
      <c r="E108">
        <f t="shared" si="2"/>
        <v>-1.6159833242464838</v>
      </c>
      <c r="F108">
        <f t="shared" si="3"/>
        <v>-0.6678337608227225</v>
      </c>
    </row>
    <row r="109" spans="2:6" x14ac:dyDescent="0.45">
      <c r="B109" s="132">
        <v>44321</v>
      </c>
      <c r="C109">
        <v>237.04246520996091</v>
      </c>
      <c r="D109">
        <v>4167.58984375</v>
      </c>
      <c r="E109">
        <f t="shared" si="2"/>
        <v>-0.53271814632013248</v>
      </c>
      <c r="F109">
        <f t="shared" si="3"/>
        <v>7.0346376176777525E-2</v>
      </c>
    </row>
    <row r="110" spans="2:6" x14ac:dyDescent="0.45">
      <c r="B110" s="132">
        <v>44322</v>
      </c>
      <c r="C110">
        <v>240.1777648925781</v>
      </c>
      <c r="D110">
        <v>4201.6201171875</v>
      </c>
      <c r="E110">
        <f t="shared" si="2"/>
        <v>1.322674264225232</v>
      </c>
      <c r="F110">
        <f t="shared" si="3"/>
        <v>0.81654564660518236</v>
      </c>
    </row>
    <row r="111" spans="2:6" x14ac:dyDescent="0.45">
      <c r="B111" s="132">
        <v>44323</v>
      </c>
      <c r="C111">
        <v>242.8033142089844</v>
      </c>
      <c r="D111">
        <v>4232.60009765625</v>
      </c>
      <c r="E111">
        <f t="shared" si="2"/>
        <v>1.0931691855741166</v>
      </c>
      <c r="F111">
        <f t="shared" si="3"/>
        <v>0.7373341616968343</v>
      </c>
    </row>
    <row r="112" spans="2:6" x14ac:dyDescent="0.45">
      <c r="B112" s="132">
        <v>44326</v>
      </c>
      <c r="C112">
        <v>237.72529602050781</v>
      </c>
      <c r="D112">
        <v>4188.43017578125</v>
      </c>
      <c r="E112">
        <f t="shared" si="2"/>
        <v>-2.0914122218718467</v>
      </c>
      <c r="F112">
        <f t="shared" si="3"/>
        <v>-1.0435647322188157</v>
      </c>
    </row>
    <row r="113" spans="2:6" x14ac:dyDescent="0.45">
      <c r="B113" s="132">
        <v>44327</v>
      </c>
      <c r="C113">
        <v>236.81159973144531</v>
      </c>
      <c r="D113">
        <v>4152.10009765625</v>
      </c>
      <c r="E113">
        <f t="shared" si="2"/>
        <v>-0.38434962722001531</v>
      </c>
      <c r="F113">
        <f t="shared" si="3"/>
        <v>-0.867391280271812</v>
      </c>
    </row>
    <row r="114" spans="2:6" x14ac:dyDescent="0.45">
      <c r="B114" s="132">
        <v>44328</v>
      </c>
      <c r="C114">
        <v>229.85821533203119</v>
      </c>
      <c r="D114">
        <v>4063.0400390625</v>
      </c>
      <c r="E114">
        <f t="shared" si="2"/>
        <v>-2.9362516056221755</v>
      </c>
      <c r="F114">
        <f t="shared" si="3"/>
        <v>-2.1449400664502738</v>
      </c>
    </row>
    <row r="115" spans="2:6" x14ac:dyDescent="0.45">
      <c r="B115" s="132">
        <v>44329</v>
      </c>
      <c r="C115">
        <v>233.73405456542969</v>
      </c>
      <c r="D115">
        <v>4112.5</v>
      </c>
      <c r="E115">
        <f t="shared" si="2"/>
        <v>1.6861869512907468</v>
      </c>
      <c r="F115">
        <f t="shared" si="3"/>
        <v>1.2173141406923493</v>
      </c>
    </row>
    <row r="116" spans="2:6" x14ac:dyDescent="0.45">
      <c r="B116" s="132">
        <v>44330</v>
      </c>
      <c r="C116">
        <v>238.65821838378909</v>
      </c>
      <c r="D116">
        <v>4173.85009765625</v>
      </c>
      <c r="E116">
        <f t="shared" si="2"/>
        <v>2.1067378596219877</v>
      </c>
      <c r="F116">
        <f t="shared" si="3"/>
        <v>1.4917956876899785</v>
      </c>
    </row>
    <row r="117" spans="2:6" x14ac:dyDescent="0.45">
      <c r="B117" s="132">
        <v>44333</v>
      </c>
      <c r="C117">
        <v>235.80181884765619</v>
      </c>
      <c r="D117">
        <v>4163.2900390625</v>
      </c>
      <c r="E117">
        <f t="shared" si="2"/>
        <v>-1.1968578142737551</v>
      </c>
      <c r="F117">
        <f t="shared" si="3"/>
        <v>-0.25300521932207776</v>
      </c>
    </row>
    <row r="118" spans="2:6" x14ac:dyDescent="0.45">
      <c r="B118" s="132">
        <v>44334</v>
      </c>
      <c r="C118">
        <v>233.78211975097659</v>
      </c>
      <c r="D118">
        <v>4127.830078125</v>
      </c>
      <c r="E118">
        <f t="shared" si="2"/>
        <v>-0.85652396853836965</v>
      </c>
      <c r="F118">
        <f t="shared" si="3"/>
        <v>-0.85172929593646529</v>
      </c>
    </row>
    <row r="119" spans="2:6" x14ac:dyDescent="0.45">
      <c r="B119" s="132">
        <v>44335</v>
      </c>
      <c r="C119">
        <v>234.36048889160159</v>
      </c>
      <c r="D119">
        <v>4115.68017578125</v>
      </c>
      <c r="E119">
        <f t="shared" si="2"/>
        <v>0.24739665344855055</v>
      </c>
      <c r="F119">
        <f t="shared" si="3"/>
        <v>-0.29434114568177572</v>
      </c>
    </row>
    <row r="120" spans="2:6" x14ac:dyDescent="0.45">
      <c r="B120" s="132">
        <v>44336</v>
      </c>
      <c r="C120">
        <v>237.59942626953119</v>
      </c>
      <c r="D120">
        <v>4159.1201171875</v>
      </c>
      <c r="E120">
        <f t="shared" si="2"/>
        <v>1.3820321818101888</v>
      </c>
      <c r="F120">
        <f t="shared" si="3"/>
        <v>1.0554741756143349</v>
      </c>
    </row>
    <row r="121" spans="2:6" x14ac:dyDescent="0.45">
      <c r="B121" s="132">
        <v>44337</v>
      </c>
      <c r="C121">
        <v>236.33665466308591</v>
      </c>
      <c r="D121">
        <v>4155.85986328125</v>
      </c>
      <c r="E121">
        <f t="shared" si="2"/>
        <v>-0.53147081466973223</v>
      </c>
      <c r="F121">
        <f t="shared" si="3"/>
        <v>-7.8388068014123569E-2</v>
      </c>
    </row>
    <row r="122" spans="2:6" x14ac:dyDescent="0.45">
      <c r="B122" s="132">
        <v>44340</v>
      </c>
      <c r="C122">
        <v>241.74452209472659</v>
      </c>
      <c r="D122">
        <v>4197.0498046875</v>
      </c>
      <c r="E122">
        <f t="shared" si="2"/>
        <v>2.2882051196628561</v>
      </c>
      <c r="F122">
        <f t="shared" si="3"/>
        <v>0.9911292190138532</v>
      </c>
    </row>
    <row r="123" spans="2:6" x14ac:dyDescent="0.45">
      <c r="B123" s="132">
        <v>44341</v>
      </c>
      <c r="C123">
        <v>242.65069580078119</v>
      </c>
      <c r="D123">
        <v>4188.1298828125</v>
      </c>
      <c r="E123">
        <f t="shared" si="2"/>
        <v>0.37484766901958455</v>
      </c>
      <c r="F123">
        <f t="shared" si="3"/>
        <v>-0.21252837802967495</v>
      </c>
    </row>
    <row r="124" spans="2:6" x14ac:dyDescent="0.45">
      <c r="B124" s="132">
        <v>44342</v>
      </c>
      <c r="C124">
        <v>242.428955078125</v>
      </c>
      <c r="D124">
        <v>4195.990234375</v>
      </c>
      <c r="E124">
        <f t="shared" si="2"/>
        <v>-9.138268568503749E-2</v>
      </c>
      <c r="F124">
        <f t="shared" si="3"/>
        <v>0.18768165702687245</v>
      </c>
    </row>
    <row r="125" spans="2:6" x14ac:dyDescent="0.45">
      <c r="B125" s="132">
        <v>44343</v>
      </c>
      <c r="C125">
        <v>240.3274841308594</v>
      </c>
      <c r="D125">
        <v>4200.8798828125</v>
      </c>
      <c r="E125">
        <f t="shared" si="2"/>
        <v>-0.86683991464153731</v>
      </c>
      <c r="F125">
        <f t="shared" si="3"/>
        <v>0.11653145418315525</v>
      </c>
    </row>
    <row r="126" spans="2:6" x14ac:dyDescent="0.45">
      <c r="B126" s="132">
        <v>44344</v>
      </c>
      <c r="C126">
        <v>240.68412780761719</v>
      </c>
      <c r="D126">
        <v>4204.10986328125</v>
      </c>
      <c r="E126">
        <f t="shared" si="2"/>
        <v>0.14839903893955064</v>
      </c>
      <c r="F126">
        <f t="shared" si="3"/>
        <v>7.6888189114021621E-2</v>
      </c>
    </row>
    <row r="127" spans="2:6" x14ac:dyDescent="0.45">
      <c r="B127" s="132">
        <v>44348</v>
      </c>
      <c r="C127">
        <v>238.4862976074219</v>
      </c>
      <c r="D127">
        <v>4202.0400390625</v>
      </c>
      <c r="E127">
        <f t="shared" si="2"/>
        <v>-0.9131595922902136</v>
      </c>
      <c r="F127">
        <f t="shared" si="3"/>
        <v>-4.9233352268640562E-2</v>
      </c>
    </row>
    <row r="128" spans="2:6" x14ac:dyDescent="0.45">
      <c r="B128" s="132">
        <v>44349</v>
      </c>
      <c r="C128">
        <v>238.3899230957031</v>
      </c>
      <c r="D128">
        <v>4208.1201171875</v>
      </c>
      <c r="E128">
        <f t="shared" si="2"/>
        <v>-4.0410922005029715E-2</v>
      </c>
      <c r="F128">
        <f t="shared" si="3"/>
        <v>0.14469348384307246</v>
      </c>
    </row>
    <row r="129" spans="2:6" x14ac:dyDescent="0.45">
      <c r="B129" s="132">
        <v>44350</v>
      </c>
      <c r="C129">
        <v>236.8572082519531</v>
      </c>
      <c r="D129">
        <v>4192.85009765625</v>
      </c>
      <c r="E129">
        <f t="shared" si="2"/>
        <v>-0.64294447678255873</v>
      </c>
      <c r="F129">
        <f t="shared" si="3"/>
        <v>-0.36287033416374515</v>
      </c>
    </row>
    <row r="130" spans="2:6" x14ac:dyDescent="0.45">
      <c r="B130" s="132">
        <v>44351</v>
      </c>
      <c r="C130">
        <v>241.754150390625</v>
      </c>
      <c r="D130">
        <v>4229.89013671875</v>
      </c>
      <c r="E130">
        <f t="shared" si="2"/>
        <v>2.0674659533531425</v>
      </c>
      <c r="F130">
        <f t="shared" si="3"/>
        <v>0.88340957105059736</v>
      </c>
    </row>
    <row r="131" spans="2:6" x14ac:dyDescent="0.45">
      <c r="B131" s="132">
        <v>44354</v>
      </c>
      <c r="C131">
        <v>244.6653747558594</v>
      </c>
      <c r="D131">
        <v>4226.52001953125</v>
      </c>
      <c r="E131">
        <f t="shared" si="2"/>
        <v>1.2042086394506324</v>
      </c>
      <c r="F131">
        <f t="shared" si="3"/>
        <v>-7.9673870445118311E-2</v>
      </c>
    </row>
    <row r="132" spans="2:6" x14ac:dyDescent="0.45">
      <c r="B132" s="132">
        <v>44355</v>
      </c>
      <c r="C132">
        <v>243.47003173828119</v>
      </c>
      <c r="D132">
        <v>4227.259765625</v>
      </c>
      <c r="E132">
        <f t="shared" si="2"/>
        <v>-0.48856239619969877</v>
      </c>
      <c r="F132">
        <f t="shared" si="3"/>
        <v>1.7502486450582388E-2</v>
      </c>
    </row>
    <row r="133" spans="2:6" x14ac:dyDescent="0.45">
      <c r="B133" s="132">
        <v>44356</v>
      </c>
      <c r="C133">
        <v>244.4532775878906</v>
      </c>
      <c r="D133">
        <v>4219.5498046875</v>
      </c>
      <c r="E133">
        <f t="shared" si="2"/>
        <v>0.40384676610480952</v>
      </c>
      <c r="F133">
        <f t="shared" si="3"/>
        <v>-0.18238673194856947</v>
      </c>
    </row>
    <row r="134" spans="2:6" x14ac:dyDescent="0.45">
      <c r="B134" s="132">
        <v>44357</v>
      </c>
      <c r="C134">
        <v>247.9717712402344</v>
      </c>
      <c r="D134">
        <v>4239.18017578125</v>
      </c>
      <c r="E134">
        <f t="shared" si="2"/>
        <v>1.43933175577029</v>
      </c>
      <c r="F134">
        <f t="shared" si="3"/>
        <v>0.46522430122621916</v>
      </c>
    </row>
    <row r="135" spans="2:6" x14ac:dyDescent="0.45">
      <c r="B135" s="132">
        <v>44358</v>
      </c>
      <c r="C135">
        <v>248.59834289550781</v>
      </c>
      <c r="D135">
        <v>4247.43994140625</v>
      </c>
      <c r="E135">
        <f t="shared" si="2"/>
        <v>0.25267862230431426</v>
      </c>
      <c r="F135">
        <f t="shared" si="3"/>
        <v>0.19484346695590737</v>
      </c>
    </row>
    <row r="136" spans="2:6" x14ac:dyDescent="0.45">
      <c r="B136" s="132">
        <v>44361</v>
      </c>
      <c r="C136">
        <v>250.52629089355469</v>
      </c>
      <c r="D136">
        <v>4255.14990234375</v>
      </c>
      <c r="E136">
        <f t="shared" ref="E136:E199" si="4">((C136/C135)-1)*100</f>
        <v>0.77552729257621689</v>
      </c>
      <c r="F136">
        <f t="shared" ref="F136:F199" si="5">((D136/D135)-1)*100</f>
        <v>0.18152018730952513</v>
      </c>
    </row>
    <row r="137" spans="2:6" x14ac:dyDescent="0.45">
      <c r="B137" s="132">
        <v>44362</v>
      </c>
      <c r="C137">
        <v>249.0513916015625</v>
      </c>
      <c r="D137">
        <v>4246.58984375</v>
      </c>
      <c r="E137">
        <f t="shared" si="4"/>
        <v>-0.58872036413090134</v>
      </c>
      <c r="F137">
        <f t="shared" si="5"/>
        <v>-0.20116937805257917</v>
      </c>
    </row>
    <row r="138" spans="2:6" x14ac:dyDescent="0.45">
      <c r="B138" s="132">
        <v>44363</v>
      </c>
      <c r="C138">
        <v>248.10673522949219</v>
      </c>
      <c r="D138">
        <v>4223.7001953125</v>
      </c>
      <c r="E138">
        <f t="shared" si="4"/>
        <v>-0.37930178426048844</v>
      </c>
      <c r="F138">
        <f t="shared" si="5"/>
        <v>-0.53901246128557068</v>
      </c>
    </row>
    <row r="139" spans="2:6" x14ac:dyDescent="0.45">
      <c r="B139" s="132">
        <v>44364</v>
      </c>
      <c r="C139">
        <v>251.49995422363281</v>
      </c>
      <c r="D139">
        <v>4221.85986328125</v>
      </c>
      <c r="E139">
        <f t="shared" si="4"/>
        <v>1.3676448529307272</v>
      </c>
      <c r="F139">
        <f t="shared" si="5"/>
        <v>-4.3571559205179966E-2</v>
      </c>
    </row>
    <row r="140" spans="2:6" x14ac:dyDescent="0.45">
      <c r="B140" s="132">
        <v>44365</v>
      </c>
      <c r="C140">
        <v>250.0828857421875</v>
      </c>
      <c r="D140">
        <v>4166.4501953125</v>
      </c>
      <c r="E140">
        <f t="shared" si="4"/>
        <v>-0.56344681485915871</v>
      </c>
      <c r="F140">
        <f t="shared" si="5"/>
        <v>-1.3124468779900589</v>
      </c>
    </row>
    <row r="141" spans="2:6" x14ac:dyDescent="0.45">
      <c r="B141" s="132">
        <v>44368</v>
      </c>
      <c r="C141">
        <v>253.16755676269531</v>
      </c>
      <c r="D141">
        <v>4224.7900390625</v>
      </c>
      <c r="E141">
        <f t="shared" si="4"/>
        <v>1.2334594633907958</v>
      </c>
      <c r="F141">
        <f t="shared" si="5"/>
        <v>1.4002289962720793</v>
      </c>
    </row>
    <row r="142" spans="2:6" x14ac:dyDescent="0.45">
      <c r="B142" s="132">
        <v>44369</v>
      </c>
      <c r="C142">
        <v>255.94378662109381</v>
      </c>
      <c r="D142">
        <v>4246.43994140625</v>
      </c>
      <c r="E142">
        <f t="shared" si="4"/>
        <v>1.0965978002468901</v>
      </c>
      <c r="F142">
        <f t="shared" si="5"/>
        <v>0.51244919022186419</v>
      </c>
    </row>
    <row r="143" spans="2:6" x14ac:dyDescent="0.45">
      <c r="B143" s="132">
        <v>44370</v>
      </c>
      <c r="C143">
        <v>255.71246337890619</v>
      </c>
      <c r="D143">
        <v>4241.83984375</v>
      </c>
      <c r="E143">
        <f t="shared" si="4"/>
        <v>-9.0380487544350352E-2</v>
      </c>
      <c r="F143">
        <f t="shared" si="5"/>
        <v>-0.10832833431588806</v>
      </c>
    </row>
    <row r="144" spans="2:6" x14ac:dyDescent="0.45">
      <c r="B144" s="132">
        <v>44371</v>
      </c>
      <c r="C144">
        <v>257.08132934570313</v>
      </c>
      <c r="D144">
        <v>4266.490234375</v>
      </c>
      <c r="E144">
        <f t="shared" si="4"/>
        <v>0.53531452816539815</v>
      </c>
      <c r="F144">
        <f t="shared" si="5"/>
        <v>0.58112497248854478</v>
      </c>
    </row>
    <row r="145" spans="2:6" x14ac:dyDescent="0.45">
      <c r="B145" s="132">
        <v>44372</v>
      </c>
      <c r="C145">
        <v>255.47148132324219</v>
      </c>
      <c r="D145">
        <v>4280.7001953125</v>
      </c>
      <c r="E145">
        <f t="shared" si="4"/>
        <v>-0.62620184303471271</v>
      </c>
      <c r="F145">
        <f t="shared" si="5"/>
        <v>0.33305973193167304</v>
      </c>
    </row>
    <row r="146" spans="2:6" x14ac:dyDescent="0.45">
      <c r="B146" s="132">
        <v>44375</v>
      </c>
      <c r="C146">
        <v>259.03814697265619</v>
      </c>
      <c r="D146">
        <v>4290.60986328125</v>
      </c>
      <c r="E146">
        <f t="shared" si="4"/>
        <v>1.3961110770329688</v>
      </c>
      <c r="F146">
        <f t="shared" si="5"/>
        <v>0.23149642620619026</v>
      </c>
    </row>
    <row r="147" spans="2:6" x14ac:dyDescent="0.45">
      <c r="B147" s="132">
        <v>44376</v>
      </c>
      <c r="C147">
        <v>261.62161254882813</v>
      </c>
      <c r="D147">
        <v>4291.7998046875</v>
      </c>
      <c r="E147">
        <f t="shared" si="4"/>
        <v>0.99733016405674224</v>
      </c>
      <c r="F147">
        <f t="shared" si="5"/>
        <v>2.7733619326086867E-2</v>
      </c>
    </row>
    <row r="148" spans="2:6" x14ac:dyDescent="0.45">
      <c r="B148" s="132">
        <v>44377</v>
      </c>
      <c r="C148">
        <v>261.13961791992188</v>
      </c>
      <c r="D148">
        <v>4297.5</v>
      </c>
      <c r="E148">
        <f t="shared" si="4"/>
        <v>-0.18423349057842264</v>
      </c>
      <c r="F148">
        <f t="shared" si="5"/>
        <v>0.13281596467464851</v>
      </c>
    </row>
    <row r="149" spans="2:6" x14ac:dyDescent="0.45">
      <c r="B149" s="132">
        <v>44378</v>
      </c>
      <c r="C149">
        <v>261.81439208984381</v>
      </c>
      <c r="D149">
        <v>4319.93994140625</v>
      </c>
      <c r="E149">
        <f t="shared" si="4"/>
        <v>0.25839593980292452</v>
      </c>
      <c r="F149">
        <f t="shared" si="5"/>
        <v>0.52216268542757405</v>
      </c>
    </row>
    <row r="150" spans="2:6" x14ac:dyDescent="0.45">
      <c r="B150" s="132">
        <v>44379</v>
      </c>
      <c r="C150">
        <v>267.64645385742188</v>
      </c>
      <c r="D150">
        <v>4352.33984375</v>
      </c>
      <c r="E150">
        <f t="shared" si="4"/>
        <v>2.2275558348896052</v>
      </c>
      <c r="F150">
        <f t="shared" si="5"/>
        <v>0.75000816639139156</v>
      </c>
    </row>
    <row r="151" spans="2:6" x14ac:dyDescent="0.45">
      <c r="B151" s="132">
        <v>44383</v>
      </c>
      <c r="C151">
        <v>267.656005859375</v>
      </c>
      <c r="D151">
        <v>4343.5400390625</v>
      </c>
      <c r="E151">
        <f t="shared" si="4"/>
        <v>3.5688879174156085E-3</v>
      </c>
      <c r="F151">
        <f t="shared" si="5"/>
        <v>-0.20218560598241897</v>
      </c>
    </row>
    <row r="152" spans="2:6" x14ac:dyDescent="0.45">
      <c r="B152" s="132">
        <v>44384</v>
      </c>
      <c r="C152">
        <v>269.84426879882813</v>
      </c>
      <c r="D152">
        <v>4358.1298828125</v>
      </c>
      <c r="E152">
        <f t="shared" si="4"/>
        <v>0.81756541663511317</v>
      </c>
      <c r="F152">
        <f t="shared" si="5"/>
        <v>0.33589753101825881</v>
      </c>
    </row>
    <row r="153" spans="2:6" x14ac:dyDescent="0.45">
      <c r="B153" s="132">
        <v>44385</v>
      </c>
      <c r="C153">
        <v>267.42471313476563</v>
      </c>
      <c r="D153">
        <v>4320.81982421875</v>
      </c>
      <c r="E153">
        <f t="shared" si="4"/>
        <v>-0.89664889857872243</v>
      </c>
      <c r="F153">
        <f t="shared" si="5"/>
        <v>-0.85610249343169853</v>
      </c>
    </row>
    <row r="154" spans="2:6" x14ac:dyDescent="0.45">
      <c r="B154" s="132">
        <v>44386</v>
      </c>
      <c r="C154">
        <v>267.92596435546881</v>
      </c>
      <c r="D154">
        <v>4369.5498046875</v>
      </c>
      <c r="E154">
        <f t="shared" si="4"/>
        <v>0.18743638717135802</v>
      </c>
      <c r="F154">
        <f t="shared" si="5"/>
        <v>1.1277947808795874</v>
      </c>
    </row>
    <row r="155" spans="2:6" x14ac:dyDescent="0.45">
      <c r="B155" s="132">
        <v>44389</v>
      </c>
      <c r="C155">
        <v>267.32827758789063</v>
      </c>
      <c r="D155">
        <v>4384.6298828125</v>
      </c>
      <c r="E155">
        <f t="shared" si="4"/>
        <v>-0.22307907672031169</v>
      </c>
      <c r="F155">
        <f t="shared" si="5"/>
        <v>0.34511743312370946</v>
      </c>
    </row>
    <row r="156" spans="2:6" x14ac:dyDescent="0.45">
      <c r="B156" s="132">
        <v>44390</v>
      </c>
      <c r="C156">
        <v>270.85641479492188</v>
      </c>
      <c r="D156">
        <v>4369.2099609375</v>
      </c>
      <c r="E156">
        <f t="shared" si="4"/>
        <v>1.3197770317699753</v>
      </c>
      <c r="F156">
        <f t="shared" si="5"/>
        <v>-0.35168126585656267</v>
      </c>
    </row>
    <row r="157" spans="2:6" x14ac:dyDescent="0.45">
      <c r="B157" s="132">
        <v>44391</v>
      </c>
      <c r="C157">
        <v>272.33139038085938</v>
      </c>
      <c r="D157">
        <v>4374.2998046875</v>
      </c>
      <c r="E157">
        <f t="shared" si="4"/>
        <v>0.54455996069144863</v>
      </c>
      <c r="F157">
        <f t="shared" si="5"/>
        <v>0.11649345752446916</v>
      </c>
    </row>
    <row r="158" spans="2:6" x14ac:dyDescent="0.45">
      <c r="B158" s="132">
        <v>44392</v>
      </c>
      <c r="C158">
        <v>270.9046630859375</v>
      </c>
      <c r="D158">
        <v>4360.02978515625</v>
      </c>
      <c r="E158">
        <f t="shared" si="4"/>
        <v>-0.52389380927647666</v>
      </c>
      <c r="F158">
        <f t="shared" si="5"/>
        <v>-0.32622408541723713</v>
      </c>
    </row>
    <row r="159" spans="2:6" x14ac:dyDescent="0.45">
      <c r="B159" s="132">
        <v>44393</v>
      </c>
      <c r="C159">
        <v>270.63473510742188</v>
      </c>
      <c r="D159">
        <v>4327.16015625</v>
      </c>
      <c r="E159">
        <f t="shared" si="4"/>
        <v>-9.9639472957313568E-2</v>
      </c>
      <c r="F159">
        <f t="shared" si="5"/>
        <v>-0.75388542110778056</v>
      </c>
    </row>
    <row r="160" spans="2:6" x14ac:dyDescent="0.45">
      <c r="B160" s="132">
        <v>44396</v>
      </c>
      <c r="C160">
        <v>267.02947998046881</v>
      </c>
      <c r="D160">
        <v>4258.490234375</v>
      </c>
      <c r="E160">
        <f t="shared" si="4"/>
        <v>-1.3321479689301752</v>
      </c>
      <c r="F160">
        <f t="shared" si="5"/>
        <v>-1.5869512427409305</v>
      </c>
    </row>
    <row r="161" spans="2:6" x14ac:dyDescent="0.45">
      <c r="B161" s="132">
        <v>44397</v>
      </c>
      <c r="C161">
        <v>269.25619506835938</v>
      </c>
      <c r="D161">
        <v>4323.06005859375</v>
      </c>
      <c r="E161">
        <f t="shared" si="4"/>
        <v>0.83388361766403296</v>
      </c>
      <c r="F161">
        <f t="shared" si="5"/>
        <v>1.5162609437855634</v>
      </c>
    </row>
    <row r="162" spans="2:6" x14ac:dyDescent="0.45">
      <c r="B162" s="132">
        <v>44398</v>
      </c>
      <c r="C162">
        <v>271.26132202148438</v>
      </c>
      <c r="D162">
        <v>4358.68994140625</v>
      </c>
      <c r="E162">
        <f t="shared" si="4"/>
        <v>0.74469111197827953</v>
      </c>
      <c r="F162">
        <f t="shared" si="5"/>
        <v>0.82418199908353973</v>
      </c>
    </row>
    <row r="163" spans="2:6" x14ac:dyDescent="0.45">
      <c r="B163" s="132">
        <v>44399</v>
      </c>
      <c r="C163">
        <v>275.83053588867188</v>
      </c>
      <c r="D163">
        <v>4367.47998046875</v>
      </c>
      <c r="E163">
        <f t="shared" si="4"/>
        <v>1.6844324996785343</v>
      </c>
      <c r="F163">
        <f t="shared" si="5"/>
        <v>0.20166699583279435</v>
      </c>
    </row>
    <row r="164" spans="2:6" x14ac:dyDescent="0.45">
      <c r="B164" s="132">
        <v>44400</v>
      </c>
      <c r="C164">
        <v>279.23336791992188</v>
      </c>
      <c r="D164">
        <v>4411.7900390625</v>
      </c>
      <c r="E164">
        <f t="shared" si="4"/>
        <v>1.2336676286716308</v>
      </c>
      <c r="F164">
        <f t="shared" si="5"/>
        <v>1.0145452020822843</v>
      </c>
    </row>
    <row r="165" spans="2:6" x14ac:dyDescent="0.45">
      <c r="B165" s="132">
        <v>44403</v>
      </c>
      <c r="C165">
        <v>278.63568115234381</v>
      </c>
      <c r="D165">
        <v>4422.2998046875</v>
      </c>
      <c r="E165">
        <f t="shared" si="4"/>
        <v>-0.2140456106769717</v>
      </c>
      <c r="F165">
        <f t="shared" si="5"/>
        <v>0.23821998626283314</v>
      </c>
    </row>
    <row r="166" spans="2:6" x14ac:dyDescent="0.45">
      <c r="B166" s="132">
        <v>44404</v>
      </c>
      <c r="C166">
        <v>276.216064453125</v>
      </c>
      <c r="D166">
        <v>4401.4599609375</v>
      </c>
      <c r="E166">
        <f t="shared" si="4"/>
        <v>-0.86838006145232294</v>
      </c>
      <c r="F166">
        <f t="shared" si="5"/>
        <v>-0.47124448070912095</v>
      </c>
    </row>
    <row r="167" spans="2:6" x14ac:dyDescent="0.45">
      <c r="B167" s="132">
        <v>44405</v>
      </c>
      <c r="C167">
        <v>275.90771484375</v>
      </c>
      <c r="D167">
        <v>4400.64013671875</v>
      </c>
      <c r="E167">
        <f t="shared" si="4"/>
        <v>-0.11163348155925901</v>
      </c>
      <c r="F167">
        <f t="shared" si="5"/>
        <v>-1.862618826539153E-2</v>
      </c>
    </row>
    <row r="168" spans="2:6" x14ac:dyDescent="0.45">
      <c r="B168" s="132">
        <v>44406</v>
      </c>
      <c r="C168">
        <v>276.17755126953119</v>
      </c>
      <c r="D168">
        <v>4419.14990234375</v>
      </c>
      <c r="E168">
        <f t="shared" si="4"/>
        <v>9.7799521819830204E-2</v>
      </c>
      <c r="F168">
        <f t="shared" si="5"/>
        <v>0.42061529800074826</v>
      </c>
    </row>
    <row r="169" spans="2:6" x14ac:dyDescent="0.45">
      <c r="B169" s="132">
        <v>44407</v>
      </c>
      <c r="C169">
        <v>274.64474487304688</v>
      </c>
      <c r="D169">
        <v>4395.259765625</v>
      </c>
      <c r="E169">
        <f t="shared" si="4"/>
        <v>-0.55500759907469721</v>
      </c>
      <c r="F169">
        <f t="shared" si="5"/>
        <v>-0.54060480514769305</v>
      </c>
    </row>
    <row r="170" spans="2:6" x14ac:dyDescent="0.45">
      <c r="B170" s="132">
        <v>44410</v>
      </c>
      <c r="C170">
        <v>274.55810546875</v>
      </c>
      <c r="D170">
        <v>4387.16015625</v>
      </c>
      <c r="E170">
        <f t="shared" si="4"/>
        <v>-3.1545990197967555E-2</v>
      </c>
      <c r="F170">
        <f t="shared" si="5"/>
        <v>-0.1842805614891363</v>
      </c>
    </row>
    <row r="171" spans="2:6" x14ac:dyDescent="0.45">
      <c r="B171" s="132">
        <v>44411</v>
      </c>
      <c r="C171">
        <v>276.77520751953119</v>
      </c>
      <c r="D171">
        <v>4423.14990234375</v>
      </c>
      <c r="E171">
        <f t="shared" si="4"/>
        <v>0.80751651713066863</v>
      </c>
      <c r="F171">
        <f t="shared" si="5"/>
        <v>0.82034265474622003</v>
      </c>
    </row>
    <row r="172" spans="2:6" x14ac:dyDescent="0.45">
      <c r="B172" s="132">
        <v>44412</v>
      </c>
      <c r="C172">
        <v>276.18719482421881</v>
      </c>
      <c r="D172">
        <v>4402.66015625</v>
      </c>
      <c r="E172">
        <f t="shared" si="4"/>
        <v>-0.21245136100960238</v>
      </c>
      <c r="F172">
        <f t="shared" si="5"/>
        <v>-0.46323879014122937</v>
      </c>
    </row>
    <row r="173" spans="2:6" x14ac:dyDescent="0.45">
      <c r="B173" s="132">
        <v>44413</v>
      </c>
      <c r="C173">
        <v>279.08880615234381</v>
      </c>
      <c r="D173">
        <v>4429.10009765625</v>
      </c>
      <c r="E173">
        <f t="shared" si="4"/>
        <v>1.0505958938363369</v>
      </c>
      <c r="F173">
        <f t="shared" si="5"/>
        <v>0.60054468134942418</v>
      </c>
    </row>
    <row r="174" spans="2:6" x14ac:dyDescent="0.45">
      <c r="B174" s="132">
        <v>44414</v>
      </c>
      <c r="C174">
        <v>279.0308837890625</v>
      </c>
      <c r="D174">
        <v>4436.52001953125</v>
      </c>
      <c r="E174">
        <f t="shared" si="4"/>
        <v>-2.0754097622133205E-2</v>
      </c>
      <c r="F174">
        <f t="shared" si="5"/>
        <v>0.16752662417647279</v>
      </c>
    </row>
    <row r="175" spans="2:6" x14ac:dyDescent="0.45">
      <c r="B175" s="132">
        <v>44417</v>
      </c>
      <c r="C175">
        <v>277.94155883789063</v>
      </c>
      <c r="D175">
        <v>4432.35009765625</v>
      </c>
      <c r="E175">
        <f t="shared" si="4"/>
        <v>-0.39039583589440818</v>
      </c>
      <c r="F175">
        <f t="shared" si="5"/>
        <v>-9.3990827419743184E-2</v>
      </c>
    </row>
    <row r="176" spans="2:6" x14ac:dyDescent="0.45">
      <c r="B176" s="132">
        <v>44418</v>
      </c>
      <c r="C176">
        <v>276.1197509765625</v>
      </c>
      <c r="D176">
        <v>4436.75</v>
      </c>
      <c r="E176">
        <f t="shared" si="4"/>
        <v>-0.65546436054590984</v>
      </c>
      <c r="F176">
        <f t="shared" si="5"/>
        <v>9.9267933417013232E-2</v>
      </c>
    </row>
    <row r="177" spans="2:6" x14ac:dyDescent="0.45">
      <c r="B177" s="132">
        <v>44419</v>
      </c>
      <c r="C177">
        <v>276.61138916015619</v>
      </c>
      <c r="D177">
        <v>4442.41015625</v>
      </c>
      <c r="E177">
        <f t="shared" si="4"/>
        <v>0.1780525231733332</v>
      </c>
      <c r="F177">
        <f t="shared" si="5"/>
        <v>0.12757437876824707</v>
      </c>
    </row>
    <row r="178" spans="2:6" x14ac:dyDescent="0.45">
      <c r="B178" s="132">
        <v>44420</v>
      </c>
      <c r="C178">
        <v>279.36831665039063</v>
      </c>
      <c r="D178">
        <v>4460.830078125</v>
      </c>
      <c r="E178">
        <f t="shared" si="4"/>
        <v>0.99667895042390153</v>
      </c>
      <c r="F178">
        <f t="shared" si="5"/>
        <v>0.41463802816776862</v>
      </c>
    </row>
    <row r="179" spans="2:6" x14ac:dyDescent="0.45">
      <c r="B179" s="132">
        <v>44421</v>
      </c>
      <c r="C179">
        <v>282.29879760742188</v>
      </c>
      <c r="D179">
        <v>4468</v>
      </c>
      <c r="E179">
        <f t="shared" si="4"/>
        <v>1.0489668234993754</v>
      </c>
      <c r="F179">
        <f t="shared" si="5"/>
        <v>0.16073066558082161</v>
      </c>
    </row>
    <row r="180" spans="2:6" x14ac:dyDescent="0.45">
      <c r="B180" s="132">
        <v>44424</v>
      </c>
      <c r="C180">
        <v>283.9857177734375</v>
      </c>
      <c r="D180">
        <v>4479.7099609375</v>
      </c>
      <c r="E180">
        <f t="shared" si="4"/>
        <v>0.59756548037499524</v>
      </c>
      <c r="F180">
        <f t="shared" si="5"/>
        <v>0.26208507022158489</v>
      </c>
    </row>
    <row r="181" spans="2:6" x14ac:dyDescent="0.45">
      <c r="B181" s="132">
        <v>44425</v>
      </c>
      <c r="C181">
        <v>282.52044677734381</v>
      </c>
      <c r="D181">
        <v>4448.080078125</v>
      </c>
      <c r="E181">
        <f t="shared" si="4"/>
        <v>-0.51596643929209263</v>
      </c>
      <c r="F181">
        <f t="shared" si="5"/>
        <v>-0.70606988149475303</v>
      </c>
    </row>
    <row r="182" spans="2:6" x14ac:dyDescent="0.45">
      <c r="B182" s="132">
        <v>44426</v>
      </c>
      <c r="C182">
        <v>280.791748046875</v>
      </c>
      <c r="D182">
        <v>4400.27001953125</v>
      </c>
      <c r="E182">
        <f t="shared" si="4"/>
        <v>-0.61188446719087075</v>
      </c>
      <c r="F182">
        <f t="shared" si="5"/>
        <v>-1.0748470745585936</v>
      </c>
    </row>
    <row r="183" spans="2:6" x14ac:dyDescent="0.45">
      <c r="B183" s="132">
        <v>44427</v>
      </c>
      <c r="C183">
        <v>286.62518310546881</v>
      </c>
      <c r="D183">
        <v>4405.7998046875</v>
      </c>
      <c r="E183">
        <f t="shared" si="4"/>
        <v>2.0774951896449512</v>
      </c>
      <c r="F183">
        <f t="shared" si="5"/>
        <v>0.12566922329095842</v>
      </c>
    </row>
    <row r="184" spans="2:6" x14ac:dyDescent="0.45">
      <c r="B184" s="132">
        <v>44428</v>
      </c>
      <c r="C184">
        <v>293.95574951171881</v>
      </c>
      <c r="D184">
        <v>4441.669921875</v>
      </c>
      <c r="E184">
        <f t="shared" si="4"/>
        <v>2.5575444302647243</v>
      </c>
      <c r="F184">
        <f t="shared" si="5"/>
        <v>0.81415676557379246</v>
      </c>
    </row>
    <row r="185" spans="2:6" x14ac:dyDescent="0.45">
      <c r="B185" s="132">
        <v>44431</v>
      </c>
      <c r="C185">
        <v>294.23580932617188</v>
      </c>
      <c r="D185">
        <v>4479.52978515625</v>
      </c>
      <c r="E185">
        <f t="shared" si="4"/>
        <v>9.5272779973942789E-2</v>
      </c>
      <c r="F185">
        <f t="shared" si="5"/>
        <v>0.85237903642483293</v>
      </c>
    </row>
    <row r="186" spans="2:6" x14ac:dyDescent="0.45">
      <c r="B186" s="132">
        <v>44432</v>
      </c>
      <c r="C186">
        <v>292.27523803710938</v>
      </c>
      <c r="D186">
        <v>4486.22998046875</v>
      </c>
      <c r="E186">
        <f t="shared" si="4"/>
        <v>-0.66632654045487572</v>
      </c>
      <c r="F186">
        <f t="shared" si="5"/>
        <v>0.14957363013194946</v>
      </c>
    </row>
    <row r="187" spans="2:6" x14ac:dyDescent="0.45">
      <c r="B187" s="132">
        <v>44433</v>
      </c>
      <c r="C187">
        <v>291.68609619140619</v>
      </c>
      <c r="D187">
        <v>4496.18994140625</v>
      </c>
      <c r="E187">
        <f t="shared" si="4"/>
        <v>-0.201570906129378</v>
      </c>
      <c r="F187">
        <f t="shared" si="5"/>
        <v>0.2220118224179668</v>
      </c>
    </row>
    <row r="188" spans="2:6" x14ac:dyDescent="0.45">
      <c r="B188" s="132">
        <v>44434</v>
      </c>
      <c r="C188">
        <v>288.8658447265625</v>
      </c>
      <c r="D188">
        <v>4470</v>
      </c>
      <c r="E188">
        <f t="shared" si="4"/>
        <v>-0.96687895023732651</v>
      </c>
      <c r="F188">
        <f t="shared" si="5"/>
        <v>-0.58249188196125568</v>
      </c>
    </row>
    <row r="189" spans="2:6" x14ac:dyDescent="0.45">
      <c r="B189" s="132">
        <v>44435</v>
      </c>
      <c r="C189">
        <v>289.474365234375</v>
      </c>
      <c r="D189">
        <v>4509.3701171875</v>
      </c>
      <c r="E189">
        <f t="shared" si="4"/>
        <v>0.21065851810502245</v>
      </c>
      <c r="F189">
        <f t="shared" si="5"/>
        <v>0.88076324804251538</v>
      </c>
    </row>
    <row r="190" spans="2:6" x14ac:dyDescent="0.45">
      <c r="B190" s="132">
        <v>44438</v>
      </c>
      <c r="C190">
        <v>293.21206665039063</v>
      </c>
      <c r="D190">
        <v>4528.7900390625</v>
      </c>
      <c r="E190">
        <f t="shared" si="4"/>
        <v>1.2912029059945818</v>
      </c>
      <c r="F190">
        <f t="shared" si="5"/>
        <v>0.43065708447795892</v>
      </c>
    </row>
    <row r="191" spans="2:6" x14ac:dyDescent="0.45">
      <c r="B191" s="132">
        <v>44439</v>
      </c>
      <c r="C191">
        <v>291.56048583984381</v>
      </c>
      <c r="D191">
        <v>4522.68017578125</v>
      </c>
      <c r="E191">
        <f t="shared" si="4"/>
        <v>-0.56327177438985077</v>
      </c>
      <c r="F191">
        <f t="shared" si="5"/>
        <v>-0.13491160395050494</v>
      </c>
    </row>
    <row r="192" spans="2:6" x14ac:dyDescent="0.45">
      <c r="B192" s="132">
        <v>44440</v>
      </c>
      <c r="C192">
        <v>291.51217651367188</v>
      </c>
      <c r="D192">
        <v>4524.08984375</v>
      </c>
      <c r="E192">
        <f t="shared" si="4"/>
        <v>-1.6569229548635267E-2</v>
      </c>
      <c r="F192">
        <f t="shared" si="5"/>
        <v>3.1168862576191891E-2</v>
      </c>
    </row>
    <row r="193" spans="2:6" x14ac:dyDescent="0.45">
      <c r="B193" s="132">
        <v>44441</v>
      </c>
      <c r="C193">
        <v>290.85543823242188</v>
      </c>
      <c r="D193">
        <v>4536.9501953125</v>
      </c>
      <c r="E193">
        <f t="shared" si="4"/>
        <v>-0.22528674071328192</v>
      </c>
      <c r="F193">
        <f t="shared" si="5"/>
        <v>0.28426384105229019</v>
      </c>
    </row>
    <row r="194" spans="2:6" x14ac:dyDescent="0.45">
      <c r="B194" s="132">
        <v>44442</v>
      </c>
      <c r="C194">
        <v>290.8458251953125</v>
      </c>
      <c r="D194">
        <v>4535.43017578125</v>
      </c>
      <c r="E194">
        <f t="shared" si="4"/>
        <v>-3.3050910678511514E-3</v>
      </c>
      <c r="F194">
        <f t="shared" si="5"/>
        <v>-3.3503112571531268E-2</v>
      </c>
    </row>
    <row r="195" spans="2:6" x14ac:dyDescent="0.45">
      <c r="B195" s="132">
        <v>44446</v>
      </c>
      <c r="C195">
        <v>289.91860961914063</v>
      </c>
      <c r="D195">
        <v>4520.02978515625</v>
      </c>
      <c r="E195">
        <f t="shared" si="4"/>
        <v>-0.31879968555478255</v>
      </c>
      <c r="F195">
        <f t="shared" si="5"/>
        <v>-0.3395574405981705</v>
      </c>
    </row>
    <row r="196" spans="2:6" x14ac:dyDescent="0.45">
      <c r="B196" s="132">
        <v>44447</v>
      </c>
      <c r="C196">
        <v>289.9476318359375</v>
      </c>
      <c r="D196">
        <v>4514.06982421875</v>
      </c>
      <c r="E196">
        <f t="shared" si="4"/>
        <v>1.0010470467891608E-2</v>
      </c>
      <c r="F196">
        <f t="shared" si="5"/>
        <v>-0.1318566739775151</v>
      </c>
    </row>
    <row r="197" spans="2:6" x14ac:dyDescent="0.45">
      <c r="B197" s="132">
        <v>44448</v>
      </c>
      <c r="C197">
        <v>287.08883666992188</v>
      </c>
      <c r="D197">
        <v>4493.27978515625</v>
      </c>
      <c r="E197">
        <f t="shared" si="4"/>
        <v>-0.98596948280412766</v>
      </c>
      <c r="F197">
        <f t="shared" si="5"/>
        <v>-0.46056086573933452</v>
      </c>
    </row>
    <row r="198" spans="2:6" x14ac:dyDescent="0.45">
      <c r="B198" s="132">
        <v>44449</v>
      </c>
      <c r="C198">
        <v>285.60140991210938</v>
      </c>
      <c r="D198">
        <v>4458.580078125</v>
      </c>
      <c r="E198">
        <f t="shared" si="4"/>
        <v>-0.51810679058993392</v>
      </c>
      <c r="F198">
        <f t="shared" si="5"/>
        <v>-0.77225787599254359</v>
      </c>
    </row>
    <row r="199" spans="2:6" x14ac:dyDescent="0.45">
      <c r="B199" s="132">
        <v>44452</v>
      </c>
      <c r="C199">
        <v>286.83770751953119</v>
      </c>
      <c r="D199">
        <v>4468.72998046875</v>
      </c>
      <c r="E199">
        <f t="shared" si="4"/>
        <v>0.43287517656243057</v>
      </c>
      <c r="F199">
        <f t="shared" si="5"/>
        <v>0.22764876184568905</v>
      </c>
    </row>
    <row r="200" spans="2:6" x14ac:dyDescent="0.45">
      <c r="B200" s="132">
        <v>44453</v>
      </c>
      <c r="C200">
        <v>289.54202270507813</v>
      </c>
      <c r="D200">
        <v>4443.0498046875</v>
      </c>
      <c r="E200">
        <f t="shared" ref="E200:E263" si="6">((C200/C199)-1)*100</f>
        <v>0.94280323494873031</v>
      </c>
      <c r="F200">
        <f t="shared" ref="F200:F263" si="7">((D200/D199)-1)*100</f>
        <v>-0.57466385065755299</v>
      </c>
    </row>
    <row r="201" spans="2:6" x14ac:dyDescent="0.45">
      <c r="B201" s="132">
        <v>44454</v>
      </c>
      <c r="C201">
        <v>294.40005493164063</v>
      </c>
      <c r="D201">
        <v>4480.7001953125</v>
      </c>
      <c r="E201">
        <f t="shared" si="6"/>
        <v>1.6778332143900121</v>
      </c>
      <c r="F201">
        <f t="shared" si="7"/>
        <v>0.84739969795697423</v>
      </c>
    </row>
    <row r="202" spans="2:6" x14ac:dyDescent="0.45">
      <c r="B202" s="132">
        <v>44455</v>
      </c>
      <c r="C202">
        <v>294.786376953125</v>
      </c>
      <c r="D202">
        <v>4473.75</v>
      </c>
      <c r="E202">
        <f t="shared" si="6"/>
        <v>0.13122348824767816</v>
      </c>
      <c r="F202">
        <f t="shared" si="7"/>
        <v>-0.15511404489350067</v>
      </c>
    </row>
    <row r="203" spans="2:6" x14ac:dyDescent="0.45">
      <c r="B203" s="132">
        <v>44456</v>
      </c>
      <c r="C203">
        <v>289.61923217773438</v>
      </c>
      <c r="D203">
        <v>4432.990234375</v>
      </c>
      <c r="E203">
        <f t="shared" si="6"/>
        <v>-1.7528438148321501</v>
      </c>
      <c r="F203">
        <f t="shared" si="7"/>
        <v>-0.91108724504050942</v>
      </c>
    </row>
    <row r="204" spans="2:6" x14ac:dyDescent="0.45">
      <c r="B204" s="132">
        <v>44459</v>
      </c>
      <c r="C204">
        <v>284.23959350585938</v>
      </c>
      <c r="D204">
        <v>4357.72998046875</v>
      </c>
      <c r="E204">
        <f t="shared" si="6"/>
        <v>-1.8574866839553006</v>
      </c>
      <c r="F204">
        <f t="shared" si="7"/>
        <v>-1.6977311008414819</v>
      </c>
    </row>
    <row r="205" spans="2:6" x14ac:dyDescent="0.45">
      <c r="B205" s="132">
        <v>44460</v>
      </c>
      <c r="C205">
        <v>284.7225341796875</v>
      </c>
      <c r="D205">
        <v>4354.18994140625</v>
      </c>
      <c r="E205">
        <f t="shared" si="6"/>
        <v>0.16990619352901248</v>
      </c>
      <c r="F205">
        <f t="shared" si="7"/>
        <v>-8.1235851655936386E-2</v>
      </c>
    </row>
    <row r="206" spans="2:6" x14ac:dyDescent="0.45">
      <c r="B206" s="132">
        <v>44461</v>
      </c>
      <c r="C206">
        <v>288.37332153320313</v>
      </c>
      <c r="D206">
        <v>4395.64013671875</v>
      </c>
      <c r="E206">
        <f t="shared" si="6"/>
        <v>1.2822263485515517</v>
      </c>
      <c r="F206">
        <f t="shared" si="7"/>
        <v>0.95196111952602358</v>
      </c>
    </row>
    <row r="207" spans="2:6" x14ac:dyDescent="0.45">
      <c r="B207" s="132">
        <v>44462</v>
      </c>
      <c r="C207">
        <v>289.31982421875</v>
      </c>
      <c r="D207">
        <v>4448.97998046875</v>
      </c>
      <c r="E207">
        <f t="shared" si="6"/>
        <v>0.3282213071980955</v>
      </c>
      <c r="F207">
        <f t="shared" si="7"/>
        <v>1.2134715784494876</v>
      </c>
    </row>
    <row r="208" spans="2:6" x14ac:dyDescent="0.45">
      <c r="B208" s="132">
        <v>44463</v>
      </c>
      <c r="C208">
        <v>289.11697387695313</v>
      </c>
      <c r="D208">
        <v>4455.47998046875</v>
      </c>
      <c r="E208">
        <f t="shared" si="6"/>
        <v>-7.0112838739833094E-2</v>
      </c>
      <c r="F208">
        <f t="shared" si="7"/>
        <v>0.1461009046688222</v>
      </c>
    </row>
    <row r="209" spans="2:6" x14ac:dyDescent="0.45">
      <c r="B209" s="132">
        <v>44466</v>
      </c>
      <c r="C209">
        <v>284.11416625976563</v>
      </c>
      <c r="D209">
        <v>4443.10986328125</v>
      </c>
      <c r="E209">
        <f t="shared" si="6"/>
        <v>-1.7303749240667798</v>
      </c>
      <c r="F209">
        <f t="shared" si="7"/>
        <v>-0.27763826213396126</v>
      </c>
    </row>
    <row r="210" spans="2:6" x14ac:dyDescent="0.45">
      <c r="B210" s="132">
        <v>44467</v>
      </c>
      <c r="C210">
        <v>273.82818603515619</v>
      </c>
      <c r="D210">
        <v>4352.6298828125</v>
      </c>
      <c r="E210">
        <f t="shared" si="6"/>
        <v>-3.6203686567339077</v>
      </c>
      <c r="F210">
        <f t="shared" si="7"/>
        <v>-2.0364110556098214</v>
      </c>
    </row>
    <row r="211" spans="2:6" x14ac:dyDescent="0.45">
      <c r="B211" s="132">
        <v>44468</v>
      </c>
      <c r="C211">
        <v>274.291748046875</v>
      </c>
      <c r="D211">
        <v>4359.4599609375</v>
      </c>
      <c r="E211">
        <f t="shared" si="6"/>
        <v>0.16928937025471047</v>
      </c>
      <c r="F211">
        <f t="shared" si="7"/>
        <v>0.15691842194003325</v>
      </c>
    </row>
    <row r="212" spans="2:6" x14ac:dyDescent="0.45">
      <c r="B212" s="132">
        <v>44469</v>
      </c>
      <c r="C212">
        <v>272.2828369140625</v>
      </c>
      <c r="D212">
        <v>4307.5400390625</v>
      </c>
      <c r="E212">
        <f t="shared" si="6"/>
        <v>-0.73239940578496698</v>
      </c>
      <c r="F212">
        <f t="shared" si="7"/>
        <v>-1.1909714125195148</v>
      </c>
    </row>
    <row r="213" spans="2:6" x14ac:dyDescent="0.45">
      <c r="B213" s="132">
        <v>44470</v>
      </c>
      <c r="C213">
        <v>279.21743774414063</v>
      </c>
      <c r="D213">
        <v>4357.0400390625</v>
      </c>
      <c r="E213">
        <f t="shared" si="6"/>
        <v>2.5468372919394966</v>
      </c>
      <c r="F213">
        <f t="shared" si="7"/>
        <v>1.149147763018199</v>
      </c>
    </row>
    <row r="214" spans="2:6" x14ac:dyDescent="0.45">
      <c r="B214" s="132">
        <v>44473</v>
      </c>
      <c r="C214">
        <v>273.43215942382813</v>
      </c>
      <c r="D214">
        <v>4300.4599609375</v>
      </c>
      <c r="E214">
        <f t="shared" si="6"/>
        <v>-2.0719616822835407</v>
      </c>
      <c r="F214">
        <f t="shared" si="7"/>
        <v>-1.2985898136748442</v>
      </c>
    </row>
    <row r="215" spans="2:6" x14ac:dyDescent="0.45">
      <c r="B215" s="132">
        <v>44474</v>
      </c>
      <c r="C215">
        <v>278.8890380859375</v>
      </c>
      <c r="D215">
        <v>4345.72021484375</v>
      </c>
      <c r="E215">
        <f t="shared" si="6"/>
        <v>1.9956974606088806</v>
      </c>
      <c r="F215">
        <f t="shared" si="7"/>
        <v>1.0524514660609219</v>
      </c>
    </row>
    <row r="216" spans="2:6" x14ac:dyDescent="0.45">
      <c r="B216" s="132">
        <v>44475</v>
      </c>
      <c r="C216">
        <v>283.09030151367188</v>
      </c>
      <c r="D216">
        <v>4363.5498046875</v>
      </c>
      <c r="E216">
        <f t="shared" si="6"/>
        <v>1.5064283116211108</v>
      </c>
      <c r="F216">
        <f t="shared" si="7"/>
        <v>0.41027928541854664</v>
      </c>
    </row>
    <row r="217" spans="2:6" x14ac:dyDescent="0.45">
      <c r="B217" s="132">
        <v>44476</v>
      </c>
      <c r="C217">
        <v>284.77084350585938</v>
      </c>
      <c r="D217">
        <v>4399.759765625</v>
      </c>
      <c r="E217">
        <f t="shared" si="6"/>
        <v>0.59364166953148612</v>
      </c>
      <c r="F217">
        <f t="shared" si="7"/>
        <v>0.82982806564053657</v>
      </c>
    </row>
    <row r="218" spans="2:6" x14ac:dyDescent="0.45">
      <c r="B218" s="132">
        <v>44477</v>
      </c>
      <c r="C218">
        <v>284.77084350585938</v>
      </c>
      <c r="D218">
        <v>4391.33984375</v>
      </c>
      <c r="E218">
        <f t="shared" si="6"/>
        <v>0</v>
      </c>
      <c r="F218">
        <f t="shared" si="7"/>
        <v>-0.19137230947889883</v>
      </c>
    </row>
    <row r="219" spans="2:6" x14ac:dyDescent="0.45">
      <c r="B219" s="132">
        <v>44480</v>
      </c>
      <c r="C219">
        <v>284.17205810546881</v>
      </c>
      <c r="D219">
        <v>4361.18994140625</v>
      </c>
      <c r="E219">
        <f t="shared" si="6"/>
        <v>-0.21026920910118818</v>
      </c>
      <c r="F219">
        <f t="shared" si="7"/>
        <v>-0.68657638480568162</v>
      </c>
    </row>
    <row r="220" spans="2:6" x14ac:dyDescent="0.45">
      <c r="B220" s="132">
        <v>44481</v>
      </c>
      <c r="C220">
        <v>282.8681640625</v>
      </c>
      <c r="D220">
        <v>4350.64990234375</v>
      </c>
      <c r="E220">
        <f t="shared" si="6"/>
        <v>-0.45883963809167927</v>
      </c>
      <c r="F220">
        <f t="shared" si="7"/>
        <v>-0.24167805585421087</v>
      </c>
    </row>
    <row r="221" spans="2:6" x14ac:dyDescent="0.45">
      <c r="B221" s="132">
        <v>44482</v>
      </c>
      <c r="C221">
        <v>286.18093872070313</v>
      </c>
      <c r="D221">
        <v>4363.7998046875</v>
      </c>
      <c r="E221">
        <f t="shared" si="6"/>
        <v>1.1711373279430504</v>
      </c>
      <c r="F221">
        <f t="shared" si="7"/>
        <v>0.302251448379387</v>
      </c>
    </row>
    <row r="222" spans="2:6" x14ac:dyDescent="0.45">
      <c r="B222" s="132">
        <v>44483</v>
      </c>
      <c r="C222">
        <v>292.40072631835938</v>
      </c>
      <c r="D222">
        <v>4438.259765625</v>
      </c>
      <c r="E222">
        <f t="shared" si="6"/>
        <v>2.1733759157616106</v>
      </c>
      <c r="F222">
        <f t="shared" si="7"/>
        <v>1.7063101945583359</v>
      </c>
    </row>
    <row r="223" spans="2:6" x14ac:dyDescent="0.45">
      <c r="B223" s="132">
        <v>44484</v>
      </c>
      <c r="C223">
        <v>293.81082153320313</v>
      </c>
      <c r="D223">
        <v>4471.3701171875</v>
      </c>
      <c r="E223">
        <f t="shared" si="6"/>
        <v>0.48224750758945056</v>
      </c>
      <c r="F223">
        <f t="shared" si="7"/>
        <v>0.74602103777126061</v>
      </c>
    </row>
    <row r="224" spans="2:6" x14ac:dyDescent="0.45">
      <c r="B224" s="132">
        <v>44487</v>
      </c>
      <c r="C224">
        <v>296.78561401367188</v>
      </c>
      <c r="D224">
        <v>4486.4599609375</v>
      </c>
      <c r="E224">
        <f t="shared" si="6"/>
        <v>1.0124856752876887</v>
      </c>
      <c r="F224">
        <f t="shared" si="7"/>
        <v>0.337476955709759</v>
      </c>
    </row>
    <row r="225" spans="2:6" x14ac:dyDescent="0.45">
      <c r="B225" s="132">
        <v>44488</v>
      </c>
      <c r="C225">
        <v>297.69345092773438</v>
      </c>
      <c r="D225">
        <v>4519.6298828125</v>
      </c>
      <c r="E225">
        <f t="shared" si="6"/>
        <v>0.30588979761689838</v>
      </c>
      <c r="F225">
        <f t="shared" si="7"/>
        <v>0.73933395514063083</v>
      </c>
    </row>
    <row r="226" spans="2:6" x14ac:dyDescent="0.45">
      <c r="B226" s="132">
        <v>44489</v>
      </c>
      <c r="C226">
        <v>296.90145874023438</v>
      </c>
      <c r="D226">
        <v>4536.18994140625</v>
      </c>
      <c r="E226">
        <f t="shared" si="6"/>
        <v>-0.26604286558263857</v>
      </c>
      <c r="F226">
        <f t="shared" si="7"/>
        <v>0.36640298040166996</v>
      </c>
    </row>
    <row r="227" spans="2:6" x14ac:dyDescent="0.45">
      <c r="B227" s="132">
        <v>44490</v>
      </c>
      <c r="C227">
        <v>300.13699340820313</v>
      </c>
      <c r="D227">
        <v>4549.77978515625</v>
      </c>
      <c r="E227">
        <f t="shared" si="6"/>
        <v>1.0897671846063828</v>
      </c>
      <c r="F227">
        <f t="shared" si="7"/>
        <v>0.29958718496225778</v>
      </c>
    </row>
    <row r="228" spans="2:6" x14ac:dyDescent="0.45">
      <c r="B228" s="132">
        <v>44491</v>
      </c>
      <c r="C228">
        <v>298.59164428710938</v>
      </c>
      <c r="D228">
        <v>4544.89990234375</v>
      </c>
      <c r="E228">
        <f t="shared" si="6"/>
        <v>-0.51488125590436473</v>
      </c>
      <c r="F228">
        <f t="shared" si="7"/>
        <v>-0.10725536274130976</v>
      </c>
    </row>
    <row r="229" spans="2:6" x14ac:dyDescent="0.45">
      <c r="B229" s="132">
        <v>44494</v>
      </c>
      <c r="C229">
        <v>297.59689331054688</v>
      </c>
      <c r="D229">
        <v>4566.47998046875</v>
      </c>
      <c r="E229">
        <f t="shared" si="6"/>
        <v>-0.33314762673197773</v>
      </c>
      <c r="F229">
        <f t="shared" si="7"/>
        <v>0.47481965694935457</v>
      </c>
    </row>
    <row r="230" spans="2:6" x14ac:dyDescent="0.45">
      <c r="B230" s="132">
        <v>44495</v>
      </c>
      <c r="C230">
        <v>299.5091552734375</v>
      </c>
      <c r="D230">
        <v>4574.7900390625</v>
      </c>
      <c r="E230">
        <f t="shared" si="6"/>
        <v>0.6425678513031885</v>
      </c>
      <c r="F230">
        <f t="shared" si="7"/>
        <v>0.18197952535197182</v>
      </c>
    </row>
    <row r="231" spans="2:6" x14ac:dyDescent="0.45">
      <c r="B231" s="132">
        <v>44496</v>
      </c>
      <c r="C231">
        <v>312.122802734375</v>
      </c>
      <c r="D231">
        <v>4551.68017578125</v>
      </c>
      <c r="E231">
        <f t="shared" si="6"/>
        <v>4.2114396968673029</v>
      </c>
      <c r="F231">
        <f t="shared" si="7"/>
        <v>-0.50515680684628528</v>
      </c>
    </row>
    <row r="232" spans="2:6" x14ac:dyDescent="0.45">
      <c r="B232" s="132">
        <v>44497</v>
      </c>
      <c r="C232">
        <v>313.262451171875</v>
      </c>
      <c r="D232">
        <v>4596.419921875</v>
      </c>
      <c r="E232">
        <f t="shared" si="6"/>
        <v>0.36512822117320543</v>
      </c>
      <c r="F232">
        <f t="shared" si="7"/>
        <v>0.98292815764611241</v>
      </c>
    </row>
    <row r="233" spans="2:6" x14ac:dyDescent="0.45">
      <c r="B233" s="132">
        <v>44498</v>
      </c>
      <c r="C233">
        <v>320.28387451171881</v>
      </c>
      <c r="D233">
        <v>4605.3798828125</v>
      </c>
      <c r="E233">
        <f t="shared" si="6"/>
        <v>2.2413868350890986</v>
      </c>
      <c r="F233">
        <f t="shared" si="7"/>
        <v>0.19493347191492649</v>
      </c>
    </row>
    <row r="234" spans="2:6" x14ac:dyDescent="0.45">
      <c r="B234" s="132">
        <v>44501</v>
      </c>
      <c r="C234">
        <v>318.11077880859381</v>
      </c>
      <c r="D234">
        <v>4613.669921875</v>
      </c>
      <c r="E234">
        <f t="shared" si="6"/>
        <v>-0.67849051296695606</v>
      </c>
      <c r="F234">
        <f t="shared" si="7"/>
        <v>0.18000771431341267</v>
      </c>
    </row>
    <row r="235" spans="2:6" x14ac:dyDescent="0.45">
      <c r="B235" s="132">
        <v>44502</v>
      </c>
      <c r="C235">
        <v>321.74224853515619</v>
      </c>
      <c r="D235">
        <v>4630.64990234375</v>
      </c>
      <c r="E235">
        <f t="shared" si="6"/>
        <v>1.1415739322518936</v>
      </c>
      <c r="F235">
        <f t="shared" si="7"/>
        <v>0.36803630854131963</v>
      </c>
    </row>
    <row r="236" spans="2:6" x14ac:dyDescent="0.45">
      <c r="B236" s="132">
        <v>44503</v>
      </c>
      <c r="C236">
        <v>322.58248901367188</v>
      </c>
      <c r="D236">
        <v>4660.56982421875</v>
      </c>
      <c r="E236">
        <f t="shared" si="6"/>
        <v>0.26115329346430016</v>
      </c>
      <c r="F236">
        <f t="shared" si="7"/>
        <v>0.6461279195357994</v>
      </c>
    </row>
    <row r="237" spans="2:6" x14ac:dyDescent="0.45">
      <c r="B237" s="132">
        <v>44504</v>
      </c>
      <c r="C237">
        <v>324.939208984375</v>
      </c>
      <c r="D237">
        <v>4680.06005859375</v>
      </c>
      <c r="E237">
        <f t="shared" si="6"/>
        <v>0.73057901497042277</v>
      </c>
      <c r="F237">
        <f t="shared" si="7"/>
        <v>0.41819423611504369</v>
      </c>
    </row>
    <row r="238" spans="2:6" x14ac:dyDescent="0.45">
      <c r="B238" s="132">
        <v>44505</v>
      </c>
      <c r="C238">
        <v>324.57211303710938</v>
      </c>
      <c r="D238">
        <v>4697.52978515625</v>
      </c>
      <c r="E238">
        <f t="shared" si="6"/>
        <v>-0.11297373081352591</v>
      </c>
      <c r="F238">
        <f t="shared" si="7"/>
        <v>0.37327996529492591</v>
      </c>
    </row>
    <row r="239" spans="2:6" x14ac:dyDescent="0.45">
      <c r="B239" s="132">
        <v>44508</v>
      </c>
      <c r="C239">
        <v>325.47030639648438</v>
      </c>
      <c r="D239">
        <v>4701.7001953125</v>
      </c>
      <c r="E239">
        <f t="shared" si="6"/>
        <v>0.27673152538287837</v>
      </c>
      <c r="F239">
        <f t="shared" si="7"/>
        <v>8.8778791130361689E-2</v>
      </c>
    </row>
    <row r="240" spans="2:6" x14ac:dyDescent="0.45">
      <c r="B240" s="132">
        <v>44509</v>
      </c>
      <c r="C240">
        <v>324.46588134765619</v>
      </c>
      <c r="D240">
        <v>4685.25</v>
      </c>
      <c r="E240">
        <f t="shared" si="6"/>
        <v>-0.30860727663574172</v>
      </c>
      <c r="F240">
        <f t="shared" si="7"/>
        <v>-0.34987758957707449</v>
      </c>
    </row>
    <row r="241" spans="2:6" x14ac:dyDescent="0.45">
      <c r="B241" s="132">
        <v>44510</v>
      </c>
      <c r="C241">
        <v>319.49185180664063</v>
      </c>
      <c r="D241">
        <v>4646.7099609375</v>
      </c>
      <c r="E241">
        <f t="shared" si="6"/>
        <v>-1.5329900081808678</v>
      </c>
      <c r="F241">
        <f t="shared" si="7"/>
        <v>-0.82258233952297033</v>
      </c>
    </row>
    <row r="242" spans="2:6" x14ac:dyDescent="0.45">
      <c r="B242" s="132">
        <v>44511</v>
      </c>
      <c r="C242">
        <v>321.06619262695313</v>
      </c>
      <c r="D242">
        <v>4649.27001953125</v>
      </c>
      <c r="E242">
        <f t="shared" si="6"/>
        <v>0.49276399739461851</v>
      </c>
      <c r="F242">
        <f t="shared" si="7"/>
        <v>5.509400447352153E-2</v>
      </c>
    </row>
    <row r="243" spans="2:6" x14ac:dyDescent="0.45">
      <c r="B243" s="132">
        <v>44512</v>
      </c>
      <c r="C243">
        <v>325.20956420898438</v>
      </c>
      <c r="D243">
        <v>4682.85009765625</v>
      </c>
      <c r="E243">
        <f t="shared" si="6"/>
        <v>1.2905038515984346</v>
      </c>
      <c r="F243">
        <f t="shared" si="7"/>
        <v>0.72226560264154749</v>
      </c>
    </row>
    <row r="244" spans="2:6" x14ac:dyDescent="0.45">
      <c r="B244" s="132">
        <v>44515</v>
      </c>
      <c r="C244">
        <v>324.58172607421881</v>
      </c>
      <c r="D244">
        <v>4682.7998046875</v>
      </c>
      <c r="E244">
        <f t="shared" si="6"/>
        <v>-0.19305647922522873</v>
      </c>
      <c r="F244">
        <f t="shared" si="7"/>
        <v>-1.0739820344718431E-3</v>
      </c>
    </row>
    <row r="245" spans="2:6" x14ac:dyDescent="0.45">
      <c r="B245" s="132">
        <v>44516</v>
      </c>
      <c r="C245">
        <v>327.90414428710938</v>
      </c>
      <c r="D245">
        <v>4700.89990234375</v>
      </c>
      <c r="E245">
        <f t="shared" si="6"/>
        <v>1.0235998967270454</v>
      </c>
      <c r="F245">
        <f t="shared" si="7"/>
        <v>0.3865229864862485</v>
      </c>
    </row>
    <row r="246" spans="2:6" x14ac:dyDescent="0.45">
      <c r="B246" s="132">
        <v>44517</v>
      </c>
      <c r="C246">
        <v>328.126708984375</v>
      </c>
      <c r="D246">
        <v>4688.669921875</v>
      </c>
      <c r="E246">
        <f t="shared" si="6"/>
        <v>6.7874926603783692E-2</v>
      </c>
      <c r="F246">
        <f t="shared" si="7"/>
        <v>-0.2601625374463401</v>
      </c>
    </row>
    <row r="247" spans="2:6" x14ac:dyDescent="0.45">
      <c r="B247" s="132">
        <v>44518</v>
      </c>
      <c r="C247">
        <v>330.20703125</v>
      </c>
      <c r="D247">
        <v>4704.5400390625</v>
      </c>
      <c r="E247">
        <f t="shared" si="6"/>
        <v>0.63399967410884273</v>
      </c>
      <c r="F247">
        <f t="shared" si="7"/>
        <v>0.33847802152713324</v>
      </c>
    </row>
    <row r="248" spans="2:6" x14ac:dyDescent="0.45">
      <c r="B248" s="132">
        <v>44519</v>
      </c>
      <c r="C248">
        <v>331.98733520507813</v>
      </c>
      <c r="D248">
        <v>4697.9599609375</v>
      </c>
      <c r="E248">
        <f t="shared" si="6"/>
        <v>0.53914780322477096</v>
      </c>
      <c r="F248">
        <f t="shared" si="7"/>
        <v>-0.1398665559303236</v>
      </c>
    </row>
    <row r="249" spans="2:6" x14ac:dyDescent="0.45">
      <c r="B249" s="132">
        <v>44522</v>
      </c>
      <c r="C249">
        <v>328.813720703125</v>
      </c>
      <c r="D249">
        <v>4682.93994140625</v>
      </c>
      <c r="E249">
        <f t="shared" si="6"/>
        <v>-0.95594444890275687</v>
      </c>
      <c r="F249">
        <f t="shared" si="7"/>
        <v>-0.31971365563219223</v>
      </c>
    </row>
    <row r="250" spans="2:6" x14ac:dyDescent="0.45">
      <c r="B250" s="132">
        <v>44523</v>
      </c>
      <c r="C250">
        <v>326.73336791992188</v>
      </c>
      <c r="D250">
        <v>4690.7001953125</v>
      </c>
      <c r="E250">
        <f t="shared" si="6"/>
        <v>-0.63268429880436461</v>
      </c>
      <c r="F250">
        <f t="shared" si="7"/>
        <v>0.1657132912945114</v>
      </c>
    </row>
    <row r="251" spans="2:6" x14ac:dyDescent="0.45">
      <c r="B251" s="132">
        <v>44524</v>
      </c>
      <c r="C251">
        <v>326.95596313476563</v>
      </c>
      <c r="D251">
        <v>4701.4599609375</v>
      </c>
      <c r="E251">
        <f t="shared" si="6"/>
        <v>6.8127481518298616E-2</v>
      </c>
      <c r="F251">
        <f t="shared" si="7"/>
        <v>0.22938506357221833</v>
      </c>
    </row>
    <row r="252" spans="2:6" x14ac:dyDescent="0.45">
      <c r="B252" s="132">
        <v>44526</v>
      </c>
      <c r="C252">
        <v>318.99270629882813</v>
      </c>
      <c r="D252">
        <v>4594.6201171875</v>
      </c>
      <c r="E252">
        <f t="shared" si="6"/>
        <v>-2.4355747359943947</v>
      </c>
      <c r="F252">
        <f t="shared" si="7"/>
        <v>-2.2724822637582465</v>
      </c>
    </row>
    <row r="253" spans="2:6" x14ac:dyDescent="0.45">
      <c r="B253" s="132">
        <v>44529</v>
      </c>
      <c r="C253">
        <v>325.71749877929688</v>
      </c>
      <c r="D253">
        <v>4655.27001953125</v>
      </c>
      <c r="E253">
        <f t="shared" si="6"/>
        <v>2.1081336180047483</v>
      </c>
      <c r="F253">
        <f t="shared" si="7"/>
        <v>1.3200199537034996</v>
      </c>
    </row>
    <row r="254" spans="2:6" x14ac:dyDescent="0.45">
      <c r="B254" s="132">
        <v>44530</v>
      </c>
      <c r="C254">
        <v>319.87322998046881</v>
      </c>
      <c r="D254">
        <v>4567</v>
      </c>
      <c r="E254">
        <f t="shared" si="6"/>
        <v>-1.7942753523316535</v>
      </c>
      <c r="F254">
        <f t="shared" si="7"/>
        <v>-1.896131033450521</v>
      </c>
    </row>
    <row r="255" spans="2:6" x14ac:dyDescent="0.45">
      <c r="B255" s="132">
        <v>44531</v>
      </c>
      <c r="C255">
        <v>319.3797607421875</v>
      </c>
      <c r="D255">
        <v>4513.0400390625</v>
      </c>
      <c r="E255">
        <f t="shared" si="6"/>
        <v>-0.1542702520968775</v>
      </c>
      <c r="F255">
        <f t="shared" si="7"/>
        <v>-1.1815187417889228</v>
      </c>
    </row>
    <row r="256" spans="2:6" x14ac:dyDescent="0.45">
      <c r="B256" s="132">
        <v>44532</v>
      </c>
      <c r="C256">
        <v>318.808837890625</v>
      </c>
      <c r="D256">
        <v>4577.10009765625</v>
      </c>
      <c r="E256">
        <f t="shared" si="6"/>
        <v>-0.17875987202061738</v>
      </c>
      <c r="F256">
        <f t="shared" si="7"/>
        <v>1.419443613158311</v>
      </c>
    </row>
    <row r="257" spans="2:6" x14ac:dyDescent="0.45">
      <c r="B257" s="132">
        <v>44533</v>
      </c>
      <c r="C257">
        <v>312.5389404296875</v>
      </c>
      <c r="D257">
        <v>4538.43017578125</v>
      </c>
      <c r="E257">
        <f t="shared" si="6"/>
        <v>-1.9666636290329387</v>
      </c>
      <c r="F257">
        <f t="shared" si="7"/>
        <v>-0.84485637302975647</v>
      </c>
    </row>
    <row r="258" spans="2:6" x14ac:dyDescent="0.45">
      <c r="B258" s="132">
        <v>44536</v>
      </c>
      <c r="C258">
        <v>315.61581420898438</v>
      </c>
      <c r="D258">
        <v>4591.669921875</v>
      </c>
      <c r="E258">
        <f t="shared" si="6"/>
        <v>0.98447693431951144</v>
      </c>
      <c r="F258">
        <f t="shared" si="7"/>
        <v>1.1730872577451423</v>
      </c>
    </row>
    <row r="259" spans="2:6" x14ac:dyDescent="0.45">
      <c r="B259" s="132">
        <v>44537</v>
      </c>
      <c r="C259">
        <v>324.0628662109375</v>
      </c>
      <c r="D259">
        <v>4686.75</v>
      </c>
      <c r="E259">
        <f t="shared" si="6"/>
        <v>2.6763715953598943</v>
      </c>
      <c r="F259">
        <f t="shared" si="7"/>
        <v>2.0707080374404274</v>
      </c>
    </row>
    <row r="260" spans="2:6" x14ac:dyDescent="0.45">
      <c r="B260" s="132">
        <v>44538</v>
      </c>
      <c r="C260">
        <v>324.1112060546875</v>
      </c>
      <c r="D260">
        <v>4701.2099609375</v>
      </c>
      <c r="E260">
        <f t="shared" si="6"/>
        <v>1.491681052976368E-2</v>
      </c>
      <c r="F260">
        <f t="shared" si="7"/>
        <v>0.30852853123166657</v>
      </c>
    </row>
    <row r="261" spans="2:6" x14ac:dyDescent="0.45">
      <c r="B261" s="132">
        <v>44539</v>
      </c>
      <c r="C261">
        <v>322.3018798828125</v>
      </c>
      <c r="D261">
        <v>4667.4501953125</v>
      </c>
      <c r="E261">
        <f t="shared" si="6"/>
        <v>-0.55824239892825478</v>
      </c>
      <c r="F261">
        <f t="shared" si="7"/>
        <v>-0.71810801698947158</v>
      </c>
    </row>
    <row r="262" spans="2:6" x14ac:dyDescent="0.45">
      <c r="B262" s="132">
        <v>44540</v>
      </c>
      <c r="C262">
        <v>331.43588256835938</v>
      </c>
      <c r="D262">
        <v>4712.02001953125</v>
      </c>
      <c r="E262">
        <f t="shared" si="6"/>
        <v>2.8339898882587811</v>
      </c>
      <c r="F262">
        <f t="shared" si="7"/>
        <v>0.95490733384817617</v>
      </c>
    </row>
    <row r="263" spans="2:6" x14ac:dyDescent="0.45">
      <c r="B263" s="132">
        <v>44543</v>
      </c>
      <c r="C263">
        <v>328.39773559570313</v>
      </c>
      <c r="D263">
        <v>4668.97021484375</v>
      </c>
      <c r="E263">
        <f t="shared" si="6"/>
        <v>-0.91666205515017474</v>
      </c>
      <c r="F263">
        <f t="shared" si="7"/>
        <v>-0.91361676115676582</v>
      </c>
    </row>
    <row r="264" spans="2:6" x14ac:dyDescent="0.45">
      <c r="B264" s="132">
        <v>44544</v>
      </c>
      <c r="C264">
        <v>317.6961669921875</v>
      </c>
      <c r="D264">
        <v>4634.08984375</v>
      </c>
      <c r="E264">
        <f t="shared" ref="E264:E327" si="8">((C264/C263)-1)*100</f>
        <v>-3.2587218008989338</v>
      </c>
      <c r="F264">
        <f t="shared" ref="F264:F327" si="9">((D264/D263)-1)*100</f>
        <v>-0.74706775774360246</v>
      </c>
    </row>
    <row r="265" spans="2:6" x14ac:dyDescent="0.45">
      <c r="B265" s="132">
        <v>44545</v>
      </c>
      <c r="C265">
        <v>323.80160522460938</v>
      </c>
      <c r="D265">
        <v>4709.85009765625</v>
      </c>
      <c r="E265">
        <f t="shared" si="8"/>
        <v>1.9217852988991257</v>
      </c>
      <c r="F265">
        <f t="shared" si="9"/>
        <v>1.6348464630746795</v>
      </c>
    </row>
    <row r="266" spans="2:6" x14ac:dyDescent="0.45">
      <c r="B266" s="132">
        <v>44546</v>
      </c>
      <c r="C266">
        <v>314.36776733398438</v>
      </c>
      <c r="D266">
        <v>4668.669921875</v>
      </c>
      <c r="E266">
        <f t="shared" si="8"/>
        <v>-2.9134623604108123</v>
      </c>
      <c r="F266">
        <f t="shared" si="9"/>
        <v>-0.87434153799804681</v>
      </c>
    </row>
    <row r="267" spans="2:6" x14ac:dyDescent="0.45">
      <c r="B267" s="132">
        <v>44547</v>
      </c>
      <c r="C267">
        <v>313.30337524414063</v>
      </c>
      <c r="D267">
        <v>4620.64013671875</v>
      </c>
      <c r="E267">
        <f t="shared" si="8"/>
        <v>-0.33858181418228162</v>
      </c>
      <c r="F267">
        <f t="shared" si="9"/>
        <v>-1.0287680637092622</v>
      </c>
    </row>
    <row r="268" spans="2:6" x14ac:dyDescent="0.45">
      <c r="B268" s="132">
        <v>44550</v>
      </c>
      <c r="C268">
        <v>309.53939819335938</v>
      </c>
      <c r="D268">
        <v>4568.02001953125</v>
      </c>
      <c r="E268">
        <f t="shared" si="8"/>
        <v>-1.2013841369720946</v>
      </c>
      <c r="F268">
        <f t="shared" si="9"/>
        <v>-1.138805785140995</v>
      </c>
    </row>
    <row r="269" spans="2:6" x14ac:dyDescent="0.45">
      <c r="B269" s="132">
        <v>44551</v>
      </c>
      <c r="C269">
        <v>316.68023681640619</v>
      </c>
      <c r="D269">
        <v>4649.22998046875</v>
      </c>
      <c r="E269">
        <f t="shared" si="8"/>
        <v>2.3069239860013413</v>
      </c>
      <c r="F269">
        <f t="shared" si="9"/>
        <v>1.7777934551572505</v>
      </c>
    </row>
    <row r="270" spans="2:6" x14ac:dyDescent="0.45">
      <c r="B270" s="132">
        <v>44552</v>
      </c>
      <c r="C270">
        <v>322.39859008789063</v>
      </c>
      <c r="D270">
        <v>4696.56005859375</v>
      </c>
      <c r="E270">
        <f t="shared" si="8"/>
        <v>1.8057183893037232</v>
      </c>
      <c r="F270">
        <f t="shared" si="9"/>
        <v>1.0180197220578835</v>
      </c>
    </row>
    <row r="271" spans="2:6" x14ac:dyDescent="0.45">
      <c r="B271" s="132">
        <v>44553</v>
      </c>
      <c r="C271">
        <v>323.84030151367188</v>
      </c>
      <c r="D271">
        <v>4725.7900390625</v>
      </c>
      <c r="E271">
        <f t="shared" si="8"/>
        <v>0.44718291894150219</v>
      </c>
      <c r="F271">
        <f t="shared" si="9"/>
        <v>0.62236999216618294</v>
      </c>
    </row>
    <row r="272" spans="2:6" x14ac:dyDescent="0.45">
      <c r="B272" s="132">
        <v>44557</v>
      </c>
      <c r="C272">
        <v>331.34869384765619</v>
      </c>
      <c r="D272">
        <v>4791.18994140625</v>
      </c>
      <c r="E272">
        <f t="shared" si="8"/>
        <v>2.3185478456168473</v>
      </c>
      <c r="F272">
        <f t="shared" si="9"/>
        <v>1.3838935247475259</v>
      </c>
    </row>
    <row r="273" spans="2:6" x14ac:dyDescent="0.45">
      <c r="B273" s="132">
        <v>44558</v>
      </c>
      <c r="C273">
        <v>330.18768310546881</v>
      </c>
      <c r="D273">
        <v>4786.35009765625</v>
      </c>
      <c r="E273">
        <f t="shared" si="8"/>
        <v>-0.35038941264732282</v>
      </c>
      <c r="F273">
        <f t="shared" si="9"/>
        <v>-0.10101548486260992</v>
      </c>
    </row>
    <row r="274" spans="2:6" x14ac:dyDescent="0.45">
      <c r="B274" s="132">
        <v>44559</v>
      </c>
      <c r="C274">
        <v>330.86502075195313</v>
      </c>
      <c r="D274">
        <v>4793.06005859375</v>
      </c>
      <c r="E274">
        <f t="shared" si="8"/>
        <v>0.20513716323815601</v>
      </c>
      <c r="F274">
        <f t="shared" si="9"/>
        <v>0.14018951394270118</v>
      </c>
    </row>
    <row r="275" spans="2:6" x14ac:dyDescent="0.45">
      <c r="B275" s="132">
        <v>44560</v>
      </c>
      <c r="C275">
        <v>328.32025146484381</v>
      </c>
      <c r="D275">
        <v>4778.72998046875</v>
      </c>
      <c r="E275">
        <f t="shared" si="8"/>
        <v>-0.7691261171476671</v>
      </c>
      <c r="F275">
        <f t="shared" si="9"/>
        <v>-0.29897555945093135</v>
      </c>
    </row>
    <row r="276" spans="2:6" x14ac:dyDescent="0.45">
      <c r="B276" s="132">
        <v>44561</v>
      </c>
      <c r="C276">
        <v>325.41754150390619</v>
      </c>
      <c r="D276">
        <v>4766.18017578125</v>
      </c>
      <c r="E276">
        <f t="shared" si="8"/>
        <v>-0.8841093255706256</v>
      </c>
      <c r="F276">
        <f t="shared" si="9"/>
        <v>-0.26261799136575448</v>
      </c>
    </row>
    <row r="277" spans="2:6" x14ac:dyDescent="0.45">
      <c r="B277" s="132">
        <v>44564</v>
      </c>
      <c r="C277">
        <v>323.89837646484381</v>
      </c>
      <c r="D277">
        <v>4796.56005859375</v>
      </c>
      <c r="E277">
        <f t="shared" si="8"/>
        <v>-0.46683563278169249</v>
      </c>
      <c r="F277">
        <f t="shared" si="9"/>
        <v>0.63740525309705642</v>
      </c>
    </row>
    <row r="278" spans="2:6" x14ac:dyDescent="0.45">
      <c r="B278" s="132">
        <v>44565</v>
      </c>
      <c r="C278">
        <v>318.344482421875</v>
      </c>
      <c r="D278">
        <v>4793.5400390625</v>
      </c>
      <c r="E278">
        <f t="shared" si="8"/>
        <v>-1.7147026495119344</v>
      </c>
      <c r="F278">
        <f t="shared" si="9"/>
        <v>-6.2962195706051105E-2</v>
      </c>
    </row>
    <row r="279" spans="2:6" x14ac:dyDescent="0.45">
      <c r="B279" s="132">
        <v>44566</v>
      </c>
      <c r="C279">
        <v>306.12387084960938</v>
      </c>
      <c r="D279">
        <v>4700.580078125</v>
      </c>
      <c r="E279">
        <f t="shared" si="8"/>
        <v>-3.8388011248992493</v>
      </c>
      <c r="F279">
        <f t="shared" si="9"/>
        <v>-1.9392757790687165</v>
      </c>
    </row>
    <row r="280" spans="2:6" x14ac:dyDescent="0.45">
      <c r="B280" s="132">
        <v>44567</v>
      </c>
      <c r="C280">
        <v>303.70492553710938</v>
      </c>
      <c r="D280">
        <v>4696.0498046875</v>
      </c>
      <c r="E280">
        <f t="shared" si="8"/>
        <v>-0.79018513185087347</v>
      </c>
      <c r="F280">
        <f t="shared" si="9"/>
        <v>-9.6376901620764954E-2</v>
      </c>
    </row>
    <row r="281" spans="2:6" x14ac:dyDescent="0.45">
      <c r="B281" s="132">
        <v>44568</v>
      </c>
      <c r="C281">
        <v>303.85977172851563</v>
      </c>
      <c r="D281">
        <v>4677.02978515625</v>
      </c>
      <c r="E281">
        <f t="shared" si="8"/>
        <v>5.0985735951569744E-2</v>
      </c>
      <c r="F281">
        <f t="shared" si="9"/>
        <v>-0.4050216740091761</v>
      </c>
    </row>
    <row r="282" spans="2:6" x14ac:dyDescent="0.45">
      <c r="B282" s="132">
        <v>44571</v>
      </c>
      <c r="C282">
        <v>304.08230590820313</v>
      </c>
      <c r="D282">
        <v>4670.2900390625</v>
      </c>
      <c r="E282">
        <f t="shared" si="8"/>
        <v>7.3235814804184507E-2</v>
      </c>
      <c r="F282">
        <f t="shared" si="9"/>
        <v>-0.14410312534549607</v>
      </c>
    </row>
    <row r="283" spans="2:6" x14ac:dyDescent="0.45">
      <c r="B283" s="132">
        <v>44572</v>
      </c>
      <c r="C283">
        <v>304.76922607421881</v>
      </c>
      <c r="D283">
        <v>4713.06982421875</v>
      </c>
      <c r="E283">
        <f t="shared" si="8"/>
        <v>0.22589942021258302</v>
      </c>
      <c r="F283">
        <f t="shared" si="9"/>
        <v>0.9159984668711818</v>
      </c>
    </row>
    <row r="284" spans="2:6" x14ac:dyDescent="0.45">
      <c r="B284" s="132">
        <v>44573</v>
      </c>
      <c r="C284">
        <v>307.95254516601563</v>
      </c>
      <c r="D284">
        <v>4726.35009765625</v>
      </c>
      <c r="E284">
        <f t="shared" si="8"/>
        <v>1.0445014848781353</v>
      </c>
      <c r="F284">
        <f t="shared" si="9"/>
        <v>0.28177544430294521</v>
      </c>
    </row>
    <row r="285" spans="2:6" x14ac:dyDescent="0.45">
      <c r="B285" s="132">
        <v>44574</v>
      </c>
      <c r="C285">
        <v>294.91925048828119</v>
      </c>
      <c r="D285">
        <v>4659.02978515625</v>
      </c>
      <c r="E285">
        <f t="shared" si="8"/>
        <v>-4.2322412599994141</v>
      </c>
      <c r="F285">
        <f t="shared" si="9"/>
        <v>-1.42436152864307</v>
      </c>
    </row>
    <row r="286" spans="2:6" x14ac:dyDescent="0.45">
      <c r="B286" s="132">
        <v>44575</v>
      </c>
      <c r="C286">
        <v>300.14422607421881</v>
      </c>
      <c r="D286">
        <v>4662.85009765625</v>
      </c>
      <c r="E286">
        <f t="shared" si="8"/>
        <v>1.7716631170352271</v>
      </c>
      <c r="F286">
        <f t="shared" si="9"/>
        <v>8.1998026974883231E-2</v>
      </c>
    </row>
    <row r="287" spans="2:6" x14ac:dyDescent="0.45">
      <c r="B287" s="132">
        <v>44579</v>
      </c>
      <c r="C287">
        <v>292.83892822265619</v>
      </c>
      <c r="D287">
        <v>4577.10986328125</v>
      </c>
      <c r="E287">
        <f t="shared" si="8"/>
        <v>-2.4339291636935156</v>
      </c>
      <c r="F287">
        <f t="shared" si="9"/>
        <v>-1.8387945694007368</v>
      </c>
    </row>
    <row r="288" spans="2:6" x14ac:dyDescent="0.45">
      <c r="B288" s="132">
        <v>44580</v>
      </c>
      <c r="C288">
        <v>293.49691772460938</v>
      </c>
      <c r="D288">
        <v>4532.759765625</v>
      </c>
      <c r="E288">
        <f t="shared" si="8"/>
        <v>0.22469331722621</v>
      </c>
      <c r="F288">
        <f t="shared" si="9"/>
        <v>-0.96895418683388135</v>
      </c>
    </row>
    <row r="289" spans="2:6" x14ac:dyDescent="0.45">
      <c r="B289" s="132">
        <v>44581</v>
      </c>
      <c r="C289">
        <v>291.82302856445313</v>
      </c>
      <c r="D289">
        <v>4482.72998046875</v>
      </c>
      <c r="E289">
        <f t="shared" si="8"/>
        <v>-0.57032597586830214</v>
      </c>
      <c r="F289">
        <f t="shared" si="9"/>
        <v>-1.103737849414832</v>
      </c>
    </row>
    <row r="290" spans="2:6" x14ac:dyDescent="0.45">
      <c r="B290" s="132">
        <v>44582</v>
      </c>
      <c r="C290">
        <v>286.43365478515619</v>
      </c>
      <c r="D290">
        <v>4397.93994140625</v>
      </c>
      <c r="E290">
        <f t="shared" si="8"/>
        <v>-1.8467952326478576</v>
      </c>
      <c r="F290">
        <f t="shared" si="9"/>
        <v>-1.8914821867908604</v>
      </c>
    </row>
    <row r="291" spans="2:6" x14ac:dyDescent="0.45">
      <c r="B291" s="132">
        <v>44585</v>
      </c>
      <c r="C291">
        <v>286.76254272460938</v>
      </c>
      <c r="D291">
        <v>4410.1298828125</v>
      </c>
      <c r="E291">
        <f t="shared" si="8"/>
        <v>0.11482168172587404</v>
      </c>
      <c r="F291">
        <f t="shared" si="9"/>
        <v>0.27717389433818962</v>
      </c>
    </row>
    <row r="292" spans="2:6" x14ac:dyDescent="0.45">
      <c r="B292" s="132">
        <v>44586</v>
      </c>
      <c r="C292">
        <v>279.13800048828119</v>
      </c>
      <c r="D292">
        <v>4356.4501953125</v>
      </c>
      <c r="E292">
        <f t="shared" si="8"/>
        <v>-2.6588347850055039</v>
      </c>
      <c r="F292">
        <f t="shared" si="9"/>
        <v>-1.2171906253646725</v>
      </c>
    </row>
    <row r="293" spans="2:6" x14ac:dyDescent="0.45">
      <c r="B293" s="132">
        <v>44587</v>
      </c>
      <c r="C293">
        <v>287.09149169921881</v>
      </c>
      <c r="D293">
        <v>4349.93017578125</v>
      </c>
      <c r="E293">
        <f t="shared" si="8"/>
        <v>2.8493043573519117</v>
      </c>
      <c r="F293">
        <f t="shared" si="9"/>
        <v>-0.14966358477518371</v>
      </c>
    </row>
    <row r="294" spans="2:6" x14ac:dyDescent="0.45">
      <c r="B294" s="132">
        <v>44588</v>
      </c>
      <c r="C294">
        <v>290.1199951171875</v>
      </c>
      <c r="D294">
        <v>4326.509765625</v>
      </c>
      <c r="E294">
        <f t="shared" si="8"/>
        <v>1.0548913867296283</v>
      </c>
      <c r="F294">
        <f t="shared" si="9"/>
        <v>-0.53840887577105701</v>
      </c>
    </row>
    <row r="295" spans="2:6" x14ac:dyDescent="0.45">
      <c r="B295" s="132">
        <v>44589</v>
      </c>
      <c r="C295">
        <v>298.26715087890619</v>
      </c>
      <c r="D295">
        <v>4431.85009765625</v>
      </c>
      <c r="E295">
        <f t="shared" si="8"/>
        <v>2.8082020883902992</v>
      </c>
      <c r="F295">
        <f t="shared" si="9"/>
        <v>2.4347646888076113</v>
      </c>
    </row>
    <row r="296" spans="2:6" x14ac:dyDescent="0.45">
      <c r="B296" s="132">
        <v>44592</v>
      </c>
      <c r="C296">
        <v>300.89895629882813</v>
      </c>
      <c r="D296">
        <v>4515.5498046875</v>
      </c>
      <c r="E296">
        <f t="shared" si="8"/>
        <v>0.8823651589411563</v>
      </c>
      <c r="F296">
        <f t="shared" si="9"/>
        <v>1.8885951732779516</v>
      </c>
    </row>
    <row r="297" spans="2:6" x14ac:dyDescent="0.45">
      <c r="B297" s="132">
        <v>44593</v>
      </c>
      <c r="C297">
        <v>298.75091552734381</v>
      </c>
      <c r="D297">
        <v>4546.5400390625</v>
      </c>
      <c r="E297">
        <f t="shared" si="8"/>
        <v>-0.71387445071463551</v>
      </c>
      <c r="F297">
        <f t="shared" si="9"/>
        <v>0.68630035578014503</v>
      </c>
    </row>
    <row r="298" spans="2:6" x14ac:dyDescent="0.45">
      <c r="B298" s="132">
        <v>44594</v>
      </c>
      <c r="C298">
        <v>303.29852294921881</v>
      </c>
      <c r="D298">
        <v>4589.3798828125</v>
      </c>
      <c r="E298">
        <f t="shared" si="8"/>
        <v>1.5222070244865105</v>
      </c>
      <c r="F298">
        <f t="shared" si="9"/>
        <v>0.94225154473364103</v>
      </c>
    </row>
    <row r="299" spans="2:6" x14ac:dyDescent="0.45">
      <c r="B299" s="132">
        <v>44595</v>
      </c>
      <c r="C299">
        <v>291.48434448242188</v>
      </c>
      <c r="D299">
        <v>4477.43994140625</v>
      </c>
      <c r="E299">
        <f t="shared" si="8"/>
        <v>-3.8952311247407501</v>
      </c>
      <c r="F299">
        <f t="shared" si="9"/>
        <v>-2.4391082077444004</v>
      </c>
    </row>
    <row r="300" spans="2:6" x14ac:dyDescent="0.45">
      <c r="B300" s="132">
        <v>44596</v>
      </c>
      <c r="C300">
        <v>296.02236938476563</v>
      </c>
      <c r="D300">
        <v>4500.52978515625</v>
      </c>
      <c r="E300">
        <f t="shared" si="8"/>
        <v>1.5568674572906227</v>
      </c>
      <c r="F300">
        <f t="shared" si="9"/>
        <v>0.51569298644233985</v>
      </c>
    </row>
    <row r="301" spans="2:6" x14ac:dyDescent="0.45">
      <c r="B301" s="132">
        <v>44599</v>
      </c>
      <c r="C301">
        <v>291.19415283203119</v>
      </c>
      <c r="D301">
        <v>4483.8701171875</v>
      </c>
      <c r="E301">
        <f t="shared" si="8"/>
        <v>-1.6310309801144784</v>
      </c>
      <c r="F301">
        <f t="shared" si="9"/>
        <v>-0.37017126347429485</v>
      </c>
    </row>
    <row r="302" spans="2:6" x14ac:dyDescent="0.45">
      <c r="B302" s="132">
        <v>44600</v>
      </c>
      <c r="C302">
        <v>294.68701171875</v>
      </c>
      <c r="D302">
        <v>4521.5400390625</v>
      </c>
      <c r="E302">
        <f t="shared" si="8"/>
        <v>1.1994948568673891</v>
      </c>
      <c r="F302">
        <f t="shared" si="9"/>
        <v>0.84012071916632625</v>
      </c>
    </row>
    <row r="303" spans="2:6" x14ac:dyDescent="0.45">
      <c r="B303" s="132">
        <v>44601</v>
      </c>
      <c r="C303">
        <v>301.12152099609381</v>
      </c>
      <c r="D303">
        <v>4587.18017578125</v>
      </c>
      <c r="E303">
        <f t="shared" si="8"/>
        <v>2.1835062359263135</v>
      </c>
      <c r="F303">
        <f t="shared" si="9"/>
        <v>1.4517207887505545</v>
      </c>
    </row>
    <row r="304" spans="2:6" x14ac:dyDescent="0.45">
      <c r="B304" s="132">
        <v>44602</v>
      </c>
      <c r="C304">
        <v>292.57769775390619</v>
      </c>
      <c r="D304">
        <v>4504.080078125</v>
      </c>
      <c r="E304">
        <f t="shared" si="8"/>
        <v>-2.8373339819502408</v>
      </c>
      <c r="F304">
        <f t="shared" si="9"/>
        <v>-1.8115725668459759</v>
      </c>
    </row>
    <row r="305" spans="2:6" x14ac:dyDescent="0.45">
      <c r="B305" s="132">
        <v>44603</v>
      </c>
      <c r="C305">
        <v>285.47567749023438</v>
      </c>
      <c r="D305">
        <v>4418.64013671875</v>
      </c>
      <c r="E305">
        <f t="shared" si="8"/>
        <v>-2.4273963183774505</v>
      </c>
      <c r="F305">
        <f t="shared" si="9"/>
        <v>-1.896945434456343</v>
      </c>
    </row>
    <row r="306" spans="2:6" x14ac:dyDescent="0.45">
      <c r="B306" s="132">
        <v>44606</v>
      </c>
      <c r="C306">
        <v>285.43695068359381</v>
      </c>
      <c r="D306">
        <v>4401.669921875</v>
      </c>
      <c r="E306">
        <f t="shared" si="8"/>
        <v>-1.3565711440299832E-2</v>
      </c>
      <c r="F306">
        <f t="shared" si="9"/>
        <v>-0.38405967262932217</v>
      </c>
    </row>
    <row r="307" spans="2:6" x14ac:dyDescent="0.45">
      <c r="B307" s="132">
        <v>44607</v>
      </c>
      <c r="C307">
        <v>290.7296142578125</v>
      </c>
      <c r="D307">
        <v>4471.06982421875</v>
      </c>
      <c r="E307">
        <f t="shared" si="8"/>
        <v>1.8542321032870124</v>
      </c>
      <c r="F307">
        <f t="shared" si="9"/>
        <v>1.5766721170720421</v>
      </c>
    </row>
    <row r="308" spans="2:6" x14ac:dyDescent="0.45">
      <c r="B308" s="132">
        <v>44608</v>
      </c>
      <c r="C308">
        <v>290.3902587890625</v>
      </c>
      <c r="D308">
        <v>4475.009765625</v>
      </c>
      <c r="E308">
        <f t="shared" si="8"/>
        <v>-0.11672545626847386</v>
      </c>
      <c r="F308">
        <f t="shared" si="9"/>
        <v>8.8120775589506373E-2</v>
      </c>
    </row>
    <row r="309" spans="2:6" x14ac:dyDescent="0.45">
      <c r="B309" s="132">
        <v>44609</v>
      </c>
      <c r="C309">
        <v>281.8870849609375</v>
      </c>
      <c r="D309">
        <v>4380.259765625</v>
      </c>
      <c r="E309">
        <f t="shared" si="8"/>
        <v>-2.9281883846873913</v>
      </c>
      <c r="F309">
        <f t="shared" si="9"/>
        <v>-2.1173138152195015</v>
      </c>
    </row>
    <row r="310" spans="2:6" x14ac:dyDescent="0.45">
      <c r="B310" s="132">
        <v>44610</v>
      </c>
      <c r="C310">
        <v>279.1722412109375</v>
      </c>
      <c r="D310">
        <v>4348.8701171875</v>
      </c>
      <c r="E310">
        <f t="shared" si="8"/>
        <v>-0.96309618100318684</v>
      </c>
      <c r="F310">
        <f t="shared" si="9"/>
        <v>-0.71661613961429005</v>
      </c>
    </row>
    <row r="311" spans="2:6" x14ac:dyDescent="0.45">
      <c r="B311" s="132">
        <v>44614</v>
      </c>
      <c r="C311">
        <v>278.96859741210938</v>
      </c>
      <c r="D311">
        <v>4304.759765625</v>
      </c>
      <c r="E311">
        <f t="shared" si="8"/>
        <v>-7.2945575801086626E-2</v>
      </c>
      <c r="F311">
        <f t="shared" si="9"/>
        <v>-1.0142945264832837</v>
      </c>
    </row>
    <row r="312" spans="2:6" x14ac:dyDescent="0.45">
      <c r="B312" s="132">
        <v>44615</v>
      </c>
      <c r="C312">
        <v>271.7452392578125</v>
      </c>
      <c r="D312">
        <v>4225.5</v>
      </c>
      <c r="E312">
        <f t="shared" si="8"/>
        <v>-2.5893086968588386</v>
      </c>
      <c r="F312">
        <f t="shared" si="9"/>
        <v>-1.8412122845487655</v>
      </c>
    </row>
    <row r="313" spans="2:6" x14ac:dyDescent="0.45">
      <c r="B313" s="132">
        <v>44616</v>
      </c>
      <c r="C313">
        <v>285.62960815429688</v>
      </c>
      <c r="D313">
        <v>4288.7001953125</v>
      </c>
      <c r="E313">
        <f t="shared" si="8"/>
        <v>5.1093328937078075</v>
      </c>
      <c r="F313">
        <f t="shared" si="9"/>
        <v>1.4956856067329216</v>
      </c>
    </row>
    <row r="314" spans="2:6" x14ac:dyDescent="0.45">
      <c r="B314" s="132">
        <v>44617</v>
      </c>
      <c r="C314">
        <v>288.26687622070313</v>
      </c>
      <c r="D314">
        <v>4384.64990234375</v>
      </c>
      <c r="E314">
        <f t="shared" si="8"/>
        <v>0.9233174681882339</v>
      </c>
      <c r="F314">
        <f t="shared" si="9"/>
        <v>2.2372677655603468</v>
      </c>
    </row>
    <row r="315" spans="2:6" x14ac:dyDescent="0.45">
      <c r="B315" s="132">
        <v>44620</v>
      </c>
      <c r="C315">
        <v>289.701904296875</v>
      </c>
      <c r="D315">
        <v>4373.93994140625</v>
      </c>
      <c r="E315">
        <f t="shared" si="8"/>
        <v>0.49781233799237601</v>
      </c>
      <c r="F315">
        <f t="shared" si="9"/>
        <v>-0.24426034406476171</v>
      </c>
    </row>
    <row r="316" spans="2:6" x14ac:dyDescent="0.45">
      <c r="B316" s="132">
        <v>44621</v>
      </c>
      <c r="C316">
        <v>285.97869873046881</v>
      </c>
      <c r="D316">
        <v>4306.259765625</v>
      </c>
      <c r="E316">
        <f t="shared" si="8"/>
        <v>-1.2851850509725371</v>
      </c>
      <c r="F316">
        <f t="shared" si="9"/>
        <v>-1.5473503680411893</v>
      </c>
    </row>
    <row r="317" spans="2:6" x14ac:dyDescent="0.45">
      <c r="B317" s="132">
        <v>44622</v>
      </c>
      <c r="C317">
        <v>291.05929565429688</v>
      </c>
      <c r="D317">
        <v>4386.5400390625</v>
      </c>
      <c r="E317">
        <f t="shared" si="8"/>
        <v>1.7765648093309494</v>
      </c>
      <c r="F317">
        <f t="shared" si="9"/>
        <v>1.8642691757321028</v>
      </c>
    </row>
    <row r="318" spans="2:6" x14ac:dyDescent="0.45">
      <c r="B318" s="132">
        <v>44623</v>
      </c>
      <c r="C318">
        <v>286.919189453125</v>
      </c>
      <c r="D318">
        <v>4363.490234375</v>
      </c>
      <c r="E318">
        <f t="shared" si="8"/>
        <v>-1.4224270665758931</v>
      </c>
      <c r="F318">
        <f t="shared" si="9"/>
        <v>-0.52546664300883172</v>
      </c>
    </row>
    <row r="319" spans="2:6" x14ac:dyDescent="0.45">
      <c r="B319" s="132">
        <v>44624</v>
      </c>
      <c r="C319">
        <v>281.04348754882813</v>
      </c>
      <c r="D319">
        <v>4328.8701171875</v>
      </c>
      <c r="E319">
        <f t="shared" si="8"/>
        <v>-2.0478595089774565</v>
      </c>
      <c r="F319">
        <f t="shared" si="9"/>
        <v>-0.79340425503344747</v>
      </c>
    </row>
    <row r="320" spans="2:6" x14ac:dyDescent="0.45">
      <c r="B320" s="132">
        <v>44627</v>
      </c>
      <c r="C320">
        <v>270.42654418945313</v>
      </c>
      <c r="D320">
        <v>4201.08984375</v>
      </c>
      <c r="E320">
        <f t="shared" si="8"/>
        <v>-3.7776870234470072</v>
      </c>
      <c r="F320">
        <f t="shared" si="9"/>
        <v>-2.9518158313449172</v>
      </c>
    </row>
    <row r="321" spans="2:6" x14ac:dyDescent="0.45">
      <c r="B321" s="132">
        <v>44628</v>
      </c>
      <c r="C321">
        <v>267.4595947265625</v>
      </c>
      <c r="D321">
        <v>4170.7001953125</v>
      </c>
      <c r="E321">
        <f t="shared" si="8"/>
        <v>-1.0971369218888749</v>
      </c>
      <c r="F321">
        <f t="shared" si="9"/>
        <v>-0.72337535181997703</v>
      </c>
    </row>
    <row r="322" spans="2:6" x14ac:dyDescent="0.45">
      <c r="B322" s="132">
        <v>44629</v>
      </c>
      <c r="C322">
        <v>279.72491455078119</v>
      </c>
      <c r="D322">
        <v>4277.8798828125</v>
      </c>
      <c r="E322">
        <f t="shared" si="8"/>
        <v>4.5858589731126109</v>
      </c>
      <c r="F322">
        <f t="shared" si="9"/>
        <v>2.5698247891435821</v>
      </c>
    </row>
    <row r="323" spans="2:6" x14ac:dyDescent="0.45">
      <c r="B323" s="132">
        <v>44630</v>
      </c>
      <c r="C323">
        <v>276.90338134765619</v>
      </c>
      <c r="D323">
        <v>4259.52001953125</v>
      </c>
      <c r="E323">
        <f t="shared" si="8"/>
        <v>-1.0086814067514105</v>
      </c>
      <c r="F323">
        <f t="shared" si="9"/>
        <v>-0.4291813651667864</v>
      </c>
    </row>
    <row r="324" spans="2:6" x14ac:dyDescent="0.45">
      <c r="B324" s="132">
        <v>44631</v>
      </c>
      <c r="C324">
        <v>271.55130004882813</v>
      </c>
      <c r="D324">
        <v>4204.31005859375</v>
      </c>
      <c r="E324">
        <f t="shared" si="8"/>
        <v>-1.932833493321795</v>
      </c>
      <c r="F324">
        <f t="shared" si="9"/>
        <v>-1.2961545123475138</v>
      </c>
    </row>
    <row r="325" spans="2:6" x14ac:dyDescent="0.45">
      <c r="B325" s="132">
        <v>44634</v>
      </c>
      <c r="C325">
        <v>268.03167724609381</v>
      </c>
      <c r="D325">
        <v>4173.10986328125</v>
      </c>
      <c r="E325">
        <f t="shared" si="8"/>
        <v>-1.2961170880424588</v>
      </c>
      <c r="F325">
        <f t="shared" si="9"/>
        <v>-0.74210024659636664</v>
      </c>
    </row>
    <row r="326" spans="2:6" x14ac:dyDescent="0.45">
      <c r="B326" s="132">
        <v>44635</v>
      </c>
      <c r="C326">
        <v>278.4158935546875</v>
      </c>
      <c r="D326">
        <v>4262.4501953125</v>
      </c>
      <c r="E326">
        <f t="shared" si="8"/>
        <v>3.874249646641359</v>
      </c>
      <c r="F326">
        <f t="shared" si="9"/>
        <v>2.1408574170870942</v>
      </c>
    </row>
    <row r="327" spans="2:6" x14ac:dyDescent="0.45">
      <c r="B327" s="132">
        <v>44636</v>
      </c>
      <c r="C327">
        <v>285.43572998046881</v>
      </c>
      <c r="D327">
        <v>4357.85986328125</v>
      </c>
      <c r="E327">
        <f t="shared" si="8"/>
        <v>2.521349027943498</v>
      </c>
      <c r="F327">
        <f t="shared" si="9"/>
        <v>2.238376135718223</v>
      </c>
    </row>
    <row r="328" spans="2:6" x14ac:dyDescent="0.45">
      <c r="B328" s="132">
        <v>44637</v>
      </c>
      <c r="C328">
        <v>286.240478515625</v>
      </c>
      <c r="D328">
        <v>4411.669921875</v>
      </c>
      <c r="E328">
        <f t="shared" ref="E328:E391" si="10">((C328/C327)-1)*100</f>
        <v>0.28193686025617115</v>
      </c>
      <c r="F328">
        <f t="shared" ref="F328:F391" si="11">((D328/D327)-1)*100</f>
        <v>1.234781757145198</v>
      </c>
    </row>
    <row r="329" spans="2:6" x14ac:dyDescent="0.45">
      <c r="B329" s="132">
        <v>44638</v>
      </c>
      <c r="C329">
        <v>291.29202270507813</v>
      </c>
      <c r="D329">
        <v>4463.1201171875</v>
      </c>
      <c r="E329">
        <f t="shared" si="10"/>
        <v>1.7647902964839979</v>
      </c>
      <c r="F329">
        <f t="shared" si="11"/>
        <v>1.1662294827948783</v>
      </c>
    </row>
    <row r="330" spans="2:6" x14ac:dyDescent="0.45">
      <c r="B330" s="132">
        <v>44641</v>
      </c>
      <c r="C330">
        <v>290.06060791015619</v>
      </c>
      <c r="D330">
        <v>4461.18017578125</v>
      </c>
      <c r="E330">
        <f t="shared" si="10"/>
        <v>-0.4227423681178788</v>
      </c>
      <c r="F330">
        <f t="shared" si="11"/>
        <v>-4.3466036210393355E-2</v>
      </c>
    </row>
    <row r="331" spans="2:6" x14ac:dyDescent="0.45">
      <c r="B331" s="132">
        <v>44642</v>
      </c>
      <c r="C331">
        <v>294.81155395507813</v>
      </c>
      <c r="D331">
        <v>4511.60986328125</v>
      </c>
      <c r="E331">
        <f t="shared" si="10"/>
        <v>1.6379149444496477</v>
      </c>
      <c r="F331">
        <f t="shared" si="11"/>
        <v>1.1304113600650201</v>
      </c>
    </row>
    <row r="332" spans="2:6" x14ac:dyDescent="0.45">
      <c r="B332" s="132">
        <v>44643</v>
      </c>
      <c r="C332">
        <v>290.380615234375</v>
      </c>
      <c r="D332">
        <v>4456.240234375</v>
      </c>
      <c r="E332">
        <f t="shared" si="10"/>
        <v>-1.5029732251871986</v>
      </c>
      <c r="F332">
        <f t="shared" si="11"/>
        <v>-1.2272698789159042</v>
      </c>
    </row>
    <row r="333" spans="2:6" x14ac:dyDescent="0.45">
      <c r="B333" s="132">
        <v>44644</v>
      </c>
      <c r="C333">
        <v>294.85037231445313</v>
      </c>
      <c r="D333">
        <v>4520.16015625</v>
      </c>
      <c r="E333">
        <f t="shared" si="10"/>
        <v>1.5392752978605095</v>
      </c>
      <c r="F333">
        <f t="shared" si="11"/>
        <v>1.4343912920566471</v>
      </c>
    </row>
    <row r="334" spans="2:6" x14ac:dyDescent="0.45">
      <c r="B334" s="132">
        <v>44645</v>
      </c>
      <c r="C334">
        <v>294.44317626953119</v>
      </c>
      <c r="D334">
        <v>4543.06005859375</v>
      </c>
      <c r="E334">
        <f t="shared" si="10"/>
        <v>-0.13810260496726068</v>
      </c>
      <c r="F334">
        <f t="shared" si="11"/>
        <v>0.50661705674490687</v>
      </c>
    </row>
    <row r="335" spans="2:6" x14ac:dyDescent="0.45">
      <c r="B335" s="132">
        <v>44648</v>
      </c>
      <c r="C335">
        <v>301.2496337890625</v>
      </c>
      <c r="D335">
        <v>4575.52001953125</v>
      </c>
      <c r="E335">
        <f t="shared" si="10"/>
        <v>2.3116370383468254</v>
      </c>
      <c r="F335">
        <f t="shared" si="11"/>
        <v>0.71449552765867619</v>
      </c>
    </row>
    <row r="336" spans="2:6" x14ac:dyDescent="0.45">
      <c r="B336" s="132">
        <v>44649</v>
      </c>
      <c r="C336">
        <v>305.81631469726563</v>
      </c>
      <c r="D336">
        <v>4631.60009765625</v>
      </c>
      <c r="E336">
        <f t="shared" si="10"/>
        <v>1.5159125177230059</v>
      </c>
      <c r="F336">
        <f t="shared" si="11"/>
        <v>1.2256547427530462</v>
      </c>
    </row>
    <row r="337" spans="2:6" x14ac:dyDescent="0.45">
      <c r="B337" s="132">
        <v>44650</v>
      </c>
      <c r="C337">
        <v>304.31344604492188</v>
      </c>
      <c r="D337">
        <v>4602.4501953125</v>
      </c>
      <c r="E337">
        <f t="shared" si="10"/>
        <v>-0.491428540636063</v>
      </c>
      <c r="F337">
        <f t="shared" si="11"/>
        <v>-0.62937001746978805</v>
      </c>
    </row>
    <row r="338" spans="2:6" x14ac:dyDescent="0.45">
      <c r="B338" s="132">
        <v>44651</v>
      </c>
      <c r="C338">
        <v>298.93234252929688</v>
      </c>
      <c r="D338">
        <v>4530.41015625</v>
      </c>
      <c r="E338">
        <f t="shared" si="10"/>
        <v>-1.7682766192429922</v>
      </c>
      <c r="F338">
        <f t="shared" si="11"/>
        <v>-1.5652540713177343</v>
      </c>
    </row>
    <row r="339" spans="2:6" x14ac:dyDescent="0.45">
      <c r="B339" s="132">
        <v>44652</v>
      </c>
      <c r="C339">
        <v>300.00860595703119</v>
      </c>
      <c r="D339">
        <v>4545.85986328125</v>
      </c>
      <c r="E339">
        <f t="shared" si="10"/>
        <v>0.3600357922558528</v>
      </c>
      <c r="F339">
        <f t="shared" si="11"/>
        <v>0.34102225843584133</v>
      </c>
    </row>
    <row r="340" spans="2:6" x14ac:dyDescent="0.45">
      <c r="B340" s="132">
        <v>44655</v>
      </c>
      <c r="C340">
        <v>305.3897705078125</v>
      </c>
      <c r="D340">
        <v>4582.64013671875</v>
      </c>
      <c r="E340">
        <f t="shared" si="10"/>
        <v>1.793670062768804</v>
      </c>
      <c r="F340">
        <f t="shared" si="11"/>
        <v>0.80909386878793566</v>
      </c>
    </row>
    <row r="341" spans="2:6" x14ac:dyDescent="0.45">
      <c r="B341" s="132">
        <v>44656</v>
      </c>
      <c r="C341">
        <v>301.42416381835938</v>
      </c>
      <c r="D341">
        <v>4525.1201171875</v>
      </c>
      <c r="E341">
        <f t="shared" si="10"/>
        <v>-1.298539464127757</v>
      </c>
      <c r="F341">
        <f t="shared" si="11"/>
        <v>-1.2551720801807331</v>
      </c>
    </row>
    <row r="342" spans="2:6" x14ac:dyDescent="0.45">
      <c r="B342" s="132">
        <v>44657</v>
      </c>
      <c r="C342">
        <v>290.3902587890625</v>
      </c>
      <c r="D342">
        <v>4481.14990234375</v>
      </c>
      <c r="E342">
        <f t="shared" si="10"/>
        <v>-3.6605907401458304</v>
      </c>
      <c r="F342">
        <f t="shared" si="11"/>
        <v>-0.97169166132718976</v>
      </c>
    </row>
    <row r="343" spans="2:6" x14ac:dyDescent="0.45">
      <c r="B343" s="132">
        <v>44658</v>
      </c>
      <c r="C343">
        <v>292.20339965820313</v>
      </c>
      <c r="D343">
        <v>4500.2099609375</v>
      </c>
      <c r="E343">
        <f t="shared" si="10"/>
        <v>0.6243807477225527</v>
      </c>
      <c r="F343">
        <f t="shared" si="11"/>
        <v>0.42533856284925342</v>
      </c>
    </row>
    <row r="344" spans="2:6" x14ac:dyDescent="0.45">
      <c r="B344" s="132">
        <v>44659</v>
      </c>
      <c r="C344">
        <v>287.937255859375</v>
      </c>
      <c r="D344">
        <v>4488.27978515625</v>
      </c>
      <c r="E344">
        <f t="shared" si="10"/>
        <v>-1.4599911581515967</v>
      </c>
      <c r="F344">
        <f t="shared" si="11"/>
        <v>-0.26510264820542861</v>
      </c>
    </row>
    <row r="345" spans="2:6" x14ac:dyDescent="0.45">
      <c r="B345" s="132">
        <v>44662</v>
      </c>
      <c r="C345">
        <v>276.58340454101563</v>
      </c>
      <c r="D345">
        <v>4412.52978515625</v>
      </c>
      <c r="E345">
        <f t="shared" si="10"/>
        <v>-3.9431685505485481</v>
      </c>
      <c r="F345">
        <f t="shared" si="11"/>
        <v>-1.687729010355421</v>
      </c>
    </row>
    <row r="346" spans="2:6" x14ac:dyDescent="0.45">
      <c r="B346" s="132">
        <v>44663</v>
      </c>
      <c r="C346">
        <v>273.480712890625</v>
      </c>
      <c r="D346">
        <v>4397.4501953125</v>
      </c>
      <c r="E346">
        <f t="shared" si="10"/>
        <v>-1.121792413951761</v>
      </c>
      <c r="F346">
        <f t="shared" si="11"/>
        <v>-0.34174477177417728</v>
      </c>
    </row>
    <row r="347" spans="2:6" x14ac:dyDescent="0.45">
      <c r="B347" s="132">
        <v>44664</v>
      </c>
      <c r="C347">
        <v>278.87164306640619</v>
      </c>
      <c r="D347">
        <v>4446.58984375</v>
      </c>
      <c r="E347">
        <f t="shared" si="10"/>
        <v>1.9712286540430446</v>
      </c>
      <c r="F347">
        <f t="shared" si="11"/>
        <v>1.1174577597236057</v>
      </c>
    </row>
    <row r="348" spans="2:6" x14ac:dyDescent="0.45">
      <c r="B348" s="132">
        <v>44665</v>
      </c>
      <c r="C348">
        <v>271.31857299804688</v>
      </c>
      <c r="D348">
        <v>4392.58984375</v>
      </c>
      <c r="E348">
        <f t="shared" si="10"/>
        <v>-2.7084396194993365</v>
      </c>
      <c r="F348">
        <f t="shared" si="11"/>
        <v>-1.214413784439794</v>
      </c>
    </row>
    <row r="349" spans="2:6" x14ac:dyDescent="0.45">
      <c r="B349" s="132">
        <v>44669</v>
      </c>
      <c r="C349">
        <v>271.98757934570313</v>
      </c>
      <c r="D349">
        <v>4391.68994140625</v>
      </c>
      <c r="E349">
        <f t="shared" si="10"/>
        <v>0.2465759495429154</v>
      </c>
      <c r="F349">
        <f t="shared" si="11"/>
        <v>-2.0486828403298851E-2</v>
      </c>
    </row>
    <row r="350" spans="2:6" x14ac:dyDescent="0.45">
      <c r="B350" s="132">
        <v>44670</v>
      </c>
      <c r="C350">
        <v>276.6221923828125</v>
      </c>
      <c r="D350">
        <v>4462.2099609375</v>
      </c>
      <c r="E350">
        <f t="shared" si="10"/>
        <v>1.7039796626957981</v>
      </c>
      <c r="F350">
        <f t="shared" si="11"/>
        <v>1.6057604355527166</v>
      </c>
    </row>
    <row r="351" spans="2:6" x14ac:dyDescent="0.45">
      <c r="B351" s="132">
        <v>44671</v>
      </c>
      <c r="C351">
        <v>277.64996337890619</v>
      </c>
      <c r="D351">
        <v>4459.4501953125</v>
      </c>
      <c r="E351">
        <f t="shared" si="10"/>
        <v>0.37154321829369064</v>
      </c>
      <c r="F351">
        <f t="shared" si="11"/>
        <v>-6.1847507158097059E-2</v>
      </c>
    </row>
    <row r="352" spans="2:6" x14ac:dyDescent="0.45">
      <c r="B352" s="132">
        <v>44672</v>
      </c>
      <c r="C352">
        <v>272.268798828125</v>
      </c>
      <c r="D352">
        <v>4393.66015625</v>
      </c>
      <c r="E352">
        <f t="shared" si="10"/>
        <v>-1.9381110248653521</v>
      </c>
      <c r="F352">
        <f t="shared" si="11"/>
        <v>-1.4752948498371943</v>
      </c>
    </row>
    <row r="353" spans="2:6" x14ac:dyDescent="0.45">
      <c r="B353" s="132">
        <v>44673</v>
      </c>
      <c r="C353">
        <v>265.69500732421881</v>
      </c>
      <c r="D353">
        <v>4271.77978515625</v>
      </c>
      <c r="E353">
        <f t="shared" si="10"/>
        <v>-2.4144490783374772</v>
      </c>
      <c r="F353">
        <f t="shared" si="11"/>
        <v>-2.7740054250753654</v>
      </c>
    </row>
    <row r="354" spans="2:6" x14ac:dyDescent="0.45">
      <c r="B354" s="132">
        <v>44676</v>
      </c>
      <c r="C354">
        <v>272.18148803710938</v>
      </c>
      <c r="D354">
        <v>4296.1201171875</v>
      </c>
      <c r="E354">
        <f t="shared" si="10"/>
        <v>2.4413257810958156</v>
      </c>
      <c r="F354">
        <f t="shared" si="11"/>
        <v>0.56979369853822348</v>
      </c>
    </row>
    <row r="355" spans="2:6" x14ac:dyDescent="0.45">
      <c r="B355" s="132">
        <v>44677</v>
      </c>
      <c r="C355">
        <v>262.00088500976563</v>
      </c>
      <c r="D355">
        <v>4175.2001953125</v>
      </c>
      <c r="E355">
        <f t="shared" si="10"/>
        <v>-3.740373050629997</v>
      </c>
      <c r="F355">
        <f t="shared" si="11"/>
        <v>-2.8146308431003852</v>
      </c>
    </row>
    <row r="356" spans="2:6" x14ac:dyDescent="0.45">
      <c r="B356" s="132">
        <v>44678</v>
      </c>
      <c r="C356">
        <v>274.60552978515619</v>
      </c>
      <c r="D356">
        <v>4183.9599609375</v>
      </c>
      <c r="E356">
        <f t="shared" si="10"/>
        <v>4.8109168695826154</v>
      </c>
      <c r="F356">
        <f t="shared" si="11"/>
        <v>0.20980468517017847</v>
      </c>
    </row>
    <row r="357" spans="2:6" x14ac:dyDescent="0.45">
      <c r="B357" s="132">
        <v>44679</v>
      </c>
      <c r="C357">
        <v>280.82052612304688</v>
      </c>
      <c r="D357">
        <v>4287.5</v>
      </c>
      <c r="E357">
        <f t="shared" si="10"/>
        <v>2.2632451512367924</v>
      </c>
      <c r="F357">
        <f t="shared" si="11"/>
        <v>2.4746900072939448</v>
      </c>
    </row>
    <row r="358" spans="2:6" x14ac:dyDescent="0.45">
      <c r="B358" s="132">
        <v>44680</v>
      </c>
      <c r="C358">
        <v>269.078857421875</v>
      </c>
      <c r="D358">
        <v>4131.93017578125</v>
      </c>
      <c r="E358">
        <f t="shared" si="10"/>
        <v>-4.1812003072834614</v>
      </c>
      <c r="F358">
        <f t="shared" si="11"/>
        <v>-3.6284507106413955</v>
      </c>
    </row>
    <row r="359" spans="2:6" x14ac:dyDescent="0.45">
      <c r="B359" s="132">
        <v>44683</v>
      </c>
      <c r="C359">
        <v>275.81747436523438</v>
      </c>
      <c r="D359">
        <v>4155.3798828125</v>
      </c>
      <c r="E359">
        <f t="shared" si="10"/>
        <v>2.5043279163305732</v>
      </c>
      <c r="F359">
        <f t="shared" si="11"/>
        <v>0.56752428123536536</v>
      </c>
    </row>
    <row r="360" spans="2:6" x14ac:dyDescent="0.45">
      <c r="B360" s="132">
        <v>44684</v>
      </c>
      <c r="C360">
        <v>273.20925903320313</v>
      </c>
      <c r="D360">
        <v>4175.47998046875</v>
      </c>
      <c r="E360">
        <f t="shared" si="10"/>
        <v>-0.9456309242312444</v>
      </c>
      <c r="F360">
        <f t="shared" si="11"/>
        <v>0.48371263814863674</v>
      </c>
    </row>
    <row r="361" spans="2:6" x14ac:dyDescent="0.45">
      <c r="B361" s="132">
        <v>44685</v>
      </c>
      <c r="C361">
        <v>281.15988159179688</v>
      </c>
      <c r="D361">
        <v>4300.169921875</v>
      </c>
      <c r="E361">
        <f t="shared" si="10"/>
        <v>2.9100853268034799</v>
      </c>
      <c r="F361">
        <f t="shared" si="11"/>
        <v>2.9862421084402291</v>
      </c>
    </row>
    <row r="362" spans="2:6" x14ac:dyDescent="0.45">
      <c r="B362" s="132">
        <v>44686</v>
      </c>
      <c r="C362">
        <v>268.9140625</v>
      </c>
      <c r="D362">
        <v>4146.8701171875</v>
      </c>
      <c r="E362">
        <f t="shared" si="10"/>
        <v>-4.3554645927671887</v>
      </c>
      <c r="F362">
        <f t="shared" si="11"/>
        <v>-3.5649708609806985</v>
      </c>
    </row>
    <row r="363" spans="2:6" x14ac:dyDescent="0.45">
      <c r="B363" s="132">
        <v>44687</v>
      </c>
      <c r="C363">
        <v>266.37374877929688</v>
      </c>
      <c r="D363">
        <v>4123.33984375</v>
      </c>
      <c r="E363">
        <f t="shared" si="10"/>
        <v>-0.94465633261671123</v>
      </c>
      <c r="F363">
        <f t="shared" si="11"/>
        <v>-0.56742248424840325</v>
      </c>
    </row>
    <row r="364" spans="2:6" x14ac:dyDescent="0.45">
      <c r="B364" s="132">
        <v>44690</v>
      </c>
      <c r="C364">
        <v>256.53244018554688</v>
      </c>
      <c r="D364">
        <v>3991.239990234375</v>
      </c>
      <c r="E364">
        <f t="shared" si="10"/>
        <v>-3.6945489707035595</v>
      </c>
      <c r="F364">
        <f t="shared" si="11"/>
        <v>-3.2037100632356763</v>
      </c>
    </row>
    <row r="365" spans="2:6" x14ac:dyDescent="0.45">
      <c r="B365" s="132">
        <v>44691</v>
      </c>
      <c r="C365">
        <v>261.30279541015619</v>
      </c>
      <c r="D365">
        <v>4001.050048828125</v>
      </c>
      <c r="E365">
        <f t="shared" si="10"/>
        <v>1.8595524297663868</v>
      </c>
      <c r="F365">
        <f t="shared" si="11"/>
        <v>0.24578974498534745</v>
      </c>
    </row>
    <row r="366" spans="2:6" x14ac:dyDescent="0.45">
      <c r="B366" s="132">
        <v>44692</v>
      </c>
      <c r="C366">
        <v>252.62501525878909</v>
      </c>
      <c r="D366">
        <v>3935.179931640625</v>
      </c>
      <c r="E366">
        <f t="shared" si="10"/>
        <v>-3.3209672088451825</v>
      </c>
      <c r="F366">
        <f t="shared" si="11"/>
        <v>-1.6463207503938371</v>
      </c>
    </row>
    <row r="367" spans="2:6" x14ac:dyDescent="0.45">
      <c r="B367" s="132">
        <v>44693</v>
      </c>
      <c r="C367">
        <v>247.58317565917969</v>
      </c>
      <c r="D367">
        <v>3930.080078125</v>
      </c>
      <c r="E367">
        <f t="shared" si="10"/>
        <v>-1.9957800277397464</v>
      </c>
      <c r="F367">
        <f t="shared" si="11"/>
        <v>-0.12959645058717717</v>
      </c>
    </row>
    <row r="368" spans="2:6" x14ac:dyDescent="0.45">
      <c r="B368" s="132">
        <v>44694</v>
      </c>
      <c r="C368">
        <v>253.1776123046875</v>
      </c>
      <c r="D368">
        <v>4023.889892578125</v>
      </c>
      <c r="E368">
        <f t="shared" si="10"/>
        <v>2.2596190676579253</v>
      </c>
      <c r="F368">
        <f t="shared" si="11"/>
        <v>2.3869695423071491</v>
      </c>
    </row>
    <row r="369" spans="2:6" x14ac:dyDescent="0.45">
      <c r="B369" s="132">
        <v>44697</v>
      </c>
      <c r="C369">
        <v>253.5461120605469</v>
      </c>
      <c r="D369">
        <v>4008.010009765625</v>
      </c>
      <c r="E369">
        <f t="shared" si="10"/>
        <v>0.14554989775950045</v>
      </c>
      <c r="F369">
        <f t="shared" si="11"/>
        <v>-0.39464009295556712</v>
      </c>
    </row>
    <row r="370" spans="2:6" x14ac:dyDescent="0.45">
      <c r="B370" s="132">
        <v>44698</v>
      </c>
      <c r="C370">
        <v>258.70428466796881</v>
      </c>
      <c r="D370">
        <v>4088.85009765625</v>
      </c>
      <c r="E370">
        <f t="shared" si="10"/>
        <v>2.0344120308143809</v>
      </c>
      <c r="F370">
        <f t="shared" si="11"/>
        <v>2.0169632234863677</v>
      </c>
    </row>
    <row r="371" spans="2:6" x14ac:dyDescent="0.45">
      <c r="B371" s="132">
        <v>44699</v>
      </c>
      <c r="C371">
        <v>246.92559814453119</v>
      </c>
      <c r="D371">
        <v>3923.679931640625</v>
      </c>
      <c r="E371">
        <f t="shared" si="10"/>
        <v>-4.5529537860398595</v>
      </c>
      <c r="F371">
        <f t="shared" si="11"/>
        <v>-4.0395260787452596</v>
      </c>
    </row>
    <row r="372" spans="2:6" x14ac:dyDescent="0.45">
      <c r="B372" s="132">
        <v>44700</v>
      </c>
      <c r="C372">
        <v>246.0120544433594</v>
      </c>
      <c r="D372">
        <v>3900.7900390625</v>
      </c>
      <c r="E372">
        <f t="shared" si="10"/>
        <v>-0.36996719175185211</v>
      </c>
      <c r="F372">
        <f t="shared" si="11"/>
        <v>-0.58337818009925879</v>
      </c>
    </row>
    <row r="373" spans="2:6" x14ac:dyDescent="0.45">
      <c r="B373" s="132">
        <v>44701</v>
      </c>
      <c r="C373">
        <v>245.4483947753906</v>
      </c>
      <c r="D373">
        <v>3901.360107421875</v>
      </c>
      <c r="E373">
        <f t="shared" si="10"/>
        <v>-0.22911871909860881</v>
      </c>
      <c r="F373">
        <f t="shared" si="11"/>
        <v>1.4614176965843662E-2</v>
      </c>
    </row>
    <row r="374" spans="2:6" x14ac:dyDescent="0.45">
      <c r="B374" s="132">
        <v>44704</v>
      </c>
      <c r="C374">
        <v>253.31056213378909</v>
      </c>
      <c r="D374">
        <v>3973.75</v>
      </c>
      <c r="E374">
        <f t="shared" si="10"/>
        <v>3.2031854865431697</v>
      </c>
      <c r="F374">
        <f t="shared" si="11"/>
        <v>1.8555039930923556</v>
      </c>
    </row>
    <row r="375" spans="2:6" x14ac:dyDescent="0.45">
      <c r="B375" s="132">
        <v>44705</v>
      </c>
      <c r="C375">
        <v>252.30961608886719</v>
      </c>
      <c r="D375">
        <v>3941.47998046875</v>
      </c>
      <c r="E375">
        <f t="shared" si="10"/>
        <v>-0.39514579908959124</v>
      </c>
      <c r="F375">
        <f t="shared" si="11"/>
        <v>-0.81207976171752128</v>
      </c>
    </row>
    <row r="376" spans="2:6" x14ac:dyDescent="0.45">
      <c r="B376" s="132">
        <v>44706</v>
      </c>
      <c r="C376">
        <v>255.12786865234381</v>
      </c>
      <c r="D376">
        <v>3978.72998046875</v>
      </c>
      <c r="E376">
        <f t="shared" si="10"/>
        <v>1.116981828581598</v>
      </c>
      <c r="F376">
        <f t="shared" si="11"/>
        <v>0.9450764734207695</v>
      </c>
    </row>
    <row r="377" spans="2:6" x14ac:dyDescent="0.45">
      <c r="B377" s="132">
        <v>44707</v>
      </c>
      <c r="C377">
        <v>258.41275024414063</v>
      </c>
      <c r="D377">
        <v>4057.840087890625</v>
      </c>
      <c r="E377">
        <f t="shared" si="10"/>
        <v>1.2875432265194942</v>
      </c>
      <c r="F377">
        <f t="shared" si="11"/>
        <v>1.9883256167224195</v>
      </c>
    </row>
    <row r="378" spans="2:6" x14ac:dyDescent="0.45">
      <c r="B378" s="132">
        <v>44708</v>
      </c>
      <c r="C378">
        <v>265.54608154296881</v>
      </c>
      <c r="D378">
        <v>4158.240234375</v>
      </c>
      <c r="E378">
        <f t="shared" si="10"/>
        <v>2.760440919454954</v>
      </c>
      <c r="F378">
        <f t="shared" si="11"/>
        <v>2.4742262955109728</v>
      </c>
    </row>
    <row r="379" spans="2:6" x14ac:dyDescent="0.45">
      <c r="B379" s="132">
        <v>44712</v>
      </c>
      <c r="C379">
        <v>264.21469116210938</v>
      </c>
      <c r="D379">
        <v>4132.14990234375</v>
      </c>
      <c r="E379">
        <f t="shared" si="10"/>
        <v>-0.50137828173676402</v>
      </c>
      <c r="F379">
        <f t="shared" si="11"/>
        <v>-0.62743686176590652</v>
      </c>
    </row>
    <row r="380" spans="2:6" x14ac:dyDescent="0.45">
      <c r="B380" s="132">
        <v>44713</v>
      </c>
      <c r="C380">
        <v>264.7491455078125</v>
      </c>
      <c r="D380">
        <v>4101.22998046875</v>
      </c>
      <c r="E380">
        <f t="shared" si="10"/>
        <v>0.20228032867983803</v>
      </c>
      <c r="F380">
        <f t="shared" si="11"/>
        <v>-0.74827686811318461</v>
      </c>
    </row>
    <row r="381" spans="2:6" x14ac:dyDescent="0.45">
      <c r="B381" s="132">
        <v>44714</v>
      </c>
      <c r="C381">
        <v>266.84829711914063</v>
      </c>
      <c r="D381">
        <v>4176.81982421875</v>
      </c>
      <c r="E381">
        <f t="shared" si="10"/>
        <v>0.79288324323079085</v>
      </c>
      <c r="F381">
        <f t="shared" si="11"/>
        <v>1.8431018038486124</v>
      </c>
    </row>
    <row r="382" spans="2:6" x14ac:dyDescent="0.45">
      <c r="B382" s="132">
        <v>44715</v>
      </c>
      <c r="C382">
        <v>262.41671752929688</v>
      </c>
      <c r="D382">
        <v>4108.5400390625</v>
      </c>
      <c r="E382">
        <f t="shared" si="10"/>
        <v>-1.6607112122080214</v>
      </c>
      <c r="F382">
        <f t="shared" si="11"/>
        <v>-1.6347313992415624</v>
      </c>
    </row>
    <row r="383" spans="2:6" x14ac:dyDescent="0.45">
      <c r="B383" s="132">
        <v>44718</v>
      </c>
      <c r="C383">
        <v>261.18252563476563</v>
      </c>
      <c r="D383">
        <v>4121.43017578125</v>
      </c>
      <c r="E383">
        <f t="shared" si="10"/>
        <v>-0.47031755680484455</v>
      </c>
      <c r="F383">
        <f t="shared" si="11"/>
        <v>0.31374007789131131</v>
      </c>
    </row>
    <row r="384" spans="2:6" x14ac:dyDescent="0.45">
      <c r="B384" s="132">
        <v>44719</v>
      </c>
      <c r="C384">
        <v>264.82693481445313</v>
      </c>
      <c r="D384">
        <v>4160.68017578125</v>
      </c>
      <c r="E384">
        <f t="shared" si="10"/>
        <v>1.3953495437071473</v>
      </c>
      <c r="F384">
        <f t="shared" si="11"/>
        <v>0.95233931732350285</v>
      </c>
    </row>
    <row r="385" spans="2:6" x14ac:dyDescent="0.45">
      <c r="B385" s="132">
        <v>44720</v>
      </c>
      <c r="C385">
        <v>262.79571533203119</v>
      </c>
      <c r="D385">
        <v>4115.77001953125</v>
      </c>
      <c r="E385">
        <f t="shared" si="10"/>
        <v>-0.76699882655254514</v>
      </c>
      <c r="F385">
        <f t="shared" si="11"/>
        <v>-1.0793945785935621</v>
      </c>
    </row>
    <row r="386" spans="2:6" x14ac:dyDescent="0.45">
      <c r="B386" s="132">
        <v>44721</v>
      </c>
      <c r="C386">
        <v>257.33401489257813</v>
      </c>
      <c r="D386">
        <v>4017.820068359375</v>
      </c>
      <c r="E386">
        <f t="shared" si="10"/>
        <v>-2.0783065022778047</v>
      </c>
      <c r="F386">
        <f t="shared" si="11"/>
        <v>-2.3798693976353591</v>
      </c>
    </row>
    <row r="387" spans="2:6" x14ac:dyDescent="0.45">
      <c r="B387" s="132">
        <v>44722</v>
      </c>
      <c r="C387">
        <v>245.86627197265619</v>
      </c>
      <c r="D387">
        <v>3900.860107421875</v>
      </c>
      <c r="E387">
        <f t="shared" si="10"/>
        <v>-4.4563649794641558</v>
      </c>
      <c r="F387">
        <f t="shared" si="11"/>
        <v>-2.9110303335524668</v>
      </c>
    </row>
    <row r="388" spans="2:6" x14ac:dyDescent="0.45">
      <c r="B388" s="132">
        <v>44725</v>
      </c>
      <c r="C388">
        <v>235.4383850097656</v>
      </c>
      <c r="D388">
        <v>3749.6298828125</v>
      </c>
      <c r="E388">
        <f t="shared" si="10"/>
        <v>-4.2412840440555932</v>
      </c>
      <c r="F388">
        <f t="shared" si="11"/>
        <v>-3.8768430665237275</v>
      </c>
    </row>
    <row r="389" spans="2:6" x14ac:dyDescent="0.45">
      <c r="B389" s="132">
        <v>44726</v>
      </c>
      <c r="C389">
        <v>237.6056213378906</v>
      </c>
      <c r="D389">
        <v>3735.47998046875</v>
      </c>
      <c r="E389">
        <f t="shared" si="10"/>
        <v>0.92051104072732315</v>
      </c>
      <c r="F389">
        <f t="shared" si="11"/>
        <v>-0.37736797459957394</v>
      </c>
    </row>
    <row r="390" spans="2:6" x14ac:dyDescent="0.45">
      <c r="B390" s="132">
        <v>44727</v>
      </c>
      <c r="C390">
        <v>244.67091369628909</v>
      </c>
      <c r="D390">
        <v>3789.989990234375</v>
      </c>
      <c r="E390">
        <f t="shared" si="10"/>
        <v>2.9735375445310686</v>
      </c>
      <c r="F390">
        <f t="shared" si="11"/>
        <v>1.4592504858983224</v>
      </c>
    </row>
    <row r="391" spans="2:6" x14ac:dyDescent="0.45">
      <c r="B391" s="132">
        <v>44728</v>
      </c>
      <c r="C391">
        <v>238.0721130371094</v>
      </c>
      <c r="D391">
        <v>3666.77001953125</v>
      </c>
      <c r="E391">
        <f t="shared" si="10"/>
        <v>-2.6970106742523536</v>
      </c>
      <c r="F391">
        <f t="shared" si="11"/>
        <v>-3.2511951488163437</v>
      </c>
    </row>
    <row r="392" spans="2:6" x14ac:dyDescent="0.45">
      <c r="B392" s="132">
        <v>44729</v>
      </c>
      <c r="C392">
        <v>240.67662048339841</v>
      </c>
      <c r="D392">
        <v>3674.840087890625</v>
      </c>
      <c r="E392">
        <f t="shared" ref="E392:E455" si="12">((C392/C391)-1)*100</f>
        <v>1.0939993823984917</v>
      </c>
      <c r="F392">
        <f t="shared" ref="F392:F455" si="13">((D392/D391)-1)*100</f>
        <v>0.22008656982546171</v>
      </c>
    </row>
    <row r="393" spans="2:6" x14ac:dyDescent="0.45">
      <c r="B393" s="132">
        <v>44733</v>
      </c>
      <c r="C393">
        <v>246.59515380859381</v>
      </c>
      <c r="D393">
        <v>3764.7900390625</v>
      </c>
      <c r="E393">
        <f t="shared" si="12"/>
        <v>2.4591226656365928</v>
      </c>
      <c r="F393">
        <f t="shared" si="13"/>
        <v>2.4477242280086964</v>
      </c>
    </row>
    <row r="394" spans="2:6" x14ac:dyDescent="0.45">
      <c r="B394" s="132">
        <v>44734</v>
      </c>
      <c r="C394">
        <v>246.00230407714841</v>
      </c>
      <c r="D394">
        <v>3759.889892578125</v>
      </c>
      <c r="E394">
        <f t="shared" si="12"/>
        <v>-0.24041418587875674</v>
      </c>
      <c r="F394">
        <f t="shared" si="13"/>
        <v>-0.13015723144006452</v>
      </c>
    </row>
    <row r="395" spans="2:6" x14ac:dyDescent="0.45">
      <c r="B395" s="132">
        <v>44735</v>
      </c>
      <c r="C395">
        <v>251.5709228515625</v>
      </c>
      <c r="D395">
        <v>3795.72998046875</v>
      </c>
      <c r="E395">
        <f t="shared" si="12"/>
        <v>2.2636449667836178</v>
      </c>
      <c r="F395">
        <f t="shared" si="13"/>
        <v>0.95322174091778678</v>
      </c>
    </row>
    <row r="396" spans="2:6" x14ac:dyDescent="0.45">
      <c r="B396" s="132">
        <v>44736</v>
      </c>
      <c r="C396">
        <v>260.16207885742188</v>
      </c>
      <c r="D396">
        <v>3911.739990234375</v>
      </c>
      <c r="E396">
        <f t="shared" si="12"/>
        <v>3.4150035737351647</v>
      </c>
      <c r="F396">
        <f t="shared" si="13"/>
        <v>3.056329358583576</v>
      </c>
    </row>
    <row r="397" spans="2:6" x14ac:dyDescent="0.45">
      <c r="B397" s="132">
        <v>44739</v>
      </c>
      <c r="C397">
        <v>257.43124389648438</v>
      </c>
      <c r="D397">
        <v>3900.110107421875</v>
      </c>
      <c r="E397">
        <f t="shared" si="12"/>
        <v>-1.0496667973021956</v>
      </c>
      <c r="F397">
        <f t="shared" si="13"/>
        <v>-0.29730715337762392</v>
      </c>
    </row>
    <row r="398" spans="2:6" x14ac:dyDescent="0.45">
      <c r="B398" s="132">
        <v>44740</v>
      </c>
      <c r="C398">
        <v>249.25801086425781</v>
      </c>
      <c r="D398">
        <v>3821.550048828125</v>
      </c>
      <c r="E398">
        <f t="shared" si="12"/>
        <v>-3.1749188282340302</v>
      </c>
      <c r="F398">
        <f t="shared" si="13"/>
        <v>-2.0143036075892073</v>
      </c>
    </row>
    <row r="399" spans="2:6" x14ac:dyDescent="0.45">
      <c r="B399" s="132">
        <v>44741</v>
      </c>
      <c r="C399">
        <v>252.93153381347659</v>
      </c>
      <c r="D399">
        <v>3818.830078125</v>
      </c>
      <c r="E399">
        <f t="shared" si="12"/>
        <v>1.4737833044889959</v>
      </c>
      <c r="F399">
        <f t="shared" si="13"/>
        <v>-7.1174540915908135E-2</v>
      </c>
    </row>
    <row r="400" spans="2:6" x14ac:dyDescent="0.45">
      <c r="B400" s="132">
        <v>44742</v>
      </c>
      <c r="C400">
        <v>249.59809875488281</v>
      </c>
      <c r="D400">
        <v>3785.3798828125</v>
      </c>
      <c r="E400">
        <f t="shared" si="12"/>
        <v>-1.3179199162457911</v>
      </c>
      <c r="F400">
        <f t="shared" si="13"/>
        <v>-0.87592782679987158</v>
      </c>
    </row>
    <row r="401" spans="2:6" x14ac:dyDescent="0.45">
      <c r="B401" s="132">
        <v>44743</v>
      </c>
      <c r="C401">
        <v>252.2707214355469</v>
      </c>
      <c r="D401">
        <v>3825.330078125</v>
      </c>
      <c r="E401">
        <f t="shared" si="12"/>
        <v>1.0707704481710545</v>
      </c>
      <c r="F401">
        <f t="shared" si="13"/>
        <v>1.0553814029047315</v>
      </c>
    </row>
    <row r="402" spans="2:6" x14ac:dyDescent="0.45">
      <c r="B402" s="132">
        <v>44747</v>
      </c>
      <c r="C402">
        <v>255.44866943359381</v>
      </c>
      <c r="D402">
        <v>3831.389892578125</v>
      </c>
      <c r="E402">
        <f t="shared" si="12"/>
        <v>1.2597371506145372</v>
      </c>
      <c r="F402">
        <f t="shared" si="13"/>
        <v>0.15841285142366157</v>
      </c>
    </row>
    <row r="403" spans="2:6" x14ac:dyDescent="0.45">
      <c r="B403" s="132">
        <v>44748</v>
      </c>
      <c r="C403">
        <v>258.71401977539063</v>
      </c>
      <c r="D403">
        <v>3845.080078125</v>
      </c>
      <c r="E403">
        <f t="shared" si="12"/>
        <v>1.2782804267632564</v>
      </c>
      <c r="F403">
        <f t="shared" si="13"/>
        <v>0.35731642904301975</v>
      </c>
    </row>
    <row r="404" spans="2:6" x14ac:dyDescent="0.45">
      <c r="B404" s="132">
        <v>44749</v>
      </c>
      <c r="C404">
        <v>260.84231567382813</v>
      </c>
      <c r="D404">
        <v>3902.6201171875</v>
      </c>
      <c r="E404">
        <f t="shared" si="12"/>
        <v>0.82264420779563086</v>
      </c>
      <c r="F404">
        <f t="shared" si="13"/>
        <v>1.4964587965241805</v>
      </c>
    </row>
    <row r="405" spans="2:6" x14ac:dyDescent="0.45">
      <c r="B405" s="132">
        <v>44750</v>
      </c>
      <c r="C405">
        <v>260.12313842773438</v>
      </c>
      <c r="D405">
        <v>3899.3798828125</v>
      </c>
      <c r="E405">
        <f t="shared" si="12"/>
        <v>-0.27571341108360015</v>
      </c>
      <c r="F405">
        <f t="shared" si="13"/>
        <v>-8.3027152981907104E-2</v>
      </c>
    </row>
    <row r="406" spans="2:6" x14ac:dyDescent="0.45">
      <c r="B406" s="132">
        <v>44753</v>
      </c>
      <c r="C406">
        <v>257.06195068359381</v>
      </c>
      <c r="D406">
        <v>3854.429931640625</v>
      </c>
      <c r="E406">
        <f t="shared" si="12"/>
        <v>-1.176822547445544</v>
      </c>
      <c r="F406">
        <f t="shared" si="13"/>
        <v>-1.1527461422777274</v>
      </c>
    </row>
    <row r="407" spans="2:6" x14ac:dyDescent="0.45">
      <c r="B407" s="132">
        <v>44754</v>
      </c>
      <c r="C407">
        <v>246.52711486816409</v>
      </c>
      <c r="D407">
        <v>3818.800048828125</v>
      </c>
      <c r="E407">
        <f t="shared" si="12"/>
        <v>-4.0981700276586537</v>
      </c>
      <c r="F407">
        <f t="shared" si="13"/>
        <v>-0.92438787173215742</v>
      </c>
    </row>
    <row r="408" spans="2:6" x14ac:dyDescent="0.45">
      <c r="B408" s="132">
        <v>44755</v>
      </c>
      <c r="C408">
        <v>245.60389709472659</v>
      </c>
      <c r="D408">
        <v>3801.780029296875</v>
      </c>
      <c r="E408">
        <f t="shared" si="12"/>
        <v>-0.37448934326400618</v>
      </c>
      <c r="F408">
        <f t="shared" si="13"/>
        <v>-0.44569025122100925</v>
      </c>
    </row>
    <row r="409" spans="2:6" x14ac:dyDescent="0.45">
      <c r="B409" s="132">
        <v>44756</v>
      </c>
      <c r="C409">
        <v>246.92559814453119</v>
      </c>
      <c r="D409">
        <v>3790.3798828125</v>
      </c>
      <c r="E409">
        <f t="shared" si="12"/>
        <v>0.53814335417277093</v>
      </c>
      <c r="F409">
        <f t="shared" si="13"/>
        <v>-0.29986339021522701</v>
      </c>
    </row>
    <row r="410" spans="2:6" x14ac:dyDescent="0.45">
      <c r="B410" s="132">
        <v>44757</v>
      </c>
      <c r="C410">
        <v>249.4912414550781</v>
      </c>
      <c r="D410">
        <v>3863.159912109375</v>
      </c>
      <c r="E410">
        <f t="shared" si="12"/>
        <v>1.039034968357222</v>
      </c>
      <c r="F410">
        <f t="shared" si="13"/>
        <v>1.9201249359436678</v>
      </c>
    </row>
    <row r="411" spans="2:6" x14ac:dyDescent="0.45">
      <c r="B411" s="132">
        <v>44760</v>
      </c>
      <c r="C411">
        <v>247.09075927734381</v>
      </c>
      <c r="D411">
        <v>3830.85009765625</v>
      </c>
      <c r="E411">
        <f t="shared" si="12"/>
        <v>-0.96215088102261648</v>
      </c>
      <c r="F411">
        <f t="shared" si="13"/>
        <v>-0.83635715808313416</v>
      </c>
    </row>
    <row r="412" spans="2:6" x14ac:dyDescent="0.45">
      <c r="B412" s="132">
        <v>44761</v>
      </c>
      <c r="C412">
        <v>252.22210693359381</v>
      </c>
      <c r="D412">
        <v>3936.68994140625</v>
      </c>
      <c r="E412">
        <f t="shared" si="12"/>
        <v>2.0767056086020474</v>
      </c>
      <c r="F412">
        <f t="shared" si="13"/>
        <v>2.7628291645959591</v>
      </c>
    </row>
    <row r="413" spans="2:6" x14ac:dyDescent="0.45">
      <c r="B413" s="132">
        <v>44762</v>
      </c>
      <c r="C413">
        <v>254.88502502441409</v>
      </c>
      <c r="D413">
        <v>3959.89990234375</v>
      </c>
      <c r="E413">
        <f t="shared" si="12"/>
        <v>1.055782985557796</v>
      </c>
      <c r="F413">
        <f t="shared" si="13"/>
        <v>0.58958061932632422</v>
      </c>
    </row>
    <row r="414" spans="2:6" x14ac:dyDescent="0.45">
      <c r="B414" s="132">
        <v>44763</v>
      </c>
      <c r="C414">
        <v>257.38259887695313</v>
      </c>
      <c r="D414">
        <v>3998.949951171875</v>
      </c>
      <c r="E414">
        <f t="shared" si="12"/>
        <v>0.97988253813647841</v>
      </c>
      <c r="F414">
        <f t="shared" si="13"/>
        <v>0.98613727091971803</v>
      </c>
    </row>
    <row r="415" spans="2:6" x14ac:dyDescent="0.45">
      <c r="B415" s="132">
        <v>44764</v>
      </c>
      <c r="C415">
        <v>253.02867126464841</v>
      </c>
      <c r="D415">
        <v>3961.6298828125</v>
      </c>
      <c r="E415">
        <f t="shared" si="12"/>
        <v>-1.6916169279906135</v>
      </c>
      <c r="F415">
        <f t="shared" si="13"/>
        <v>-0.93324669763467094</v>
      </c>
    </row>
    <row r="416" spans="2:6" x14ac:dyDescent="0.45">
      <c r="B416" s="132">
        <v>44767</v>
      </c>
      <c r="C416">
        <v>251.54182434082031</v>
      </c>
      <c r="D416">
        <v>3966.840087890625</v>
      </c>
      <c r="E416">
        <f t="shared" si="12"/>
        <v>-0.58761993903566623</v>
      </c>
      <c r="F416">
        <f t="shared" si="13"/>
        <v>0.13151670479691902</v>
      </c>
    </row>
    <row r="417" spans="2:6" x14ac:dyDescent="0.45">
      <c r="B417" s="132">
        <v>44768</v>
      </c>
      <c r="C417">
        <v>244.80696105957031</v>
      </c>
      <c r="D417">
        <v>3921.050048828125</v>
      </c>
      <c r="E417">
        <f t="shared" si="12"/>
        <v>-2.6774327883242077</v>
      </c>
      <c r="F417">
        <f t="shared" si="13"/>
        <v>-1.154320266205866</v>
      </c>
    </row>
    <row r="418" spans="2:6" x14ac:dyDescent="0.45">
      <c r="B418" s="132">
        <v>44769</v>
      </c>
      <c r="C418">
        <v>261.17276000976563</v>
      </c>
      <c r="D418">
        <v>4023.610107421875</v>
      </c>
      <c r="E418">
        <f t="shared" si="12"/>
        <v>6.6851852902225728</v>
      </c>
      <c r="F418">
        <f t="shared" si="13"/>
        <v>2.6156273782937722</v>
      </c>
    </row>
    <row r="419" spans="2:6" x14ac:dyDescent="0.45">
      <c r="B419" s="132">
        <v>44770</v>
      </c>
      <c r="C419">
        <v>268.62680053710938</v>
      </c>
      <c r="D419">
        <v>4072.429931640625</v>
      </c>
      <c r="E419">
        <f t="shared" si="12"/>
        <v>2.8540650744224072</v>
      </c>
      <c r="F419">
        <f t="shared" si="13"/>
        <v>1.2133338697180918</v>
      </c>
    </row>
    <row r="420" spans="2:6" x14ac:dyDescent="0.45">
      <c r="B420" s="132">
        <v>44771</v>
      </c>
      <c r="C420">
        <v>272.8348388671875</v>
      </c>
      <c r="D420">
        <v>4130.2900390625</v>
      </c>
      <c r="E420">
        <f t="shared" si="12"/>
        <v>1.566499813743194</v>
      </c>
      <c r="F420">
        <f t="shared" si="13"/>
        <v>1.4207760082581844</v>
      </c>
    </row>
    <row r="421" spans="2:6" x14ac:dyDescent="0.45">
      <c r="B421" s="132">
        <v>44774</v>
      </c>
      <c r="C421">
        <v>270.1817626953125</v>
      </c>
      <c r="D421">
        <v>4118.6298828125</v>
      </c>
      <c r="E421">
        <f t="shared" si="12"/>
        <v>-0.97241106850232129</v>
      </c>
      <c r="F421">
        <f t="shared" si="13"/>
        <v>-0.28230841271976725</v>
      </c>
    </row>
    <row r="422" spans="2:6" x14ac:dyDescent="0.45">
      <c r="B422" s="132">
        <v>44775</v>
      </c>
      <c r="C422">
        <v>267.08160400390619</v>
      </c>
      <c r="D422">
        <v>4091.18994140625</v>
      </c>
      <c r="E422">
        <f t="shared" si="12"/>
        <v>-1.1474344753988452</v>
      </c>
      <c r="F422">
        <f t="shared" si="13"/>
        <v>-0.66623955507048027</v>
      </c>
    </row>
    <row r="423" spans="2:6" x14ac:dyDescent="0.45">
      <c r="B423" s="132">
        <v>44776</v>
      </c>
      <c r="C423">
        <v>274.51614379882813</v>
      </c>
      <c r="D423">
        <v>4155.169921875</v>
      </c>
      <c r="E423">
        <f t="shared" si="12"/>
        <v>2.7836210669204942</v>
      </c>
      <c r="F423">
        <f t="shared" si="13"/>
        <v>1.5638477163140152</v>
      </c>
    </row>
    <row r="424" spans="2:6" x14ac:dyDescent="0.45">
      <c r="B424" s="132">
        <v>44777</v>
      </c>
      <c r="C424">
        <v>275.6629638671875</v>
      </c>
      <c r="D424">
        <v>4151.93994140625</v>
      </c>
      <c r="E424">
        <f t="shared" si="12"/>
        <v>0.41776051946869064</v>
      </c>
      <c r="F424">
        <f t="shared" si="13"/>
        <v>-7.7734016405583972E-2</v>
      </c>
    </row>
    <row r="425" spans="2:6" x14ac:dyDescent="0.45">
      <c r="B425" s="132">
        <v>44778</v>
      </c>
      <c r="C425">
        <v>274.9437255859375</v>
      </c>
      <c r="D425">
        <v>4145.18994140625</v>
      </c>
      <c r="E425">
        <f t="shared" si="12"/>
        <v>-0.26091219188825177</v>
      </c>
      <c r="F425">
        <f t="shared" si="13"/>
        <v>-0.16257460597355333</v>
      </c>
    </row>
    <row r="426" spans="2:6" x14ac:dyDescent="0.45">
      <c r="B426" s="132">
        <v>44781</v>
      </c>
      <c r="C426">
        <v>272.42672729492188</v>
      </c>
      <c r="D426">
        <v>4140.06005859375</v>
      </c>
      <c r="E426">
        <f t="shared" si="12"/>
        <v>-0.91545944016420133</v>
      </c>
      <c r="F426">
        <f t="shared" si="13"/>
        <v>-0.12375507238541195</v>
      </c>
    </row>
    <row r="427" spans="2:6" x14ac:dyDescent="0.45">
      <c r="B427" s="132">
        <v>44782</v>
      </c>
      <c r="C427">
        <v>274.35092163085938</v>
      </c>
      <c r="D427">
        <v>4122.47021484375</v>
      </c>
      <c r="E427">
        <f t="shared" si="12"/>
        <v>0.70631628366419896</v>
      </c>
      <c r="F427">
        <f t="shared" si="13"/>
        <v>-0.4248692893594086</v>
      </c>
    </row>
    <row r="428" spans="2:6" x14ac:dyDescent="0.45">
      <c r="B428" s="132">
        <v>44783</v>
      </c>
      <c r="C428">
        <v>281.01779174804688</v>
      </c>
      <c r="D428">
        <v>4210.240234375</v>
      </c>
      <c r="E428">
        <f t="shared" si="12"/>
        <v>2.4300520215338794</v>
      </c>
      <c r="F428">
        <f t="shared" si="13"/>
        <v>2.1290637641290244</v>
      </c>
    </row>
    <row r="429" spans="2:6" x14ac:dyDescent="0.45">
      <c r="B429" s="132">
        <v>44784</v>
      </c>
      <c r="C429">
        <v>278.93804931640619</v>
      </c>
      <c r="D429">
        <v>4207.27001953125</v>
      </c>
      <c r="E429">
        <f t="shared" si="12"/>
        <v>-0.74007500333121978</v>
      </c>
      <c r="F429">
        <f t="shared" si="13"/>
        <v>-7.0547395835030002E-2</v>
      </c>
    </row>
    <row r="430" spans="2:6" x14ac:dyDescent="0.45">
      <c r="B430" s="132">
        <v>44785</v>
      </c>
      <c r="C430">
        <v>283.69039916992188</v>
      </c>
      <c r="D430">
        <v>4280.14990234375</v>
      </c>
      <c r="E430">
        <f t="shared" si="12"/>
        <v>1.7037295073806691</v>
      </c>
      <c r="F430">
        <f t="shared" si="13"/>
        <v>1.7322368774566943</v>
      </c>
    </row>
    <row r="431" spans="2:6" x14ac:dyDescent="0.45">
      <c r="B431" s="132">
        <v>44788</v>
      </c>
      <c r="C431">
        <v>285.2064208984375</v>
      </c>
      <c r="D431">
        <v>4297.14013671875</v>
      </c>
      <c r="E431">
        <f t="shared" si="12"/>
        <v>0.53439303302174057</v>
      </c>
      <c r="F431">
        <f t="shared" si="13"/>
        <v>0.39695418998517695</v>
      </c>
    </row>
    <row r="432" spans="2:6" x14ac:dyDescent="0.45">
      <c r="B432" s="132">
        <v>44789</v>
      </c>
      <c r="C432">
        <v>284.46786499023438</v>
      </c>
      <c r="D432">
        <v>4305.2001953125</v>
      </c>
      <c r="E432">
        <f t="shared" si="12"/>
        <v>-0.25895486710172388</v>
      </c>
      <c r="F432">
        <f t="shared" si="13"/>
        <v>0.18756797165810912</v>
      </c>
    </row>
    <row r="433" spans="2:6" x14ac:dyDescent="0.45">
      <c r="B433" s="132">
        <v>44790</v>
      </c>
      <c r="C433">
        <v>283.7178955078125</v>
      </c>
      <c r="D433">
        <v>4274.0400390625</v>
      </c>
      <c r="E433">
        <f t="shared" si="12"/>
        <v>-0.26363943865772566</v>
      </c>
      <c r="F433">
        <f t="shared" si="13"/>
        <v>-0.72377949540946007</v>
      </c>
    </row>
    <row r="434" spans="2:6" x14ac:dyDescent="0.45">
      <c r="B434" s="132">
        <v>44791</v>
      </c>
      <c r="C434">
        <v>282.59793090820313</v>
      </c>
      <c r="D434">
        <v>4283.740234375</v>
      </c>
      <c r="E434">
        <f t="shared" si="12"/>
        <v>-0.39474584343888175</v>
      </c>
      <c r="F434">
        <f t="shared" si="13"/>
        <v>0.22695611701915031</v>
      </c>
    </row>
    <row r="435" spans="2:6" x14ac:dyDescent="0.45">
      <c r="B435" s="132">
        <v>44792</v>
      </c>
      <c r="C435">
        <v>278.68283081054688</v>
      </c>
      <c r="D435">
        <v>4228.47998046875</v>
      </c>
      <c r="E435">
        <f t="shared" si="12"/>
        <v>-1.3853958820837953</v>
      </c>
      <c r="F435">
        <f t="shared" si="13"/>
        <v>-1.2900001139847905</v>
      </c>
    </row>
    <row r="436" spans="2:6" x14ac:dyDescent="0.45">
      <c r="B436" s="132">
        <v>44795</v>
      </c>
      <c r="C436">
        <v>270.50204467773438</v>
      </c>
      <c r="D436">
        <v>4137.990234375</v>
      </c>
      <c r="E436">
        <f t="shared" si="12"/>
        <v>-2.9355185280050211</v>
      </c>
      <c r="F436">
        <f t="shared" si="13"/>
        <v>-2.14000649197158</v>
      </c>
    </row>
    <row r="437" spans="2:6" x14ac:dyDescent="0.45">
      <c r="B437" s="132">
        <v>44796</v>
      </c>
      <c r="C437">
        <v>269.22625732421881</v>
      </c>
      <c r="D437">
        <v>4128.72998046875</v>
      </c>
      <c r="E437">
        <f t="shared" si="12"/>
        <v>-0.4716368613906341</v>
      </c>
      <c r="F437">
        <f t="shared" si="13"/>
        <v>-0.22378626777133093</v>
      </c>
    </row>
    <row r="438" spans="2:6" x14ac:dyDescent="0.45">
      <c r="B438" s="132">
        <v>44797</v>
      </c>
      <c r="C438">
        <v>268.59317016601563</v>
      </c>
      <c r="D438">
        <v>4140.77001953125</v>
      </c>
      <c r="E438">
        <f t="shared" si="12"/>
        <v>-0.23515059953486128</v>
      </c>
      <c r="F438">
        <f t="shared" si="13"/>
        <v>0.29161604463010526</v>
      </c>
    </row>
    <row r="439" spans="2:6" x14ac:dyDescent="0.45">
      <c r="B439" s="132">
        <v>44798</v>
      </c>
      <c r="C439">
        <v>271.57333374023438</v>
      </c>
      <c r="D439">
        <v>4199.1201171875</v>
      </c>
      <c r="E439">
        <f t="shared" si="12"/>
        <v>1.1095455526202391</v>
      </c>
      <c r="F439">
        <f t="shared" si="13"/>
        <v>1.4091605518061545</v>
      </c>
    </row>
    <row r="440" spans="2:6" x14ac:dyDescent="0.45">
      <c r="B440" s="132">
        <v>44799</v>
      </c>
      <c r="C440">
        <v>261.0941162109375</v>
      </c>
      <c r="D440">
        <v>4057.659912109375</v>
      </c>
      <c r="E440">
        <f t="shared" si="12"/>
        <v>-3.858706370383358</v>
      </c>
      <c r="F440">
        <f t="shared" si="13"/>
        <v>-3.3688058719518743</v>
      </c>
    </row>
    <row r="441" spans="2:6" x14ac:dyDescent="0.45">
      <c r="B441" s="132">
        <v>44802</v>
      </c>
      <c r="C441">
        <v>258.30877685546881</v>
      </c>
      <c r="D441">
        <v>4030.610107421875</v>
      </c>
      <c r="E441">
        <f t="shared" si="12"/>
        <v>-1.0667951449424562</v>
      </c>
      <c r="F441">
        <f t="shared" si="13"/>
        <v>-0.6666355799502699</v>
      </c>
    </row>
    <row r="442" spans="2:6" x14ac:dyDescent="0.45">
      <c r="B442" s="132">
        <v>44803</v>
      </c>
      <c r="C442">
        <v>256.10769653320313</v>
      </c>
      <c r="D442">
        <v>3986.159912109375</v>
      </c>
      <c r="E442">
        <f t="shared" si="12"/>
        <v>-0.85211209199339555</v>
      </c>
      <c r="F442">
        <f t="shared" si="13"/>
        <v>-1.1028155571448206</v>
      </c>
    </row>
    <row r="443" spans="2:6" x14ac:dyDescent="0.45">
      <c r="B443" s="132">
        <v>44804</v>
      </c>
      <c r="C443">
        <v>254.64686584472659</v>
      </c>
      <c r="D443">
        <v>3955</v>
      </c>
      <c r="E443">
        <f t="shared" si="12"/>
        <v>-0.57039702759855704</v>
      </c>
      <c r="F443">
        <f t="shared" si="13"/>
        <v>-0.78170251059712648</v>
      </c>
    </row>
    <row r="444" spans="2:6" x14ac:dyDescent="0.45">
      <c r="B444" s="132">
        <v>44805</v>
      </c>
      <c r="C444">
        <v>253.60478210449219</v>
      </c>
      <c r="D444">
        <v>3966.85009765625</v>
      </c>
      <c r="E444">
        <f t="shared" si="12"/>
        <v>-0.40922700414063318</v>
      </c>
      <c r="F444">
        <f t="shared" si="13"/>
        <v>0.29962320243361873</v>
      </c>
    </row>
    <row r="445" spans="2:6" x14ac:dyDescent="0.45">
      <c r="B445" s="132">
        <v>44806</v>
      </c>
      <c r="C445">
        <v>249.3780212402344</v>
      </c>
      <c r="D445">
        <v>3924.260009765625</v>
      </c>
      <c r="E445">
        <f t="shared" si="12"/>
        <v>-1.6666723825878971</v>
      </c>
      <c r="F445">
        <f t="shared" si="13"/>
        <v>-1.0736500458081055</v>
      </c>
    </row>
    <row r="446" spans="2:6" x14ac:dyDescent="0.45">
      <c r="B446" s="132">
        <v>44810</v>
      </c>
      <c r="C446">
        <v>246.641357421875</v>
      </c>
      <c r="D446">
        <v>3908.18994140625</v>
      </c>
      <c r="E446">
        <f t="shared" si="12"/>
        <v>-1.0973957547458002</v>
      </c>
      <c r="F446">
        <f t="shared" si="13"/>
        <v>-0.40950569838349438</v>
      </c>
    </row>
    <row r="447" spans="2:6" x14ac:dyDescent="0.45">
      <c r="B447" s="132">
        <v>44811</v>
      </c>
      <c r="C447">
        <v>251.3550720214844</v>
      </c>
      <c r="D447">
        <v>3979.8701171875</v>
      </c>
      <c r="E447">
        <f t="shared" si="12"/>
        <v>1.9111614730317417</v>
      </c>
      <c r="F447">
        <f t="shared" si="13"/>
        <v>1.8341016392734</v>
      </c>
    </row>
    <row r="448" spans="2:6" x14ac:dyDescent="0.45">
      <c r="B448" s="132">
        <v>44812</v>
      </c>
      <c r="C448">
        <v>251.7738342285156</v>
      </c>
      <c r="D448">
        <v>4006.179931640625</v>
      </c>
      <c r="E448">
        <f t="shared" si="12"/>
        <v>0.16660185277479478</v>
      </c>
      <c r="F448">
        <f t="shared" si="13"/>
        <v>0.66107218774560383</v>
      </c>
    </row>
    <row r="449" spans="2:6" x14ac:dyDescent="0.45">
      <c r="B449" s="132">
        <v>44813</v>
      </c>
      <c r="C449">
        <v>257.55877685546881</v>
      </c>
      <c r="D449">
        <v>4067.360107421875</v>
      </c>
      <c r="E449">
        <f t="shared" si="12"/>
        <v>2.2976742776624981</v>
      </c>
      <c r="F449">
        <f t="shared" si="13"/>
        <v>1.5271449816332883</v>
      </c>
    </row>
    <row r="450" spans="2:6" x14ac:dyDescent="0.45">
      <c r="B450" s="132">
        <v>44816</v>
      </c>
      <c r="C450">
        <v>259.69168090820313</v>
      </c>
      <c r="D450">
        <v>4110.41015625</v>
      </c>
      <c r="E450">
        <f t="shared" si="12"/>
        <v>0.82812322638541325</v>
      </c>
      <c r="F450">
        <f t="shared" si="13"/>
        <v>1.0584272769349701</v>
      </c>
    </row>
    <row r="451" spans="2:6" x14ac:dyDescent="0.45">
      <c r="B451" s="132">
        <v>44817</v>
      </c>
      <c r="C451">
        <v>245.41426086425781</v>
      </c>
      <c r="D451">
        <v>3932.68994140625</v>
      </c>
      <c r="E451">
        <f t="shared" si="12"/>
        <v>-5.4978349687651917</v>
      </c>
      <c r="F451">
        <f t="shared" si="13"/>
        <v>-4.3236613400616797</v>
      </c>
    </row>
    <row r="452" spans="2:6" x14ac:dyDescent="0.45">
      <c r="B452" s="132">
        <v>44818</v>
      </c>
      <c r="C452">
        <v>245.63824462890619</v>
      </c>
      <c r="D452">
        <v>3946.010009765625</v>
      </c>
      <c r="E452">
        <f t="shared" si="12"/>
        <v>9.1267623918667162E-2</v>
      </c>
      <c r="F452">
        <f t="shared" si="13"/>
        <v>0.33870120853238816</v>
      </c>
    </row>
    <row r="453" spans="2:6" x14ac:dyDescent="0.45">
      <c r="B453" s="132">
        <v>44819</v>
      </c>
      <c r="C453">
        <v>238.97673034667969</v>
      </c>
      <c r="D453">
        <v>3901.35009765625</v>
      </c>
      <c r="E453">
        <f t="shared" si="12"/>
        <v>-2.7119206507481231</v>
      </c>
      <c r="F453">
        <f t="shared" si="13"/>
        <v>-1.1317739184353415</v>
      </c>
    </row>
    <row r="454" spans="2:6" x14ac:dyDescent="0.45">
      <c r="B454" s="132">
        <v>44820</v>
      </c>
      <c r="C454">
        <v>238.35345458984381</v>
      </c>
      <c r="D454">
        <v>3873.330078125</v>
      </c>
      <c r="E454">
        <f t="shared" si="12"/>
        <v>-0.26081022864933301</v>
      </c>
      <c r="F454">
        <f t="shared" si="13"/>
        <v>-0.71821340894484553</v>
      </c>
    </row>
    <row r="455" spans="2:6" x14ac:dyDescent="0.45">
      <c r="B455" s="132">
        <v>44823</v>
      </c>
      <c r="C455">
        <v>238.13917541503909</v>
      </c>
      <c r="D455">
        <v>3899.889892578125</v>
      </c>
      <c r="E455">
        <f t="shared" si="12"/>
        <v>-8.9899756298239542E-2</v>
      </c>
      <c r="F455">
        <f t="shared" si="13"/>
        <v>0.68571007162865349</v>
      </c>
    </row>
    <row r="456" spans="2:6" x14ac:dyDescent="0.45">
      <c r="B456" s="132">
        <v>44824</v>
      </c>
      <c r="C456">
        <v>236.1231994628906</v>
      </c>
      <c r="D456">
        <v>3855.929931640625</v>
      </c>
      <c r="E456">
        <f t="shared" ref="E456:E519" si="14">((C456/C455)-1)*100</f>
        <v>-0.84655367964341366</v>
      </c>
      <c r="F456">
        <f t="shared" ref="F456:F519" si="15">((D456/D455)-1)*100</f>
        <v>-1.1272103097361819</v>
      </c>
    </row>
    <row r="457" spans="2:6" x14ac:dyDescent="0.45">
      <c r="B457" s="132">
        <v>44825</v>
      </c>
      <c r="C457">
        <v>232.71449279785159</v>
      </c>
      <c r="D457">
        <v>3789.929931640625</v>
      </c>
      <c r="E457">
        <f t="shared" si="14"/>
        <v>-1.4436136189890703</v>
      </c>
      <c r="F457">
        <f t="shared" si="15"/>
        <v>-1.7116493600784488</v>
      </c>
    </row>
    <row r="458" spans="2:6" x14ac:dyDescent="0.45">
      <c r="B458" s="132">
        <v>44826</v>
      </c>
      <c r="C458">
        <v>234.6915283203125</v>
      </c>
      <c r="D458">
        <v>3757.989990234375</v>
      </c>
      <c r="E458">
        <f t="shared" si="14"/>
        <v>0.84955410326690295</v>
      </c>
      <c r="F458">
        <f t="shared" si="15"/>
        <v>-0.84275809796894308</v>
      </c>
    </row>
    <row r="459" spans="2:6" x14ac:dyDescent="0.45">
      <c r="B459" s="132">
        <v>44827</v>
      </c>
      <c r="C459">
        <v>231.71141052246091</v>
      </c>
      <c r="D459">
        <v>3693.22998046875</v>
      </c>
      <c r="E459">
        <f t="shared" si="14"/>
        <v>-1.2698020329835913</v>
      </c>
      <c r="F459">
        <f t="shared" si="15"/>
        <v>-1.7232619015461026</v>
      </c>
    </row>
    <row r="460" spans="2:6" x14ac:dyDescent="0.45">
      <c r="B460" s="132">
        <v>44830</v>
      </c>
      <c r="C460">
        <v>231.253662109375</v>
      </c>
      <c r="D460">
        <v>3655.0400390625</v>
      </c>
      <c r="E460">
        <f t="shared" si="14"/>
        <v>-0.19755108824972556</v>
      </c>
      <c r="F460">
        <f t="shared" si="15"/>
        <v>-1.0340526208282075</v>
      </c>
    </row>
    <row r="461" spans="2:6" x14ac:dyDescent="0.45">
      <c r="B461" s="132">
        <v>44831</v>
      </c>
      <c r="C461">
        <v>230.24082946777341</v>
      </c>
      <c r="D461">
        <v>3647.2900390625</v>
      </c>
      <c r="E461">
        <f t="shared" si="14"/>
        <v>-0.43797474702154116</v>
      </c>
      <c r="F461">
        <f t="shared" si="15"/>
        <v>-0.21203598092424114</v>
      </c>
    </row>
    <row r="462" spans="2:6" x14ac:dyDescent="0.45">
      <c r="B462" s="132">
        <v>44832</v>
      </c>
      <c r="C462">
        <v>234.77922058105469</v>
      </c>
      <c r="D462">
        <v>3719.0400390625</v>
      </c>
      <c r="E462">
        <f t="shared" si="14"/>
        <v>1.9711495670738488</v>
      </c>
      <c r="F462">
        <f t="shared" si="15"/>
        <v>1.9672139926234733</v>
      </c>
    </row>
    <row r="463" spans="2:6" x14ac:dyDescent="0.45">
      <c r="B463" s="132">
        <v>44833</v>
      </c>
      <c r="C463">
        <v>231.30238342285159</v>
      </c>
      <c r="D463">
        <v>3640.469970703125</v>
      </c>
      <c r="E463">
        <f t="shared" si="14"/>
        <v>-1.4808964565084959</v>
      </c>
      <c r="F463">
        <f t="shared" si="15"/>
        <v>-2.1126437880238824</v>
      </c>
    </row>
    <row r="464" spans="2:6" x14ac:dyDescent="0.45">
      <c r="B464" s="132">
        <v>44834</v>
      </c>
      <c r="C464">
        <v>226.82240295410159</v>
      </c>
      <c r="D464">
        <v>3585.6201171875</v>
      </c>
      <c r="E464">
        <f t="shared" si="14"/>
        <v>-1.9368501104288227</v>
      </c>
      <c r="F464">
        <f t="shared" si="15"/>
        <v>-1.5066695771983274</v>
      </c>
    </row>
    <row r="465" spans="2:6" x14ac:dyDescent="0.45">
      <c r="B465" s="132">
        <v>44837</v>
      </c>
      <c r="C465">
        <v>234.45782470703119</v>
      </c>
      <c r="D465">
        <v>3678.429931640625</v>
      </c>
      <c r="E465">
        <f t="shared" si="14"/>
        <v>3.3662555609529798</v>
      </c>
      <c r="F465">
        <f t="shared" si="15"/>
        <v>2.5883894952576147</v>
      </c>
    </row>
    <row r="466" spans="2:6" x14ac:dyDescent="0.45">
      <c r="B466" s="132">
        <v>44838</v>
      </c>
      <c r="C466">
        <v>242.38539123535159</v>
      </c>
      <c r="D466">
        <v>3790.929931640625</v>
      </c>
      <c r="E466">
        <f t="shared" si="14"/>
        <v>3.3812335068050592</v>
      </c>
      <c r="F466">
        <f t="shared" si="15"/>
        <v>3.0583700679551518</v>
      </c>
    </row>
    <row r="467" spans="2:6" x14ac:dyDescent="0.45">
      <c r="B467" s="132">
        <v>44839</v>
      </c>
      <c r="C467">
        <v>242.69706726074219</v>
      </c>
      <c r="D467">
        <v>3783.280029296875</v>
      </c>
      <c r="E467">
        <f t="shared" si="14"/>
        <v>0.12858696796951286</v>
      </c>
      <c r="F467">
        <f t="shared" si="15"/>
        <v>-0.20179487570848309</v>
      </c>
    </row>
    <row r="468" spans="2:6" x14ac:dyDescent="0.45">
      <c r="B468" s="132">
        <v>44840</v>
      </c>
      <c r="C468">
        <v>240.34992980957031</v>
      </c>
      <c r="D468">
        <v>3744.52001953125</v>
      </c>
      <c r="E468">
        <f t="shared" si="14"/>
        <v>-0.96710581535384144</v>
      </c>
      <c r="F468">
        <f t="shared" si="15"/>
        <v>-1.0245080846639998</v>
      </c>
    </row>
    <row r="469" spans="2:6" x14ac:dyDescent="0.45">
      <c r="B469" s="132">
        <v>44841</v>
      </c>
      <c r="C469">
        <v>228.12744140625</v>
      </c>
      <c r="D469">
        <v>3639.659912109375</v>
      </c>
      <c r="E469">
        <f t="shared" si="14"/>
        <v>-5.0852889422535741</v>
      </c>
      <c r="F469">
        <f t="shared" si="15"/>
        <v>-2.8003617786773516</v>
      </c>
    </row>
    <row r="470" spans="2:6" x14ac:dyDescent="0.45">
      <c r="B470" s="132">
        <v>44844</v>
      </c>
      <c r="C470">
        <v>223.26763916015619</v>
      </c>
      <c r="D470">
        <v>3612.389892578125</v>
      </c>
      <c r="E470">
        <f t="shared" si="14"/>
        <v>-2.1303014736572035</v>
      </c>
      <c r="F470">
        <f t="shared" si="15"/>
        <v>-0.74924636339018802</v>
      </c>
    </row>
    <row r="471" spans="2:6" x14ac:dyDescent="0.45">
      <c r="B471" s="132">
        <v>44845</v>
      </c>
      <c r="C471">
        <v>219.5278625488281</v>
      </c>
      <c r="D471">
        <v>3588.840087890625</v>
      </c>
      <c r="E471">
        <f t="shared" si="14"/>
        <v>-1.6750195529435685</v>
      </c>
      <c r="F471">
        <f t="shared" si="15"/>
        <v>-0.65191757777544046</v>
      </c>
    </row>
    <row r="472" spans="2:6" x14ac:dyDescent="0.45">
      <c r="B472" s="132">
        <v>44846</v>
      </c>
      <c r="C472">
        <v>219.8590087890625</v>
      </c>
      <c r="D472">
        <v>3577.030029296875</v>
      </c>
      <c r="E472">
        <f t="shared" si="14"/>
        <v>0.15084474307254236</v>
      </c>
      <c r="F472">
        <f t="shared" si="15"/>
        <v>-0.32907731480149582</v>
      </c>
    </row>
    <row r="473" spans="2:6" x14ac:dyDescent="0.45">
      <c r="B473" s="132">
        <v>44847</v>
      </c>
      <c r="C473">
        <v>228.12744140625</v>
      </c>
      <c r="D473">
        <v>3669.909912109375</v>
      </c>
      <c r="E473">
        <f t="shared" si="14"/>
        <v>3.7607886357390097</v>
      </c>
      <c r="F473">
        <f t="shared" si="15"/>
        <v>2.5965642460864968</v>
      </c>
    </row>
    <row r="474" spans="2:6" x14ac:dyDescent="0.45">
      <c r="B474" s="132">
        <v>44848</v>
      </c>
      <c r="C474">
        <v>222.59565734863281</v>
      </c>
      <c r="D474">
        <v>3583.070068359375</v>
      </c>
      <c r="E474">
        <f t="shared" si="14"/>
        <v>-2.4248656906497135</v>
      </c>
      <c r="F474">
        <f t="shared" si="15"/>
        <v>-2.3662663615654389</v>
      </c>
    </row>
    <row r="475" spans="2:6" x14ac:dyDescent="0.45">
      <c r="B475" s="132">
        <v>44851</v>
      </c>
      <c r="C475">
        <v>231.33160400390619</v>
      </c>
      <c r="D475">
        <v>3677.949951171875</v>
      </c>
      <c r="E475">
        <f t="shared" si="14"/>
        <v>3.924580901230712</v>
      </c>
      <c r="F475">
        <f t="shared" si="15"/>
        <v>2.6480052302171098</v>
      </c>
    </row>
    <row r="476" spans="2:6" x14ac:dyDescent="0.45">
      <c r="B476" s="132">
        <v>44852</v>
      </c>
      <c r="C476">
        <v>232.27626037597659</v>
      </c>
      <c r="D476">
        <v>3719.97998046875</v>
      </c>
      <c r="E476">
        <f t="shared" si="14"/>
        <v>0.40835595124928403</v>
      </c>
      <c r="F476">
        <f t="shared" si="15"/>
        <v>1.1427569666488724</v>
      </c>
    </row>
    <row r="477" spans="2:6" x14ac:dyDescent="0.45">
      <c r="B477" s="132">
        <v>44853</v>
      </c>
      <c r="C477">
        <v>230.3089904785156</v>
      </c>
      <c r="D477">
        <v>3695.159912109375</v>
      </c>
      <c r="E477">
        <f t="shared" si="14"/>
        <v>-0.84695263057733561</v>
      </c>
      <c r="F477">
        <f t="shared" si="15"/>
        <v>-0.66720972934503076</v>
      </c>
    </row>
    <row r="478" spans="2:6" x14ac:dyDescent="0.45">
      <c r="B478" s="132">
        <v>44854</v>
      </c>
      <c r="C478">
        <v>229.98760986328119</v>
      </c>
      <c r="D478">
        <v>3665.780029296875</v>
      </c>
      <c r="E478">
        <f t="shared" si="14"/>
        <v>-0.1395432347502612</v>
      </c>
      <c r="F478">
        <f t="shared" si="15"/>
        <v>-0.79509097065648682</v>
      </c>
    </row>
    <row r="479" spans="2:6" x14ac:dyDescent="0.45">
      <c r="B479" s="132">
        <v>44855</v>
      </c>
      <c r="C479">
        <v>235.80180358886719</v>
      </c>
      <c r="D479">
        <v>3752.75</v>
      </c>
      <c r="E479">
        <f t="shared" si="14"/>
        <v>2.5280465017408105</v>
      </c>
      <c r="F479">
        <f t="shared" si="15"/>
        <v>2.372481982226482</v>
      </c>
    </row>
    <row r="480" spans="2:6" x14ac:dyDescent="0.45">
      <c r="B480" s="132">
        <v>44858</v>
      </c>
      <c r="C480">
        <v>240.79795837402341</v>
      </c>
      <c r="D480">
        <v>3797.340087890625</v>
      </c>
      <c r="E480">
        <f t="shared" si="14"/>
        <v>2.1187941352082573</v>
      </c>
      <c r="F480">
        <f t="shared" si="15"/>
        <v>1.1881976654619875</v>
      </c>
    </row>
    <row r="481" spans="2:6" x14ac:dyDescent="0.45">
      <c r="B481" s="132">
        <v>44859</v>
      </c>
      <c r="C481">
        <v>244.11894226074219</v>
      </c>
      <c r="D481">
        <v>3859.110107421875</v>
      </c>
      <c r="E481">
        <f t="shared" si="14"/>
        <v>1.3791578255661241</v>
      </c>
      <c r="F481">
        <f t="shared" si="15"/>
        <v>1.6266654579669915</v>
      </c>
    </row>
    <row r="482" spans="2:6" x14ac:dyDescent="0.45">
      <c r="B482" s="132">
        <v>44860</v>
      </c>
      <c r="C482">
        <v>225.28363037109381</v>
      </c>
      <c r="D482">
        <v>3830.60009765625</v>
      </c>
      <c r="E482">
        <f t="shared" si="14"/>
        <v>-7.7156289943000278</v>
      </c>
      <c r="F482">
        <f t="shared" si="15"/>
        <v>-0.73877160723645474</v>
      </c>
    </row>
    <row r="483" spans="2:6" x14ac:dyDescent="0.45">
      <c r="B483" s="132">
        <v>44861</v>
      </c>
      <c r="C483">
        <v>220.83290100097659</v>
      </c>
      <c r="D483">
        <v>3807.300048828125</v>
      </c>
      <c r="E483">
        <f t="shared" si="14"/>
        <v>-1.9756115270274432</v>
      </c>
      <c r="F483">
        <f t="shared" si="15"/>
        <v>-0.60826106182112483</v>
      </c>
    </row>
    <row r="484" spans="2:6" x14ac:dyDescent="0.45">
      <c r="B484" s="132">
        <v>44862</v>
      </c>
      <c r="C484">
        <v>229.7148742675781</v>
      </c>
      <c r="D484">
        <v>3901.06005859375</v>
      </c>
      <c r="E484">
        <f t="shared" si="14"/>
        <v>4.0220335042205679</v>
      </c>
      <c r="F484">
        <f t="shared" si="15"/>
        <v>2.4626377895927698</v>
      </c>
    </row>
    <row r="485" spans="2:6" x14ac:dyDescent="0.45">
      <c r="B485" s="132">
        <v>44865</v>
      </c>
      <c r="C485">
        <v>226.072509765625</v>
      </c>
      <c r="D485">
        <v>3871.97998046875</v>
      </c>
      <c r="E485">
        <f t="shared" si="14"/>
        <v>-1.5856023749295289</v>
      </c>
      <c r="F485">
        <f t="shared" si="15"/>
        <v>-0.74544041076575196</v>
      </c>
    </row>
    <row r="486" spans="2:6" x14ac:dyDescent="0.45">
      <c r="B486" s="132">
        <v>44866</v>
      </c>
      <c r="C486">
        <v>222.21583557128909</v>
      </c>
      <c r="D486">
        <v>3856.10009765625</v>
      </c>
      <c r="E486">
        <f t="shared" si="14"/>
        <v>-1.7059456712955612</v>
      </c>
      <c r="F486">
        <f t="shared" si="15"/>
        <v>-0.41012306087846451</v>
      </c>
    </row>
    <row r="487" spans="2:6" x14ac:dyDescent="0.45">
      <c r="B487" s="132">
        <v>44867</v>
      </c>
      <c r="C487">
        <v>214.35643005371091</v>
      </c>
      <c r="D487">
        <v>3759.68994140625</v>
      </c>
      <c r="E487">
        <f t="shared" si="14"/>
        <v>-3.5368341312727036</v>
      </c>
      <c r="F487">
        <f t="shared" si="15"/>
        <v>-2.500198485734284</v>
      </c>
    </row>
    <row r="488" spans="2:6" x14ac:dyDescent="0.45">
      <c r="B488" s="132">
        <v>44868</v>
      </c>
      <c r="C488">
        <v>208.6590576171875</v>
      </c>
      <c r="D488">
        <v>3719.889892578125</v>
      </c>
      <c r="E488">
        <f t="shared" si="14"/>
        <v>-2.6578966794212011</v>
      </c>
      <c r="F488">
        <f t="shared" si="15"/>
        <v>-1.0585992315429671</v>
      </c>
    </row>
    <row r="489" spans="2:6" x14ac:dyDescent="0.45">
      <c r="B489" s="132">
        <v>44869</v>
      </c>
      <c r="C489">
        <v>215.61277770996091</v>
      </c>
      <c r="D489">
        <v>3770.550048828125</v>
      </c>
      <c r="E489">
        <f t="shared" si="14"/>
        <v>3.3325752412487697</v>
      </c>
      <c r="F489">
        <f t="shared" si="15"/>
        <v>1.3618724670070526</v>
      </c>
    </row>
    <row r="490" spans="2:6" x14ac:dyDescent="0.45">
      <c r="B490" s="132">
        <v>44872</v>
      </c>
      <c r="C490">
        <v>221.9236755371094</v>
      </c>
      <c r="D490">
        <v>3806.800048828125</v>
      </c>
      <c r="E490">
        <f t="shared" si="14"/>
        <v>2.926959104268767</v>
      </c>
      <c r="F490">
        <f t="shared" si="15"/>
        <v>0.96139819205598442</v>
      </c>
    </row>
    <row r="491" spans="2:6" x14ac:dyDescent="0.45">
      <c r="B491" s="132">
        <v>44873</v>
      </c>
      <c r="C491">
        <v>222.8975830078125</v>
      </c>
      <c r="D491">
        <v>3828.110107421875</v>
      </c>
      <c r="E491">
        <f t="shared" si="14"/>
        <v>0.43884793650159626</v>
      </c>
      <c r="F491">
        <f t="shared" si="15"/>
        <v>0.55978928024627006</v>
      </c>
    </row>
    <row r="492" spans="2:6" x14ac:dyDescent="0.45">
      <c r="B492" s="132">
        <v>44874</v>
      </c>
      <c r="C492">
        <v>218.6513671875</v>
      </c>
      <c r="D492">
        <v>3748.570068359375</v>
      </c>
      <c r="E492">
        <f t="shared" si="14"/>
        <v>-1.9050075658127108</v>
      </c>
      <c r="F492">
        <f t="shared" si="15"/>
        <v>-2.077788695478977</v>
      </c>
    </row>
    <row r="493" spans="2:6" x14ac:dyDescent="0.45">
      <c r="B493" s="132">
        <v>44875</v>
      </c>
      <c r="C493">
        <v>236.6393737792969</v>
      </c>
      <c r="D493">
        <v>3956.3701171875</v>
      </c>
      <c r="E493">
        <f t="shared" si="14"/>
        <v>8.2267981321935366</v>
      </c>
      <c r="F493">
        <f t="shared" si="15"/>
        <v>5.5434484360344927</v>
      </c>
    </row>
    <row r="494" spans="2:6" x14ac:dyDescent="0.45">
      <c r="B494" s="132">
        <v>44876</v>
      </c>
      <c r="C494">
        <v>240.6615905761719</v>
      </c>
      <c r="D494">
        <v>3992.929931640625</v>
      </c>
      <c r="E494">
        <f t="shared" si="14"/>
        <v>1.6997242397312817</v>
      </c>
      <c r="F494">
        <f t="shared" si="15"/>
        <v>0.92407467881479022</v>
      </c>
    </row>
    <row r="495" spans="2:6" x14ac:dyDescent="0.45">
      <c r="B495" s="132">
        <v>44879</v>
      </c>
      <c r="C495">
        <v>235.24668884277341</v>
      </c>
      <c r="D495">
        <v>3957.25</v>
      </c>
      <c r="E495">
        <f t="shared" si="14"/>
        <v>-2.2500066256666007</v>
      </c>
      <c r="F495">
        <f t="shared" si="15"/>
        <v>-0.89357770488009969</v>
      </c>
    </row>
    <row r="496" spans="2:6" x14ac:dyDescent="0.45">
      <c r="B496" s="132">
        <v>44880</v>
      </c>
      <c r="C496">
        <v>235.65568542480469</v>
      </c>
      <c r="D496">
        <v>3991.72998046875</v>
      </c>
      <c r="E496">
        <f t="shared" si="14"/>
        <v>0.17385859246019653</v>
      </c>
      <c r="F496">
        <f t="shared" si="15"/>
        <v>0.87131165503191443</v>
      </c>
    </row>
    <row r="497" spans="2:6" x14ac:dyDescent="0.45">
      <c r="B497" s="132">
        <v>44881</v>
      </c>
      <c r="C497">
        <v>236.08546447753909</v>
      </c>
      <c r="D497">
        <v>3958.7900390625</v>
      </c>
      <c r="E497">
        <f t="shared" si="14"/>
        <v>0.18237584718554523</v>
      </c>
      <c r="F497">
        <f t="shared" si="15"/>
        <v>-0.8252046497990273</v>
      </c>
    </row>
    <row r="498" spans="2:6" x14ac:dyDescent="0.45">
      <c r="B498" s="132">
        <v>44882</v>
      </c>
      <c r="C498">
        <v>236.03660583496091</v>
      </c>
      <c r="D498">
        <v>3946.56005859375</v>
      </c>
      <c r="E498">
        <f t="shared" si="14"/>
        <v>-2.0695320097874337E-2</v>
      </c>
      <c r="F498">
        <f t="shared" si="15"/>
        <v>-0.30893228355314273</v>
      </c>
    </row>
    <row r="499" spans="2:6" x14ac:dyDescent="0.45">
      <c r="B499" s="132">
        <v>44883</v>
      </c>
      <c r="C499">
        <v>235.58732604980469</v>
      </c>
      <c r="D499">
        <v>3965.340087890625</v>
      </c>
      <c r="E499">
        <f t="shared" si="14"/>
        <v>-0.19034326627724862</v>
      </c>
      <c r="F499">
        <f t="shared" si="15"/>
        <v>0.47585819088147296</v>
      </c>
    </row>
    <row r="500" spans="2:6" x14ac:dyDescent="0.45">
      <c r="B500" s="132">
        <v>44886</v>
      </c>
      <c r="C500">
        <v>236.39794921875</v>
      </c>
      <c r="D500">
        <v>3949.93994140625</v>
      </c>
      <c r="E500">
        <f t="shared" si="14"/>
        <v>0.34408606886346949</v>
      </c>
      <c r="F500">
        <f t="shared" si="15"/>
        <v>-0.38836886983297791</v>
      </c>
    </row>
    <row r="501" spans="2:6" x14ac:dyDescent="0.45">
      <c r="B501" s="132">
        <v>44887</v>
      </c>
      <c r="C501">
        <v>239.3083801269531</v>
      </c>
      <c r="D501">
        <v>4003.580078125</v>
      </c>
      <c r="E501">
        <f t="shared" si="14"/>
        <v>1.2311574266280711</v>
      </c>
      <c r="F501">
        <f t="shared" si="15"/>
        <v>1.3579987927526016</v>
      </c>
    </row>
    <row r="502" spans="2:6" x14ac:dyDescent="0.45">
      <c r="B502" s="132">
        <v>44888</v>
      </c>
      <c r="C502">
        <v>241.7988586425781</v>
      </c>
      <c r="D502">
        <v>4027.260009765625</v>
      </c>
      <c r="E502">
        <f t="shared" si="14"/>
        <v>1.040698413613339</v>
      </c>
      <c r="F502">
        <f t="shared" si="15"/>
        <v>0.59146891478476515</v>
      </c>
    </row>
    <row r="503" spans="2:6" x14ac:dyDescent="0.45">
      <c r="B503" s="132">
        <v>44890</v>
      </c>
      <c r="C503">
        <v>241.7109680175781</v>
      </c>
      <c r="D503">
        <v>4026.1201171875</v>
      </c>
      <c r="E503">
        <f t="shared" si="14"/>
        <v>-3.6348651723749903E-2</v>
      </c>
      <c r="F503">
        <f t="shared" si="15"/>
        <v>-2.8304419763336419E-2</v>
      </c>
    </row>
    <row r="504" spans="2:6" x14ac:dyDescent="0.45">
      <c r="B504" s="132">
        <v>44893</v>
      </c>
      <c r="C504">
        <v>236.1147155761719</v>
      </c>
      <c r="D504">
        <v>3963.93994140625</v>
      </c>
      <c r="E504">
        <f t="shared" si="14"/>
        <v>-2.3152662402143087</v>
      </c>
      <c r="F504">
        <f t="shared" si="15"/>
        <v>-1.5444192913123267</v>
      </c>
    </row>
    <row r="505" spans="2:6" x14ac:dyDescent="0.45">
      <c r="B505" s="132">
        <v>44894</v>
      </c>
      <c r="C505">
        <v>234.71812438964841</v>
      </c>
      <c r="D505">
        <v>3957.6298828125</v>
      </c>
      <c r="E505">
        <f t="shared" si="14"/>
        <v>-0.59148841405988195</v>
      </c>
      <c r="F505">
        <f t="shared" si="15"/>
        <v>-0.15918653377758885</v>
      </c>
    </row>
    <row r="506" spans="2:6" x14ac:dyDescent="0.45">
      <c r="B506" s="132">
        <v>44895</v>
      </c>
      <c r="C506">
        <v>249.18229675292969</v>
      </c>
      <c r="D506">
        <v>4080.110107421875</v>
      </c>
      <c r="E506">
        <f t="shared" si="14"/>
        <v>6.1623585314910523</v>
      </c>
      <c r="F506">
        <f t="shared" si="15"/>
        <v>3.0947872397389053</v>
      </c>
    </row>
    <row r="507" spans="2:6" x14ac:dyDescent="0.45">
      <c r="B507" s="132">
        <v>44896</v>
      </c>
      <c r="C507">
        <v>248.74281311035159</v>
      </c>
      <c r="D507">
        <v>4076.570068359375</v>
      </c>
      <c r="E507">
        <f t="shared" si="14"/>
        <v>-0.17637033140193159</v>
      </c>
      <c r="F507">
        <f t="shared" si="15"/>
        <v>-8.6763321804983473E-2</v>
      </c>
    </row>
    <row r="508" spans="2:6" x14ac:dyDescent="0.45">
      <c r="B508" s="132">
        <v>44897</v>
      </c>
      <c r="C508">
        <v>249.06512451171881</v>
      </c>
      <c r="D508">
        <v>4071.699951171875</v>
      </c>
      <c r="E508">
        <f t="shared" si="14"/>
        <v>0.12957616637720992</v>
      </c>
      <c r="F508">
        <f t="shared" si="15"/>
        <v>-0.1194660488065602</v>
      </c>
    </row>
    <row r="509" spans="2:6" x14ac:dyDescent="0.45">
      <c r="B509" s="132">
        <v>44900</v>
      </c>
      <c r="C509">
        <v>244.35765075683591</v>
      </c>
      <c r="D509">
        <v>3998.840087890625</v>
      </c>
      <c r="E509">
        <f t="shared" si="14"/>
        <v>-1.8900573751992389</v>
      </c>
      <c r="F509">
        <f t="shared" si="15"/>
        <v>-1.7894212283564803</v>
      </c>
    </row>
    <row r="510" spans="2:6" x14ac:dyDescent="0.45">
      <c r="B510" s="132">
        <v>44901</v>
      </c>
      <c r="C510">
        <v>239.3962707519531</v>
      </c>
      <c r="D510">
        <v>3941.260009765625</v>
      </c>
      <c r="E510">
        <f t="shared" si="14"/>
        <v>-2.030376372303544</v>
      </c>
      <c r="F510">
        <f t="shared" si="15"/>
        <v>-1.4399194981406072</v>
      </c>
    </row>
    <row r="511" spans="2:6" x14ac:dyDescent="0.45">
      <c r="B511" s="132">
        <v>44902</v>
      </c>
      <c r="C511">
        <v>238.66377258300781</v>
      </c>
      <c r="D511">
        <v>3933.919921875</v>
      </c>
      <c r="E511">
        <f t="shared" si="14"/>
        <v>-0.30597726800191127</v>
      </c>
      <c r="F511">
        <f t="shared" si="15"/>
        <v>-0.18623708845491027</v>
      </c>
    </row>
    <row r="512" spans="2:6" x14ac:dyDescent="0.45">
      <c r="B512" s="132">
        <v>44903</v>
      </c>
      <c r="C512">
        <v>241.6230163574219</v>
      </c>
      <c r="D512">
        <v>3963.510009765625</v>
      </c>
      <c r="E512">
        <f t="shared" si="14"/>
        <v>1.2399216447418038</v>
      </c>
      <c r="F512">
        <f t="shared" si="15"/>
        <v>0.75217819575039702</v>
      </c>
    </row>
    <row r="513" spans="2:6" x14ac:dyDescent="0.45">
      <c r="B513" s="132">
        <v>44904</v>
      </c>
      <c r="C513">
        <v>239.68928527832031</v>
      </c>
      <c r="D513">
        <v>3934.3798828125</v>
      </c>
      <c r="E513">
        <f t="shared" si="14"/>
        <v>-0.80030913786834912</v>
      </c>
      <c r="F513">
        <f t="shared" si="15"/>
        <v>-0.7349578247904498</v>
      </c>
    </row>
    <row r="514" spans="2:6" x14ac:dyDescent="0.45">
      <c r="B514" s="132">
        <v>44907</v>
      </c>
      <c r="C514">
        <v>246.61370849609381</v>
      </c>
      <c r="D514">
        <v>3990.56005859375</v>
      </c>
      <c r="E514">
        <f t="shared" si="14"/>
        <v>2.888916461047919</v>
      </c>
      <c r="F514">
        <f t="shared" si="15"/>
        <v>1.4279296218109305</v>
      </c>
    </row>
    <row r="515" spans="2:6" x14ac:dyDescent="0.45">
      <c r="B515" s="132">
        <v>44908</v>
      </c>
      <c r="C515">
        <v>250.92079162597659</v>
      </c>
      <c r="D515">
        <v>4019.64990234375</v>
      </c>
      <c r="E515">
        <f t="shared" si="14"/>
        <v>1.7464897455005124</v>
      </c>
      <c r="F515">
        <f t="shared" si="15"/>
        <v>0.72896644387934195</v>
      </c>
    </row>
    <row r="516" spans="2:6" x14ac:dyDescent="0.45">
      <c r="B516" s="132">
        <v>44909</v>
      </c>
      <c r="C516">
        <v>251.2137451171875</v>
      </c>
      <c r="D516">
        <v>3995.320068359375</v>
      </c>
      <c r="E516">
        <f t="shared" si="14"/>
        <v>0.11675138170597066</v>
      </c>
      <c r="F516">
        <f t="shared" si="15"/>
        <v>-0.60527246341003371</v>
      </c>
    </row>
    <row r="517" spans="2:6" x14ac:dyDescent="0.45">
      <c r="B517" s="132">
        <v>44910</v>
      </c>
      <c r="C517">
        <v>243.19544982910159</v>
      </c>
      <c r="D517">
        <v>3895.75</v>
      </c>
      <c r="E517">
        <f t="shared" si="14"/>
        <v>-3.191821882335899</v>
      </c>
      <c r="F517">
        <f t="shared" si="15"/>
        <v>-2.4921675023714007</v>
      </c>
    </row>
    <row r="518" spans="2:6" x14ac:dyDescent="0.45">
      <c r="B518" s="132">
        <v>44911</v>
      </c>
      <c r="C518">
        <v>238.976318359375</v>
      </c>
      <c r="D518">
        <v>3852.360107421875</v>
      </c>
      <c r="E518">
        <f t="shared" si="14"/>
        <v>-1.7348727012332921</v>
      </c>
      <c r="F518">
        <f t="shared" si="15"/>
        <v>-1.1137750774080746</v>
      </c>
    </row>
    <row r="519" spans="2:6" x14ac:dyDescent="0.45">
      <c r="B519" s="132">
        <v>44914</v>
      </c>
      <c r="C519">
        <v>234.8353271484375</v>
      </c>
      <c r="D519">
        <v>3817.659912109375</v>
      </c>
      <c r="E519">
        <f t="shared" si="14"/>
        <v>-1.732804003077093</v>
      </c>
      <c r="F519">
        <f t="shared" si="15"/>
        <v>-0.90075160018523448</v>
      </c>
    </row>
    <row r="520" spans="2:6" x14ac:dyDescent="0.45">
      <c r="B520" s="132">
        <v>44915</v>
      </c>
      <c r="C520">
        <v>236.15382385253909</v>
      </c>
      <c r="D520">
        <v>3821.6201171875</v>
      </c>
      <c r="E520">
        <f t="shared" ref="E520:E583" si="16">((C520/C519)-1)*100</f>
        <v>0.56145585935125641</v>
      </c>
      <c r="F520">
        <f t="shared" ref="F520:F583" si="17">((D520/D519)-1)*100</f>
        <v>0.10373383615349674</v>
      </c>
    </row>
    <row r="521" spans="2:6" x14ac:dyDescent="0.45">
      <c r="B521" s="132">
        <v>44916</v>
      </c>
      <c r="C521">
        <v>238.72236633300781</v>
      </c>
      <c r="D521">
        <v>3878.43994140625</v>
      </c>
      <c r="E521">
        <f t="shared" si="16"/>
        <v>1.0876565276675798</v>
      </c>
      <c r="F521">
        <f t="shared" si="17"/>
        <v>1.4867993802734736</v>
      </c>
    </row>
    <row r="522" spans="2:6" x14ac:dyDescent="0.45">
      <c r="B522" s="132">
        <v>44917</v>
      </c>
      <c r="C522">
        <v>232.62812805175781</v>
      </c>
      <c r="D522">
        <v>3822.389892578125</v>
      </c>
      <c r="E522">
        <f t="shared" si="16"/>
        <v>-2.5528560121378829</v>
      </c>
      <c r="F522">
        <f t="shared" si="17"/>
        <v>-1.4451699568616361</v>
      </c>
    </row>
    <row r="523" spans="2:6" x14ac:dyDescent="0.45">
      <c r="B523" s="132">
        <v>44918</v>
      </c>
      <c r="C523">
        <v>233.155517578125</v>
      </c>
      <c r="D523">
        <v>3844.820068359375</v>
      </c>
      <c r="E523">
        <f t="shared" si="16"/>
        <v>0.22670926804253533</v>
      </c>
      <c r="F523">
        <f t="shared" si="17"/>
        <v>0.58681025252820262</v>
      </c>
    </row>
    <row r="524" spans="2:6" x14ac:dyDescent="0.45">
      <c r="B524" s="132">
        <v>44922</v>
      </c>
      <c r="C524">
        <v>231.42681884765619</v>
      </c>
      <c r="D524">
        <v>3829.25</v>
      </c>
      <c r="E524">
        <f t="shared" si="16"/>
        <v>-0.74143590871253995</v>
      </c>
      <c r="F524">
        <f t="shared" si="17"/>
        <v>-0.40496221104097119</v>
      </c>
    </row>
    <row r="525" spans="2:6" x14ac:dyDescent="0.45">
      <c r="B525" s="132">
        <v>44923</v>
      </c>
      <c r="C525">
        <v>229.0535583496094</v>
      </c>
      <c r="D525">
        <v>3783.219970703125</v>
      </c>
      <c r="E525">
        <f t="shared" si="16"/>
        <v>-1.0254906971732924</v>
      </c>
      <c r="F525">
        <f t="shared" si="17"/>
        <v>-1.2020638322615351</v>
      </c>
    </row>
    <row r="526" spans="2:6" x14ac:dyDescent="0.45">
      <c r="B526" s="132">
        <v>44924</v>
      </c>
      <c r="C526">
        <v>235.3822326660156</v>
      </c>
      <c r="D526">
        <v>3849.280029296875</v>
      </c>
      <c r="E526">
        <f t="shared" si="16"/>
        <v>2.7629670379303084</v>
      </c>
      <c r="F526">
        <f t="shared" si="17"/>
        <v>1.7461331644819111</v>
      </c>
    </row>
    <row r="527" spans="2:6" x14ac:dyDescent="0.45">
      <c r="B527" s="132">
        <v>44925</v>
      </c>
      <c r="C527">
        <v>234.22003173828119</v>
      </c>
      <c r="D527">
        <v>3839.5</v>
      </c>
      <c r="E527">
        <f t="shared" si="16"/>
        <v>-0.49375049024343864</v>
      </c>
      <c r="F527">
        <f t="shared" si="17"/>
        <v>-0.25407424823445934</v>
      </c>
    </row>
    <row r="528" spans="2:6" x14ac:dyDescent="0.45">
      <c r="B528" s="132">
        <v>44929</v>
      </c>
      <c r="C528">
        <v>233.9856262207031</v>
      </c>
      <c r="D528">
        <v>3824.139892578125</v>
      </c>
      <c r="E528">
        <f t="shared" si="16"/>
        <v>-0.10007919298722356</v>
      </c>
      <c r="F528">
        <f t="shared" si="17"/>
        <v>-0.4000548879248611</v>
      </c>
    </row>
    <row r="529" spans="2:6" x14ac:dyDescent="0.45">
      <c r="B529" s="132">
        <v>44930</v>
      </c>
      <c r="C529">
        <v>223.75035095214841</v>
      </c>
      <c r="D529">
        <v>3852.969970703125</v>
      </c>
      <c r="E529">
        <f t="shared" si="16"/>
        <v>-4.3743179587024894</v>
      </c>
      <c r="F529">
        <f t="shared" si="17"/>
        <v>0.75389705750443792</v>
      </c>
    </row>
    <row r="530" spans="2:6" x14ac:dyDescent="0.45">
      <c r="B530" s="132">
        <v>44931</v>
      </c>
      <c r="C530">
        <v>217.1189270019531</v>
      </c>
      <c r="D530">
        <v>3808.10009765625</v>
      </c>
      <c r="E530">
        <f t="shared" si="16"/>
        <v>-2.9637602452804779</v>
      </c>
      <c r="F530">
        <f t="shared" si="17"/>
        <v>-1.1645528874622113</v>
      </c>
    </row>
    <row r="531" spans="2:6" x14ac:dyDescent="0.45">
      <c r="B531" s="132">
        <v>44932</v>
      </c>
      <c r="C531">
        <v>219.6777038574219</v>
      </c>
      <c r="D531">
        <v>3895.080078125</v>
      </c>
      <c r="E531">
        <f t="shared" si="16"/>
        <v>1.1785139558311286</v>
      </c>
      <c r="F531">
        <f t="shared" si="17"/>
        <v>2.284078102943865</v>
      </c>
    </row>
    <row r="532" spans="2:6" x14ac:dyDescent="0.45">
      <c r="B532" s="132">
        <v>44935</v>
      </c>
      <c r="C532">
        <v>221.81658935546881</v>
      </c>
      <c r="D532">
        <v>3892.090087890625</v>
      </c>
      <c r="E532">
        <f t="shared" si="16"/>
        <v>0.97364705679694463</v>
      </c>
      <c r="F532">
        <f t="shared" si="17"/>
        <v>-7.6763254526313052E-2</v>
      </c>
    </row>
    <row r="533" spans="2:6" x14ac:dyDescent="0.45">
      <c r="B533" s="132">
        <v>44936</v>
      </c>
      <c r="C533">
        <v>223.50621032714841</v>
      </c>
      <c r="D533">
        <v>3919.25</v>
      </c>
      <c r="E533">
        <f t="shared" si="16"/>
        <v>0.76171984096822243</v>
      </c>
      <c r="F533">
        <f t="shared" si="17"/>
        <v>0.69782331590619862</v>
      </c>
    </row>
    <row r="534" spans="2:6" x14ac:dyDescent="0.45">
      <c r="B534" s="132">
        <v>44937</v>
      </c>
      <c r="C534">
        <v>230.26463317871091</v>
      </c>
      <c r="D534">
        <v>3969.610107421875</v>
      </c>
      <c r="E534">
        <f t="shared" si="16"/>
        <v>3.0238188199200877</v>
      </c>
      <c r="F534">
        <f t="shared" si="17"/>
        <v>1.2849424614881588</v>
      </c>
    </row>
    <row r="535" spans="2:6" x14ac:dyDescent="0.45">
      <c r="B535" s="132">
        <v>44938</v>
      </c>
      <c r="C535">
        <v>232.94061279296881</v>
      </c>
      <c r="D535">
        <v>3983.169921875</v>
      </c>
      <c r="E535">
        <f t="shared" si="16"/>
        <v>1.1621322724714833</v>
      </c>
      <c r="F535">
        <f t="shared" si="17"/>
        <v>0.34159058663651987</v>
      </c>
    </row>
    <row r="536" spans="2:6" x14ac:dyDescent="0.45">
      <c r="B536" s="132">
        <v>44939</v>
      </c>
      <c r="C536">
        <v>233.64381408691409</v>
      </c>
      <c r="D536">
        <v>3999.090087890625</v>
      </c>
      <c r="E536">
        <f t="shared" si="16"/>
        <v>0.30188007385825166</v>
      </c>
      <c r="F536">
        <f t="shared" si="17"/>
        <v>0.39968583635343613</v>
      </c>
    </row>
    <row r="537" spans="2:6" x14ac:dyDescent="0.45">
      <c r="B537" s="132">
        <v>44943</v>
      </c>
      <c r="C537">
        <v>234.73765563964841</v>
      </c>
      <c r="D537">
        <v>3990.969970703125</v>
      </c>
      <c r="E537">
        <f t="shared" si="16"/>
        <v>0.46816627994585858</v>
      </c>
      <c r="F537">
        <f t="shared" si="17"/>
        <v>-0.20304911890052235</v>
      </c>
    </row>
    <row r="538" spans="2:6" x14ac:dyDescent="0.45">
      <c r="B538" s="132">
        <v>44944</v>
      </c>
      <c r="C538">
        <v>230.3037109375</v>
      </c>
      <c r="D538">
        <v>3928.860107421875</v>
      </c>
      <c r="E538">
        <f t="shared" si="16"/>
        <v>-1.8888936630410358</v>
      </c>
      <c r="F538">
        <f t="shared" si="17"/>
        <v>-1.5562598500411085</v>
      </c>
    </row>
    <row r="539" spans="2:6" x14ac:dyDescent="0.45">
      <c r="B539" s="132">
        <v>44945</v>
      </c>
      <c r="C539">
        <v>226.5142822265625</v>
      </c>
      <c r="D539">
        <v>3898.85009765625</v>
      </c>
      <c r="E539">
        <f t="shared" si="16"/>
        <v>-1.6454049722046671</v>
      </c>
      <c r="F539">
        <f t="shared" si="17"/>
        <v>-0.76383502962943384</v>
      </c>
    </row>
    <row r="540" spans="2:6" x14ac:dyDescent="0.45">
      <c r="B540" s="132">
        <v>44946</v>
      </c>
      <c r="C540">
        <v>234.61070251464841</v>
      </c>
      <c r="D540">
        <v>3972.610107421875</v>
      </c>
      <c r="E540">
        <f t="shared" si="16"/>
        <v>3.574353108554873</v>
      </c>
      <c r="F540">
        <f t="shared" si="17"/>
        <v>1.8918401045981525</v>
      </c>
    </row>
    <row r="541" spans="2:6" x14ac:dyDescent="0.45">
      <c r="B541" s="132">
        <v>44949</v>
      </c>
      <c r="C541">
        <v>236.91557312011719</v>
      </c>
      <c r="D541">
        <v>4019.81005859375</v>
      </c>
      <c r="E541">
        <f t="shared" si="16"/>
        <v>0.98242347035504274</v>
      </c>
      <c r="F541">
        <f t="shared" si="17"/>
        <v>1.1881344983665221</v>
      </c>
    </row>
    <row r="542" spans="2:6" x14ac:dyDescent="0.45">
      <c r="B542" s="132">
        <v>44950</v>
      </c>
      <c r="C542">
        <v>236.3882141113281</v>
      </c>
      <c r="D542">
        <v>4016.949951171875</v>
      </c>
      <c r="E542">
        <f t="shared" si="16"/>
        <v>-0.22259364458144804</v>
      </c>
      <c r="F542">
        <f t="shared" si="17"/>
        <v>-7.1150312581569342E-2</v>
      </c>
    </row>
    <row r="543" spans="2:6" x14ac:dyDescent="0.45">
      <c r="B543" s="132">
        <v>44951</v>
      </c>
      <c r="C543">
        <v>234.9916076660156</v>
      </c>
      <c r="D543">
        <v>4016.219970703125</v>
      </c>
      <c r="E543">
        <f t="shared" si="16"/>
        <v>-0.59081052351229735</v>
      </c>
      <c r="F543">
        <f t="shared" si="17"/>
        <v>-1.8172505946634221E-2</v>
      </c>
    </row>
    <row r="544" spans="2:6" x14ac:dyDescent="0.45">
      <c r="B544" s="132">
        <v>44952</v>
      </c>
      <c r="C544">
        <v>242.20903015136719</v>
      </c>
      <c r="D544">
        <v>4060.429931640625</v>
      </c>
      <c r="E544">
        <f t="shared" si="16"/>
        <v>3.0713532951395672</v>
      </c>
      <c r="F544">
        <f t="shared" si="17"/>
        <v>1.1007853469181317</v>
      </c>
    </row>
    <row r="545" spans="2:6" x14ac:dyDescent="0.45">
      <c r="B545" s="132">
        <v>44953</v>
      </c>
      <c r="C545">
        <v>242.36529541015619</v>
      </c>
      <c r="D545">
        <v>4070.56005859375</v>
      </c>
      <c r="E545">
        <f t="shared" si="16"/>
        <v>6.4516693985905427E-2</v>
      </c>
      <c r="F545">
        <f t="shared" si="17"/>
        <v>0.24948409709490971</v>
      </c>
    </row>
    <row r="546" spans="2:6" x14ac:dyDescent="0.45">
      <c r="B546" s="132">
        <v>44956</v>
      </c>
      <c r="C546">
        <v>237.04258728027341</v>
      </c>
      <c r="D546">
        <v>4017.77001953125</v>
      </c>
      <c r="E546">
        <f t="shared" si="16"/>
        <v>-2.1961511118475663</v>
      </c>
      <c r="F546">
        <f t="shared" si="17"/>
        <v>-1.2968740984683369</v>
      </c>
    </row>
    <row r="547" spans="2:6" x14ac:dyDescent="0.45">
      <c r="B547" s="132">
        <v>44957</v>
      </c>
      <c r="C547">
        <v>242.0234680175781</v>
      </c>
      <c r="D547">
        <v>4076.60009765625</v>
      </c>
      <c r="E547">
        <f t="shared" si="16"/>
        <v>2.1012598598645127</v>
      </c>
      <c r="F547">
        <f t="shared" si="17"/>
        <v>1.4642470285510134</v>
      </c>
    </row>
    <row r="548" spans="2:6" x14ac:dyDescent="0.45">
      <c r="B548" s="132">
        <v>44958</v>
      </c>
      <c r="C548">
        <v>246.84812927246091</v>
      </c>
      <c r="D548">
        <v>4119.2099609375</v>
      </c>
      <c r="E548">
        <f t="shared" si="16"/>
        <v>1.9934683584206692</v>
      </c>
      <c r="F548">
        <f t="shared" si="17"/>
        <v>1.0452303944590291</v>
      </c>
    </row>
    <row r="549" spans="2:6" x14ac:dyDescent="0.45">
      <c r="B549" s="132">
        <v>44959</v>
      </c>
      <c r="C549">
        <v>258.42138671875</v>
      </c>
      <c r="D549">
        <v>4179.759765625</v>
      </c>
      <c r="E549">
        <f t="shared" si="16"/>
        <v>4.688412053354063</v>
      </c>
      <c r="F549">
        <f t="shared" si="17"/>
        <v>1.4699373244309921</v>
      </c>
    </row>
    <row r="550" spans="2:6" x14ac:dyDescent="0.45">
      <c r="B550" s="132">
        <v>44960</v>
      </c>
      <c r="C550">
        <v>252.31732177734381</v>
      </c>
      <c r="D550">
        <v>4136.47998046875</v>
      </c>
      <c r="E550">
        <f t="shared" si="16"/>
        <v>-2.3620587362800149</v>
      </c>
      <c r="F550">
        <f t="shared" si="17"/>
        <v>-1.0354610691310495</v>
      </c>
    </row>
    <row r="551" spans="2:6" x14ac:dyDescent="0.45">
      <c r="B551" s="132">
        <v>44963</v>
      </c>
      <c r="C551">
        <v>250.7742004394531</v>
      </c>
      <c r="D551">
        <v>4111.080078125</v>
      </c>
      <c r="E551">
        <f t="shared" si="16"/>
        <v>-0.61157962799416321</v>
      </c>
      <c r="F551">
        <f t="shared" si="17"/>
        <v>-0.6140463017754394</v>
      </c>
    </row>
    <row r="552" spans="2:6" x14ac:dyDescent="0.45">
      <c r="B552" s="132">
        <v>44964</v>
      </c>
      <c r="C552">
        <v>261.31234741210938</v>
      </c>
      <c r="D552">
        <v>4164</v>
      </c>
      <c r="E552">
        <f t="shared" si="16"/>
        <v>4.2022452685281708</v>
      </c>
      <c r="F552">
        <f t="shared" si="17"/>
        <v>1.2872510598026521</v>
      </c>
    </row>
    <row r="553" spans="2:6" x14ac:dyDescent="0.45">
      <c r="B553" s="132">
        <v>44965</v>
      </c>
      <c r="C553">
        <v>260.50164794921881</v>
      </c>
      <c r="D553">
        <v>4117.85986328125</v>
      </c>
      <c r="E553">
        <f t="shared" si="16"/>
        <v>-0.31024154461865017</v>
      </c>
      <c r="F553">
        <f t="shared" si="17"/>
        <v>-1.1080724476164705</v>
      </c>
    </row>
    <row r="554" spans="2:6" x14ac:dyDescent="0.45">
      <c r="B554" s="132">
        <v>44966</v>
      </c>
      <c r="C554">
        <v>257.46432495117188</v>
      </c>
      <c r="D554">
        <v>4081.5</v>
      </c>
      <c r="E554">
        <f t="shared" si="16"/>
        <v>-1.1659515484673699</v>
      </c>
      <c r="F554">
        <f t="shared" si="17"/>
        <v>-0.88297961777351608</v>
      </c>
    </row>
    <row r="555" spans="2:6" x14ac:dyDescent="0.45">
      <c r="B555" s="132">
        <v>44967</v>
      </c>
      <c r="C555">
        <v>256.95645141601563</v>
      </c>
      <c r="D555">
        <v>4090.4599609375</v>
      </c>
      <c r="E555">
        <f t="shared" si="16"/>
        <v>-0.19725976997106986</v>
      </c>
      <c r="F555">
        <f t="shared" si="17"/>
        <v>0.21952617756952897</v>
      </c>
    </row>
    <row r="556" spans="2:6" x14ac:dyDescent="0.45">
      <c r="B556" s="132">
        <v>44970</v>
      </c>
      <c r="C556">
        <v>264.98452758789063</v>
      </c>
      <c r="D556">
        <v>4137.2900390625</v>
      </c>
      <c r="E556">
        <f t="shared" si="16"/>
        <v>3.1242944583156129</v>
      </c>
      <c r="F556">
        <f t="shared" si="17"/>
        <v>1.1448609342766147</v>
      </c>
    </row>
    <row r="557" spans="2:6" x14ac:dyDescent="0.45">
      <c r="B557" s="132">
        <v>44971</v>
      </c>
      <c r="C557">
        <v>265.81460571289063</v>
      </c>
      <c r="D557">
        <v>4136.1298828125</v>
      </c>
      <c r="E557">
        <f t="shared" si="16"/>
        <v>0.31325531817123498</v>
      </c>
      <c r="F557">
        <f t="shared" si="17"/>
        <v>-2.8041453198746069E-2</v>
      </c>
    </row>
    <row r="558" spans="2:6" x14ac:dyDescent="0.45">
      <c r="B558" s="132">
        <v>44972</v>
      </c>
      <c r="C558">
        <v>263.69000244140619</v>
      </c>
      <c r="D558">
        <v>4147.60009765625</v>
      </c>
      <c r="E558">
        <f t="shared" si="16"/>
        <v>-0.79928010945313765</v>
      </c>
      <c r="F558">
        <f t="shared" si="17"/>
        <v>0.27731756904960658</v>
      </c>
    </row>
    <row r="559" spans="2:6" x14ac:dyDescent="0.45">
      <c r="B559" s="132">
        <v>44973</v>
      </c>
      <c r="C559">
        <v>256.66989135742188</v>
      </c>
      <c r="D559">
        <v>4090.409912109375</v>
      </c>
      <c r="E559">
        <f t="shared" si="16"/>
        <v>-2.6622590993165329</v>
      </c>
      <c r="F559">
        <f t="shared" si="17"/>
        <v>-1.3788741489130674</v>
      </c>
    </row>
    <row r="560" spans="2:6" x14ac:dyDescent="0.45">
      <c r="B560" s="132">
        <v>44974</v>
      </c>
      <c r="C560">
        <v>252.6653747558594</v>
      </c>
      <c r="D560">
        <v>4079.090087890625</v>
      </c>
      <c r="E560">
        <f t="shared" si="16"/>
        <v>-1.5601816716344197</v>
      </c>
      <c r="F560">
        <f t="shared" si="17"/>
        <v>-0.27674058253277511</v>
      </c>
    </row>
    <row r="561" spans="2:6" x14ac:dyDescent="0.45">
      <c r="B561" s="132">
        <v>44978</v>
      </c>
      <c r="C561">
        <v>247.38807678222659</v>
      </c>
      <c r="D561">
        <v>3997.340087890625</v>
      </c>
      <c r="E561">
        <f t="shared" si="16"/>
        <v>-2.0886510384464319</v>
      </c>
      <c r="F561">
        <f t="shared" si="17"/>
        <v>-2.0041234255327334</v>
      </c>
    </row>
    <row r="562" spans="2:6" x14ac:dyDescent="0.45">
      <c r="B562" s="132">
        <v>44979</v>
      </c>
      <c r="C562">
        <v>246.25230407714841</v>
      </c>
      <c r="D562">
        <v>3991.050048828125</v>
      </c>
      <c r="E562">
        <f t="shared" si="16"/>
        <v>-0.45910567714142481</v>
      </c>
      <c r="F562">
        <f t="shared" si="17"/>
        <v>-0.15735561458868341</v>
      </c>
    </row>
    <row r="563" spans="2:6" x14ac:dyDescent="0.45">
      <c r="B563" s="132">
        <v>44980</v>
      </c>
      <c r="C563">
        <v>249.4441833496094</v>
      </c>
      <c r="D563">
        <v>4012.320068359375</v>
      </c>
      <c r="E563">
        <f t="shared" si="16"/>
        <v>1.2961825004735861</v>
      </c>
      <c r="F563">
        <f t="shared" si="17"/>
        <v>0.53294294160743938</v>
      </c>
    </row>
    <row r="564" spans="2:6" x14ac:dyDescent="0.45">
      <c r="B564" s="132">
        <v>44981</v>
      </c>
      <c r="C564">
        <v>244.01017761230469</v>
      </c>
      <c r="D564">
        <v>3970.0400390625</v>
      </c>
      <c r="E564">
        <f t="shared" si="16"/>
        <v>-2.1784455601791541</v>
      </c>
      <c r="F564">
        <f t="shared" si="17"/>
        <v>-1.0537551485558128</v>
      </c>
    </row>
    <row r="565" spans="2:6" x14ac:dyDescent="0.45">
      <c r="B565" s="132">
        <v>44984</v>
      </c>
      <c r="C565">
        <v>244.93055725097659</v>
      </c>
      <c r="D565">
        <v>3982.239990234375</v>
      </c>
      <c r="E565">
        <f t="shared" si="16"/>
        <v>0.37718903681724925</v>
      </c>
      <c r="F565">
        <f t="shared" si="17"/>
        <v>0.30730045671669703</v>
      </c>
    </row>
    <row r="566" spans="2:6" x14ac:dyDescent="0.45">
      <c r="B566" s="132">
        <v>44985</v>
      </c>
      <c r="C566">
        <v>244.20600891113281</v>
      </c>
      <c r="D566">
        <v>3970.14990234375</v>
      </c>
      <c r="E566">
        <f t="shared" si="16"/>
        <v>-0.29581786281625</v>
      </c>
      <c r="F566">
        <f t="shared" si="17"/>
        <v>-0.30360018281855305</v>
      </c>
    </row>
    <row r="567" spans="2:6" x14ac:dyDescent="0.45">
      <c r="B567" s="132">
        <v>44986</v>
      </c>
      <c r="C567">
        <v>241.12188720703119</v>
      </c>
      <c r="D567">
        <v>3951.389892578125</v>
      </c>
      <c r="E567">
        <f t="shared" si="16"/>
        <v>-1.2629180247665128</v>
      </c>
      <c r="F567">
        <f t="shared" si="17"/>
        <v>-0.47252648456800328</v>
      </c>
    </row>
    <row r="568" spans="2:6" x14ac:dyDescent="0.45">
      <c r="B568" s="132">
        <v>44987</v>
      </c>
      <c r="C568">
        <v>245.86067199707031</v>
      </c>
      <c r="D568">
        <v>3981.35009765625</v>
      </c>
      <c r="E568">
        <f t="shared" si="16"/>
        <v>1.9653067769705768</v>
      </c>
      <c r="F568">
        <f t="shared" si="17"/>
        <v>0.75821940867943916</v>
      </c>
    </row>
    <row r="569" spans="2:6" x14ac:dyDescent="0.45">
      <c r="B569" s="132">
        <v>44988</v>
      </c>
      <c r="C569">
        <v>249.9532775878906</v>
      </c>
      <c r="D569">
        <v>4045.639892578125</v>
      </c>
      <c r="E569">
        <f t="shared" si="16"/>
        <v>1.6646035974672069</v>
      </c>
      <c r="F569">
        <f t="shared" si="17"/>
        <v>1.6147737160748799</v>
      </c>
    </row>
    <row r="570" spans="2:6" x14ac:dyDescent="0.45">
      <c r="B570" s="132">
        <v>44991</v>
      </c>
      <c r="C570">
        <v>251.5002746582031</v>
      </c>
      <c r="D570">
        <v>4048.419921875</v>
      </c>
      <c r="E570">
        <f t="shared" si="16"/>
        <v>0.61891449683773025</v>
      </c>
      <c r="F570">
        <f t="shared" si="17"/>
        <v>6.8716676982916169E-2</v>
      </c>
    </row>
    <row r="571" spans="2:6" x14ac:dyDescent="0.45">
      <c r="B571" s="132">
        <v>44992</v>
      </c>
      <c r="C571">
        <v>248.8371276855469</v>
      </c>
      <c r="D571">
        <v>3986.3701171875</v>
      </c>
      <c r="E571">
        <f t="shared" si="16"/>
        <v>-1.0589042005125004</v>
      </c>
      <c r="F571">
        <f t="shared" si="17"/>
        <v>-1.5326919115337678</v>
      </c>
    </row>
    <row r="572" spans="2:6" x14ac:dyDescent="0.45">
      <c r="B572" s="132">
        <v>44993</v>
      </c>
      <c r="C572">
        <v>248.39653015136719</v>
      </c>
      <c r="D572">
        <v>3992.010009765625</v>
      </c>
      <c r="E572">
        <f t="shared" si="16"/>
        <v>-0.1770626185399804</v>
      </c>
      <c r="F572">
        <f t="shared" si="17"/>
        <v>0.14147940136839399</v>
      </c>
    </row>
    <row r="573" spans="2:6" x14ac:dyDescent="0.45">
      <c r="B573" s="132">
        <v>44994</v>
      </c>
      <c r="C573">
        <v>247.04541015625</v>
      </c>
      <c r="D573">
        <v>3918.320068359375</v>
      </c>
      <c r="E573">
        <f t="shared" si="16"/>
        <v>-0.54393674271289161</v>
      </c>
      <c r="F573">
        <f t="shared" si="17"/>
        <v>-1.845935787384867</v>
      </c>
    </row>
    <row r="574" spans="2:6" x14ac:dyDescent="0.45">
      <c r="B574" s="132">
        <v>44995</v>
      </c>
      <c r="C574">
        <v>243.39335632324219</v>
      </c>
      <c r="D574">
        <v>3861.590087890625</v>
      </c>
      <c r="E574">
        <f t="shared" si="16"/>
        <v>-1.4782925255312329</v>
      </c>
      <c r="F574">
        <f t="shared" si="17"/>
        <v>-1.447813845705137</v>
      </c>
    </row>
    <row r="575" spans="2:6" x14ac:dyDescent="0.45">
      <c r="B575" s="132">
        <v>44998</v>
      </c>
      <c r="C575">
        <v>248.61192321777341</v>
      </c>
      <c r="D575">
        <v>3855.760009765625</v>
      </c>
      <c r="E575">
        <f t="shared" si="16"/>
        <v>2.144087650281068</v>
      </c>
      <c r="F575">
        <f t="shared" si="17"/>
        <v>-0.15097610031894471</v>
      </c>
    </row>
    <row r="576" spans="2:6" x14ac:dyDescent="0.45">
      <c r="B576" s="132">
        <v>44999</v>
      </c>
      <c r="C576">
        <v>255.33831787109381</v>
      </c>
      <c r="D576">
        <v>3919.2900390625</v>
      </c>
      <c r="E576">
        <f t="shared" si="16"/>
        <v>2.7055800728544854</v>
      </c>
      <c r="F576">
        <f t="shared" si="17"/>
        <v>1.6476655480623936</v>
      </c>
    </row>
    <row r="577" spans="2:6" x14ac:dyDescent="0.45">
      <c r="B577" s="132">
        <v>45000</v>
      </c>
      <c r="C577">
        <v>259.89108276367188</v>
      </c>
      <c r="D577">
        <v>3891.929931640625</v>
      </c>
      <c r="E577">
        <f t="shared" si="16"/>
        <v>1.7830323825022143</v>
      </c>
      <c r="F577">
        <f t="shared" si="17"/>
        <v>-0.698088356543769</v>
      </c>
    </row>
    <row r="578" spans="2:6" x14ac:dyDescent="0.45">
      <c r="B578" s="132">
        <v>45001</v>
      </c>
      <c r="C578">
        <v>270.42620849609381</v>
      </c>
      <c r="D578">
        <v>3960.280029296875</v>
      </c>
      <c r="E578">
        <f t="shared" si="16"/>
        <v>4.053669568186713</v>
      </c>
      <c r="F578">
        <f t="shared" si="17"/>
        <v>1.7562006217166637</v>
      </c>
    </row>
    <row r="579" spans="2:6" x14ac:dyDescent="0.45">
      <c r="B579" s="132">
        <v>45002</v>
      </c>
      <c r="C579">
        <v>273.58868408203119</v>
      </c>
      <c r="D579">
        <v>3916.639892578125</v>
      </c>
      <c r="E579">
        <f t="shared" si="16"/>
        <v>1.1694412326100689</v>
      </c>
      <c r="F579">
        <f t="shared" si="17"/>
        <v>-1.1019457310067593</v>
      </c>
    </row>
    <row r="580" spans="2:6" x14ac:dyDescent="0.45">
      <c r="B580" s="132">
        <v>45005</v>
      </c>
      <c r="C580">
        <v>266.53921508789063</v>
      </c>
      <c r="D580">
        <v>3951.570068359375</v>
      </c>
      <c r="E580">
        <f t="shared" si="16"/>
        <v>-2.5766668741412202</v>
      </c>
      <c r="F580">
        <f t="shared" si="17"/>
        <v>0.89184037183100973</v>
      </c>
    </row>
    <row r="581" spans="2:6" x14ac:dyDescent="0.45">
      <c r="B581" s="132">
        <v>45006</v>
      </c>
      <c r="C581">
        <v>268.0567626953125</v>
      </c>
      <c r="D581">
        <v>4002.8701171875</v>
      </c>
      <c r="E581">
        <f t="shared" si="16"/>
        <v>0.56935247105063258</v>
      </c>
      <c r="F581">
        <f t="shared" si="17"/>
        <v>1.2982193897784988</v>
      </c>
    </row>
    <row r="582" spans="2:6" x14ac:dyDescent="0.45">
      <c r="B582" s="132">
        <v>45007</v>
      </c>
      <c r="C582">
        <v>266.59793090820313</v>
      </c>
      <c r="D582">
        <v>3936.969970703125</v>
      </c>
      <c r="E582">
        <f t="shared" si="16"/>
        <v>-0.54422495162621543</v>
      </c>
      <c r="F582">
        <f t="shared" si="17"/>
        <v>-1.6463223775713631</v>
      </c>
    </row>
    <row r="583" spans="2:6" x14ac:dyDescent="0.45">
      <c r="B583" s="132">
        <v>45008</v>
      </c>
      <c r="C583">
        <v>271.85565185546881</v>
      </c>
      <c r="D583">
        <v>3948.719970703125</v>
      </c>
      <c r="E583">
        <f t="shared" si="16"/>
        <v>1.9721536957749475</v>
      </c>
      <c r="F583">
        <f t="shared" si="17"/>
        <v>0.29845287333754023</v>
      </c>
    </row>
    <row r="584" spans="2:6" x14ac:dyDescent="0.45">
      <c r="B584" s="132">
        <v>45009</v>
      </c>
      <c r="C584">
        <v>274.70486450195313</v>
      </c>
      <c r="D584">
        <v>3970.989990234375</v>
      </c>
      <c r="E584">
        <f t="shared" ref="E584:E647" si="18">((C584/C583)-1)*100</f>
        <v>1.0480608466433949</v>
      </c>
      <c r="F584">
        <f t="shared" ref="F584:F647" si="19">((D584/D583)-1)*100</f>
        <v>0.5639807253104534</v>
      </c>
    </row>
    <row r="585" spans="2:6" x14ac:dyDescent="0.45">
      <c r="B585" s="132">
        <v>45012</v>
      </c>
      <c r="C585">
        <v>270.60238647460938</v>
      </c>
      <c r="D585">
        <v>3977.530029296875</v>
      </c>
      <c r="E585">
        <f t="shared" si="18"/>
        <v>-1.493412952399531</v>
      </c>
      <c r="F585">
        <f t="shared" si="19"/>
        <v>0.16469543057482383</v>
      </c>
    </row>
    <row r="586" spans="2:6" x14ac:dyDescent="0.45">
      <c r="B586" s="132">
        <v>45013</v>
      </c>
      <c r="C586">
        <v>269.47650146484381</v>
      </c>
      <c r="D586">
        <v>3971.27001953125</v>
      </c>
      <c r="E586">
        <f t="shared" si="18"/>
        <v>-0.41606617902877341</v>
      </c>
      <c r="F586">
        <f t="shared" si="19"/>
        <v>-0.15738434957162095</v>
      </c>
    </row>
    <row r="587" spans="2:6" x14ac:dyDescent="0.45">
      <c r="B587" s="132">
        <v>45014</v>
      </c>
      <c r="C587">
        <v>274.64602661132813</v>
      </c>
      <c r="D587">
        <v>4027.81005859375</v>
      </c>
      <c r="E587">
        <f t="shared" si="18"/>
        <v>1.9183584165533452</v>
      </c>
      <c r="F587">
        <f t="shared" si="19"/>
        <v>1.4237268879836451</v>
      </c>
    </row>
    <row r="588" spans="2:6" x14ac:dyDescent="0.45">
      <c r="B588" s="132">
        <v>45015</v>
      </c>
      <c r="C588">
        <v>278.11212158203119</v>
      </c>
      <c r="D588">
        <v>4050.830078125</v>
      </c>
      <c r="E588">
        <f t="shared" si="18"/>
        <v>1.2620226163359671</v>
      </c>
      <c r="F588">
        <f t="shared" si="19"/>
        <v>0.5715269388667954</v>
      </c>
    </row>
    <row r="589" spans="2:6" x14ac:dyDescent="0.45">
      <c r="B589" s="132">
        <v>45016</v>
      </c>
      <c r="C589">
        <v>282.27322387695313</v>
      </c>
      <c r="D589">
        <v>4109.31005859375</v>
      </c>
      <c r="E589">
        <f t="shared" si="18"/>
        <v>1.4961959483289045</v>
      </c>
      <c r="F589">
        <f t="shared" si="19"/>
        <v>1.4436542471763847</v>
      </c>
    </row>
    <row r="590" spans="2:6" x14ac:dyDescent="0.45">
      <c r="B590" s="132">
        <v>45019</v>
      </c>
      <c r="C590">
        <v>281.22561645507813</v>
      </c>
      <c r="D590">
        <v>4124.509765625</v>
      </c>
      <c r="E590">
        <f t="shared" si="18"/>
        <v>-0.37113241117466833</v>
      </c>
      <c r="F590">
        <f t="shared" si="19"/>
        <v>0.36988464765423945</v>
      </c>
    </row>
    <row r="591" spans="2:6" x14ac:dyDescent="0.45">
      <c r="B591" s="132">
        <v>45020</v>
      </c>
      <c r="C591">
        <v>281.17666625976563</v>
      </c>
      <c r="D591">
        <v>4100.60009765625</v>
      </c>
      <c r="E591">
        <f t="shared" si="18"/>
        <v>-1.7406022939703281E-2</v>
      </c>
      <c r="F591">
        <f t="shared" si="19"/>
        <v>-0.57969720833299654</v>
      </c>
    </row>
    <row r="592" spans="2:6" x14ac:dyDescent="0.45">
      <c r="B592" s="132">
        <v>45021</v>
      </c>
      <c r="C592">
        <v>278.39602661132813</v>
      </c>
      <c r="D592">
        <v>4090.3798828125</v>
      </c>
      <c r="E592">
        <f t="shared" si="18"/>
        <v>-0.98892973070127121</v>
      </c>
      <c r="F592">
        <f t="shared" si="19"/>
        <v>-0.24923705312281941</v>
      </c>
    </row>
    <row r="593" spans="2:6" x14ac:dyDescent="0.45">
      <c r="B593" s="132">
        <v>45022</v>
      </c>
      <c r="C593">
        <v>285.5042724609375</v>
      </c>
      <c r="D593">
        <v>4105.02001953125</v>
      </c>
      <c r="E593">
        <f t="shared" si="18"/>
        <v>2.5532856686684147</v>
      </c>
      <c r="F593">
        <f t="shared" si="19"/>
        <v>0.35791630944272956</v>
      </c>
    </row>
    <row r="594" spans="2:6" x14ac:dyDescent="0.45">
      <c r="B594" s="132">
        <v>45026</v>
      </c>
      <c r="C594">
        <v>283.3404541015625</v>
      </c>
      <c r="D594">
        <v>4109.10986328125</v>
      </c>
      <c r="E594">
        <f t="shared" si="18"/>
        <v>-0.75789351266924987</v>
      </c>
      <c r="F594">
        <f t="shared" si="19"/>
        <v>9.9630299743758144E-2</v>
      </c>
    </row>
    <row r="595" spans="2:6" x14ac:dyDescent="0.45">
      <c r="B595" s="132">
        <v>45027</v>
      </c>
      <c r="C595">
        <v>276.91754150390619</v>
      </c>
      <c r="D595">
        <v>4108.93994140625</v>
      </c>
      <c r="E595">
        <f t="shared" si="18"/>
        <v>-2.2668533577468009</v>
      </c>
      <c r="F595">
        <f t="shared" si="19"/>
        <v>-4.1352477946232646E-3</v>
      </c>
    </row>
    <row r="596" spans="2:6" x14ac:dyDescent="0.45">
      <c r="B596" s="132">
        <v>45028</v>
      </c>
      <c r="C596">
        <v>277.56381225585938</v>
      </c>
      <c r="D596">
        <v>4091.949951171875</v>
      </c>
      <c r="E596">
        <f t="shared" si="18"/>
        <v>0.23338021435672651</v>
      </c>
      <c r="F596">
        <f t="shared" si="19"/>
        <v>-0.41348840520069041</v>
      </c>
    </row>
    <row r="597" spans="2:6" x14ac:dyDescent="0.45">
      <c r="B597" s="132">
        <v>45029</v>
      </c>
      <c r="C597">
        <v>283.78103637695313</v>
      </c>
      <c r="D597">
        <v>4146.22021484375</v>
      </c>
      <c r="E597">
        <f t="shared" si="18"/>
        <v>2.2399260445964408</v>
      </c>
      <c r="F597">
        <f t="shared" si="19"/>
        <v>1.326268999363811</v>
      </c>
    </row>
    <row r="598" spans="2:6" x14ac:dyDescent="0.45">
      <c r="B598" s="132">
        <v>45030</v>
      </c>
      <c r="C598">
        <v>280.15841674804688</v>
      </c>
      <c r="D598">
        <v>4137.64013671875</v>
      </c>
      <c r="E598">
        <f t="shared" si="18"/>
        <v>-1.2765545137040979</v>
      </c>
      <c r="F598">
        <f t="shared" si="19"/>
        <v>-0.20693734728036706</v>
      </c>
    </row>
    <row r="599" spans="2:6" x14ac:dyDescent="0.45">
      <c r="B599" s="132">
        <v>45033</v>
      </c>
      <c r="C599">
        <v>282.7628173828125</v>
      </c>
      <c r="D599">
        <v>4151.31982421875</v>
      </c>
      <c r="E599">
        <f t="shared" si="18"/>
        <v>0.9296171305493317</v>
      </c>
      <c r="F599">
        <f t="shared" si="19"/>
        <v>0.33061569029655402</v>
      </c>
    </row>
    <row r="600" spans="2:6" x14ac:dyDescent="0.45">
      <c r="B600" s="132">
        <v>45034</v>
      </c>
      <c r="C600">
        <v>282.341796875</v>
      </c>
      <c r="D600">
        <v>4154.8701171875</v>
      </c>
      <c r="E600">
        <f t="shared" si="18"/>
        <v>-0.14889528676697017</v>
      </c>
      <c r="F600">
        <f t="shared" si="19"/>
        <v>8.5522029597373539E-2</v>
      </c>
    </row>
    <row r="601" spans="2:6" x14ac:dyDescent="0.45">
      <c r="B601" s="132">
        <v>45035</v>
      </c>
      <c r="C601">
        <v>282.42010498046881</v>
      </c>
      <c r="D601">
        <v>4154.52001953125</v>
      </c>
      <c r="E601">
        <f t="shared" si="18"/>
        <v>2.7735215379198763E-2</v>
      </c>
      <c r="F601">
        <f t="shared" si="19"/>
        <v>-8.4261997698065194E-3</v>
      </c>
    </row>
    <row r="602" spans="2:6" x14ac:dyDescent="0.45">
      <c r="B602" s="132">
        <v>45036</v>
      </c>
      <c r="C602">
        <v>280.12899780273438</v>
      </c>
      <c r="D602">
        <v>4129.7900390625</v>
      </c>
      <c r="E602">
        <f t="shared" si="18"/>
        <v>-0.81124082079527815</v>
      </c>
      <c r="F602">
        <f t="shared" si="19"/>
        <v>-0.59525481529729696</v>
      </c>
    </row>
    <row r="603" spans="2:6" x14ac:dyDescent="0.45">
      <c r="B603" s="132">
        <v>45037</v>
      </c>
      <c r="C603">
        <v>279.78634643554688</v>
      </c>
      <c r="D603">
        <v>4133.52001953125</v>
      </c>
      <c r="E603">
        <f t="shared" si="18"/>
        <v>-0.12231913506819403</v>
      </c>
      <c r="F603">
        <f t="shared" si="19"/>
        <v>9.031888869577287E-2</v>
      </c>
    </row>
    <row r="604" spans="2:6" x14ac:dyDescent="0.45">
      <c r="B604" s="132">
        <v>45040</v>
      </c>
      <c r="C604">
        <v>275.87973022460938</v>
      </c>
      <c r="D604">
        <v>4137.0400390625</v>
      </c>
      <c r="E604">
        <f t="shared" si="18"/>
        <v>-1.3962855088203718</v>
      </c>
      <c r="F604">
        <f t="shared" si="19"/>
        <v>8.5157916609035489E-2</v>
      </c>
    </row>
    <row r="605" spans="2:6" x14ac:dyDescent="0.45">
      <c r="B605" s="132">
        <v>45041</v>
      </c>
      <c r="C605">
        <v>269.66253662109381</v>
      </c>
      <c r="D605">
        <v>4071.6298828125</v>
      </c>
      <c r="E605">
        <f t="shared" si="18"/>
        <v>-2.2535884018930252</v>
      </c>
      <c r="F605">
        <f t="shared" si="19"/>
        <v>-1.5810858882773227</v>
      </c>
    </row>
    <row r="606" spans="2:6" x14ac:dyDescent="0.45">
      <c r="B606" s="132">
        <v>45042</v>
      </c>
      <c r="C606">
        <v>289.1954345703125</v>
      </c>
      <c r="D606">
        <v>4055.989990234375</v>
      </c>
      <c r="E606">
        <f t="shared" si="18"/>
        <v>7.2434599903896224</v>
      </c>
      <c r="F606">
        <f t="shared" si="19"/>
        <v>-0.38411871973298428</v>
      </c>
    </row>
    <row r="607" spans="2:6" x14ac:dyDescent="0.45">
      <c r="B607" s="132">
        <v>45043</v>
      </c>
      <c r="C607">
        <v>298.45770263671881</v>
      </c>
      <c r="D607">
        <v>4135.35009765625</v>
      </c>
      <c r="E607">
        <f t="shared" si="18"/>
        <v>3.2027711917956836</v>
      </c>
      <c r="F607">
        <f t="shared" si="19"/>
        <v>1.9566149722497039</v>
      </c>
    </row>
    <row r="608" spans="2:6" x14ac:dyDescent="0.45">
      <c r="B608" s="132">
        <v>45044</v>
      </c>
      <c r="C608">
        <v>300.8369140625</v>
      </c>
      <c r="D608">
        <v>4169.47998046875</v>
      </c>
      <c r="E608">
        <f t="shared" si="18"/>
        <v>0.79716871260553379</v>
      </c>
      <c r="F608">
        <f t="shared" si="19"/>
        <v>0.82532027534605312</v>
      </c>
    </row>
    <row r="609" spans="2:6" x14ac:dyDescent="0.45">
      <c r="B609" s="132">
        <v>45047</v>
      </c>
      <c r="C609">
        <v>299.17242431640619</v>
      </c>
      <c r="D609">
        <v>4167.8701171875</v>
      </c>
      <c r="E609">
        <f t="shared" si="18"/>
        <v>-0.55328640478874425</v>
      </c>
      <c r="F609">
        <f t="shared" si="19"/>
        <v>-3.8610649020764942E-2</v>
      </c>
    </row>
    <row r="610" spans="2:6" x14ac:dyDescent="0.45">
      <c r="B610" s="132">
        <v>45048</v>
      </c>
      <c r="C610">
        <v>299.02557373046881</v>
      </c>
      <c r="D610">
        <v>4119.580078125</v>
      </c>
      <c r="E610">
        <f t="shared" si="18"/>
        <v>-4.9085602148302154E-2</v>
      </c>
      <c r="F610">
        <f t="shared" si="19"/>
        <v>-1.1586262936400304</v>
      </c>
    </row>
    <row r="611" spans="2:6" x14ac:dyDescent="0.45">
      <c r="B611" s="132">
        <v>45049</v>
      </c>
      <c r="C611">
        <v>298.03671264648438</v>
      </c>
      <c r="D611">
        <v>4090.75</v>
      </c>
      <c r="E611">
        <f t="shared" si="18"/>
        <v>-0.33069448597589091</v>
      </c>
      <c r="F611">
        <f t="shared" si="19"/>
        <v>-0.69983050646564848</v>
      </c>
    </row>
    <row r="612" spans="2:6" x14ac:dyDescent="0.45">
      <c r="B612" s="132">
        <v>45050</v>
      </c>
      <c r="C612">
        <v>299.02557373046881</v>
      </c>
      <c r="D612">
        <v>4061.219970703125</v>
      </c>
      <c r="E612">
        <f t="shared" si="18"/>
        <v>0.33179170284212134</v>
      </c>
      <c r="F612">
        <f t="shared" si="19"/>
        <v>-0.72187323343824161</v>
      </c>
    </row>
    <row r="613" spans="2:6" x14ac:dyDescent="0.45">
      <c r="B613" s="132">
        <v>45051</v>
      </c>
      <c r="C613">
        <v>304.156005859375</v>
      </c>
      <c r="D613">
        <v>4136.25</v>
      </c>
      <c r="E613">
        <f t="shared" si="18"/>
        <v>1.7157168415068647</v>
      </c>
      <c r="F613">
        <f t="shared" si="19"/>
        <v>1.8474751389515376</v>
      </c>
    </row>
    <row r="614" spans="2:6" x14ac:dyDescent="0.45">
      <c r="B614" s="132">
        <v>45054</v>
      </c>
      <c r="C614">
        <v>302.1978759765625</v>
      </c>
      <c r="D614">
        <v>4138.1201171875</v>
      </c>
      <c r="E614">
        <f t="shared" si="18"/>
        <v>-0.64379129298464122</v>
      </c>
      <c r="F614">
        <f t="shared" si="19"/>
        <v>4.5212866424892972E-2</v>
      </c>
    </row>
    <row r="615" spans="2:6" x14ac:dyDescent="0.45">
      <c r="B615" s="132">
        <v>45055</v>
      </c>
      <c r="C615">
        <v>300.58236694335938</v>
      </c>
      <c r="D615">
        <v>4119.169921875</v>
      </c>
      <c r="E615">
        <f t="shared" si="18"/>
        <v>-0.5345864950183854</v>
      </c>
      <c r="F615">
        <f t="shared" si="19"/>
        <v>-0.45794212772585219</v>
      </c>
    </row>
    <row r="616" spans="2:6" x14ac:dyDescent="0.45">
      <c r="B616" s="132">
        <v>45056</v>
      </c>
      <c r="C616">
        <v>305.7813720703125</v>
      </c>
      <c r="D616">
        <v>4137.64013671875</v>
      </c>
      <c r="E616">
        <f t="shared" si="18"/>
        <v>1.7296440838569849</v>
      </c>
      <c r="F616">
        <f t="shared" si="19"/>
        <v>0.44839652634049987</v>
      </c>
    </row>
    <row r="617" spans="2:6" x14ac:dyDescent="0.45">
      <c r="B617" s="132">
        <v>45057</v>
      </c>
      <c r="C617">
        <v>303.62734985351563</v>
      </c>
      <c r="D617">
        <v>4130.6201171875</v>
      </c>
      <c r="E617">
        <f t="shared" si="18"/>
        <v>-0.7044321248913632</v>
      </c>
      <c r="F617">
        <f t="shared" si="19"/>
        <v>-0.16966239932159066</v>
      </c>
    </row>
    <row r="618" spans="2:6" x14ac:dyDescent="0.45">
      <c r="B618" s="132">
        <v>45058</v>
      </c>
      <c r="C618">
        <v>302.51119995117188</v>
      </c>
      <c r="D618">
        <v>4124.080078125</v>
      </c>
      <c r="E618">
        <f t="shared" si="18"/>
        <v>-0.36760519198361097</v>
      </c>
      <c r="F618">
        <f t="shared" si="19"/>
        <v>-0.15833068345566526</v>
      </c>
    </row>
    <row r="619" spans="2:6" x14ac:dyDescent="0.45">
      <c r="B619" s="132">
        <v>45061</v>
      </c>
      <c r="C619">
        <v>302.99081420898438</v>
      </c>
      <c r="D619">
        <v>4136.27978515625</v>
      </c>
      <c r="E619">
        <f t="shared" si="18"/>
        <v>0.15854429782762303</v>
      </c>
      <c r="F619">
        <f t="shared" si="19"/>
        <v>0.29581644391338813</v>
      </c>
    </row>
    <row r="620" spans="2:6" x14ac:dyDescent="0.45">
      <c r="B620" s="132">
        <v>45062</v>
      </c>
      <c r="C620">
        <v>305.22323608398438</v>
      </c>
      <c r="D620">
        <v>4109.89990234375</v>
      </c>
      <c r="E620">
        <f t="shared" si="18"/>
        <v>0.73679523282847992</v>
      </c>
      <c r="F620">
        <f t="shared" si="19"/>
        <v>-0.63776833731530314</v>
      </c>
    </row>
    <row r="621" spans="2:6" x14ac:dyDescent="0.45">
      <c r="B621" s="132">
        <v>45063</v>
      </c>
      <c r="C621">
        <v>308.10806274414063</v>
      </c>
      <c r="D621">
        <v>4158.77001953125</v>
      </c>
      <c r="E621">
        <f t="shared" si="18"/>
        <v>0.94515302870403772</v>
      </c>
      <c r="F621">
        <f t="shared" si="19"/>
        <v>1.1890829058788244</v>
      </c>
    </row>
    <row r="622" spans="2:6" x14ac:dyDescent="0.45">
      <c r="B622" s="132">
        <v>45064</v>
      </c>
      <c r="C622">
        <v>312.54324340820313</v>
      </c>
      <c r="D622">
        <v>4198.0498046875</v>
      </c>
      <c r="E622">
        <f t="shared" si="18"/>
        <v>1.4394886730846768</v>
      </c>
      <c r="F622">
        <f t="shared" si="19"/>
        <v>0.9445048649426635</v>
      </c>
    </row>
    <row r="623" spans="2:6" x14ac:dyDescent="0.45">
      <c r="B623" s="132">
        <v>45065</v>
      </c>
      <c r="C623">
        <v>312.36660766601563</v>
      </c>
      <c r="D623">
        <v>4191.97998046875</v>
      </c>
      <c r="E623">
        <f t="shared" si="18"/>
        <v>-5.6515616930741253E-2</v>
      </c>
      <c r="F623">
        <f t="shared" si="19"/>
        <v>-0.14458676054706077</v>
      </c>
    </row>
    <row r="624" spans="2:6" x14ac:dyDescent="0.45">
      <c r="B624" s="132">
        <v>45068</v>
      </c>
      <c r="C624">
        <v>315.15335083007813</v>
      </c>
      <c r="D624">
        <v>4192.6298828125</v>
      </c>
      <c r="E624">
        <f t="shared" si="18"/>
        <v>0.89213862675170397</v>
      </c>
      <c r="F624">
        <f t="shared" si="19"/>
        <v>1.550346964389604E-2</v>
      </c>
    </row>
    <row r="625" spans="2:6" x14ac:dyDescent="0.45">
      <c r="B625" s="132">
        <v>45069</v>
      </c>
      <c r="C625">
        <v>309.344482421875</v>
      </c>
      <c r="D625">
        <v>4145.580078125</v>
      </c>
      <c r="E625">
        <f t="shared" si="18"/>
        <v>-1.8431878934186297</v>
      </c>
      <c r="F625">
        <f t="shared" si="19"/>
        <v>-1.1222026747550129</v>
      </c>
    </row>
    <row r="626" spans="2:6" x14ac:dyDescent="0.45">
      <c r="B626" s="132">
        <v>45070</v>
      </c>
      <c r="C626">
        <v>307.96090698242188</v>
      </c>
      <c r="D626">
        <v>4115.240234375</v>
      </c>
      <c r="E626">
        <f t="shared" si="18"/>
        <v>-0.44726042262691612</v>
      </c>
      <c r="F626">
        <f t="shared" si="19"/>
        <v>-0.73186003353533646</v>
      </c>
    </row>
    <row r="627" spans="2:6" x14ac:dyDescent="0.45">
      <c r="B627" s="132">
        <v>45071</v>
      </c>
      <c r="C627">
        <v>319.80438232421881</v>
      </c>
      <c r="D627">
        <v>4151.27978515625</v>
      </c>
      <c r="E627">
        <f t="shared" si="18"/>
        <v>3.845772328002961</v>
      </c>
      <c r="F627">
        <f t="shared" si="19"/>
        <v>0.87575812659024255</v>
      </c>
    </row>
    <row r="628" spans="2:6" x14ac:dyDescent="0.45">
      <c r="B628" s="132">
        <v>45072</v>
      </c>
      <c r="C628">
        <v>326.64358520507813</v>
      </c>
      <c r="D628">
        <v>4205.4501953125</v>
      </c>
      <c r="E628">
        <f t="shared" si="18"/>
        <v>2.1385582121028257</v>
      </c>
      <c r="F628">
        <f t="shared" si="19"/>
        <v>1.3049086777997321</v>
      </c>
    </row>
    <row r="629" spans="2:6" x14ac:dyDescent="0.45">
      <c r="B629" s="132">
        <v>45076</v>
      </c>
      <c r="C629">
        <v>324.99514770507813</v>
      </c>
      <c r="D629">
        <v>4205.52001953125</v>
      </c>
      <c r="E629">
        <f t="shared" si="18"/>
        <v>-0.50465938247801212</v>
      </c>
      <c r="F629">
        <f t="shared" si="19"/>
        <v>1.660326849850513E-3</v>
      </c>
    </row>
    <row r="630" spans="2:6" x14ac:dyDescent="0.45">
      <c r="B630" s="132">
        <v>45077</v>
      </c>
      <c r="C630">
        <v>322.22805786132813</v>
      </c>
      <c r="D630">
        <v>4179.830078125</v>
      </c>
      <c r="E630">
        <f t="shared" si="18"/>
        <v>-0.85142497150789698</v>
      </c>
      <c r="F630">
        <f t="shared" si="19"/>
        <v>-0.61086242098339349</v>
      </c>
    </row>
    <row r="631" spans="2:6" x14ac:dyDescent="0.45">
      <c r="B631" s="132">
        <v>45078</v>
      </c>
      <c r="C631">
        <v>326.33944702148438</v>
      </c>
      <c r="D631">
        <v>4221.02001953125</v>
      </c>
      <c r="E631">
        <f t="shared" si="18"/>
        <v>1.2759252522713593</v>
      </c>
      <c r="F631">
        <f t="shared" si="19"/>
        <v>0.98544535630327168</v>
      </c>
    </row>
    <row r="632" spans="2:6" x14ac:dyDescent="0.45">
      <c r="B632" s="132">
        <v>45079</v>
      </c>
      <c r="C632">
        <v>329.10653686523438</v>
      </c>
      <c r="D632">
        <v>4282.3701171875</v>
      </c>
      <c r="E632">
        <f t="shared" si="18"/>
        <v>0.84791767253555861</v>
      </c>
      <c r="F632">
        <f t="shared" si="19"/>
        <v>1.4534424705965554</v>
      </c>
    </row>
    <row r="633" spans="2:6" x14ac:dyDescent="0.45">
      <c r="B633" s="132">
        <v>45082</v>
      </c>
      <c r="C633">
        <v>329.63638305664063</v>
      </c>
      <c r="D633">
        <v>4273.7900390625</v>
      </c>
      <c r="E633">
        <f t="shared" si="18"/>
        <v>0.16099534103852786</v>
      </c>
      <c r="F633">
        <f t="shared" si="19"/>
        <v>-0.20035816359177394</v>
      </c>
    </row>
    <row r="634" spans="2:6" x14ac:dyDescent="0.45">
      <c r="B634" s="132">
        <v>45083</v>
      </c>
      <c r="C634">
        <v>327.41879272460938</v>
      </c>
      <c r="D634">
        <v>4283.85009765625</v>
      </c>
      <c r="E634">
        <f t="shared" si="18"/>
        <v>-0.67273834018807266</v>
      </c>
      <c r="F634">
        <f t="shared" si="19"/>
        <v>0.23538963079141606</v>
      </c>
    </row>
    <row r="635" spans="2:6" x14ac:dyDescent="0.45">
      <c r="B635" s="132">
        <v>45084</v>
      </c>
      <c r="C635">
        <v>317.31210327148438</v>
      </c>
      <c r="D635">
        <v>4267.52001953125</v>
      </c>
      <c r="E635">
        <f t="shared" si="18"/>
        <v>-3.086777447629796</v>
      </c>
      <c r="F635">
        <f t="shared" si="19"/>
        <v>-0.38120096998572883</v>
      </c>
    </row>
    <row r="636" spans="2:6" x14ac:dyDescent="0.45">
      <c r="B636" s="132">
        <v>45085</v>
      </c>
      <c r="C636">
        <v>319.15679931640619</v>
      </c>
      <c r="D636">
        <v>4293.93017578125</v>
      </c>
      <c r="E636">
        <f t="shared" si="18"/>
        <v>0.58135067206797064</v>
      </c>
      <c r="F636">
        <f t="shared" si="19"/>
        <v>0.61886426142414575</v>
      </c>
    </row>
    <row r="637" spans="2:6" x14ac:dyDescent="0.45">
      <c r="B637" s="132">
        <v>45086</v>
      </c>
      <c r="C637">
        <v>320.65811157226563</v>
      </c>
      <c r="D637">
        <v>4298.85986328125</v>
      </c>
      <c r="E637">
        <f t="shared" si="18"/>
        <v>0.4703995838644337</v>
      </c>
      <c r="F637">
        <f t="shared" si="19"/>
        <v>0.1148059539441082</v>
      </c>
    </row>
    <row r="638" spans="2:6" x14ac:dyDescent="0.45">
      <c r="B638" s="132">
        <v>45089</v>
      </c>
      <c r="C638">
        <v>325.62313842773438</v>
      </c>
      <c r="D638">
        <v>4338.93017578125</v>
      </c>
      <c r="E638">
        <f t="shared" si="18"/>
        <v>1.5483864827632088</v>
      </c>
      <c r="F638">
        <f t="shared" si="19"/>
        <v>0.93211488102371565</v>
      </c>
    </row>
    <row r="639" spans="2:6" x14ac:dyDescent="0.45">
      <c r="B639" s="132">
        <v>45090</v>
      </c>
      <c r="C639">
        <v>328.01739501953119</v>
      </c>
      <c r="D639">
        <v>4369.009765625</v>
      </c>
      <c r="E639">
        <f t="shared" si="18"/>
        <v>0.73528453885600698</v>
      </c>
      <c r="F639">
        <f t="shared" si="19"/>
        <v>0.69324899514737748</v>
      </c>
    </row>
    <row r="640" spans="2:6" x14ac:dyDescent="0.45">
      <c r="B640" s="132">
        <v>45091</v>
      </c>
      <c r="C640">
        <v>331.01004028320313</v>
      </c>
      <c r="D640">
        <v>4372.58984375</v>
      </c>
      <c r="E640">
        <f t="shared" si="18"/>
        <v>0.91234346382567111</v>
      </c>
      <c r="F640">
        <f t="shared" si="19"/>
        <v>8.1942552593217144E-2</v>
      </c>
    </row>
    <row r="641" spans="2:6" x14ac:dyDescent="0.45">
      <c r="B641" s="132">
        <v>45092</v>
      </c>
      <c r="C641">
        <v>341.56817626953119</v>
      </c>
      <c r="D641">
        <v>4425.83984375</v>
      </c>
      <c r="E641">
        <f t="shared" si="18"/>
        <v>3.18967242724566</v>
      </c>
      <c r="F641">
        <f t="shared" si="19"/>
        <v>1.217813742034668</v>
      </c>
    </row>
    <row r="642" spans="2:6" x14ac:dyDescent="0.45">
      <c r="B642" s="132">
        <v>45093</v>
      </c>
      <c r="C642">
        <v>335.90646362304688</v>
      </c>
      <c r="D642">
        <v>4409.58984375</v>
      </c>
      <c r="E642">
        <f t="shared" si="18"/>
        <v>-1.657564445352977</v>
      </c>
      <c r="F642">
        <f t="shared" si="19"/>
        <v>-0.36716195284263176</v>
      </c>
    </row>
    <row r="643" spans="2:6" x14ac:dyDescent="0.45">
      <c r="B643" s="132">
        <v>45097</v>
      </c>
      <c r="C643">
        <v>331.70675659179688</v>
      </c>
      <c r="D643">
        <v>4388.7099609375</v>
      </c>
      <c r="E643">
        <f t="shared" si="18"/>
        <v>-1.2502608571304252</v>
      </c>
      <c r="F643">
        <f t="shared" si="19"/>
        <v>-0.47351076976228645</v>
      </c>
    </row>
    <row r="644" spans="2:6" x14ac:dyDescent="0.45">
      <c r="B644" s="132">
        <v>45098</v>
      </c>
      <c r="C644">
        <v>327.30105590820313</v>
      </c>
      <c r="D644">
        <v>4365.68994140625</v>
      </c>
      <c r="E644">
        <f t="shared" si="18"/>
        <v>-1.32819142089875</v>
      </c>
      <c r="F644">
        <f t="shared" si="19"/>
        <v>-0.52452815830036359</v>
      </c>
    </row>
    <row r="645" spans="2:6" x14ac:dyDescent="0.45">
      <c r="B645" s="132">
        <v>45099</v>
      </c>
      <c r="C645">
        <v>333.33563232421881</v>
      </c>
      <c r="D645">
        <v>4381.89013671875</v>
      </c>
      <c r="E645">
        <f t="shared" si="18"/>
        <v>1.8437387558285723</v>
      </c>
      <c r="F645">
        <f t="shared" si="19"/>
        <v>0.37107984144384432</v>
      </c>
    </row>
    <row r="646" spans="2:6" x14ac:dyDescent="0.45">
      <c r="B646" s="132">
        <v>45100</v>
      </c>
      <c r="C646">
        <v>328.73367309570313</v>
      </c>
      <c r="D646">
        <v>4348.330078125</v>
      </c>
      <c r="E646">
        <f t="shared" si="18"/>
        <v>-1.3805782467442906</v>
      </c>
      <c r="F646">
        <f t="shared" si="19"/>
        <v>-0.76588087666845661</v>
      </c>
    </row>
    <row r="647" spans="2:6" x14ac:dyDescent="0.45">
      <c r="B647" s="132">
        <v>45103</v>
      </c>
      <c r="C647">
        <v>322.43411254882813</v>
      </c>
      <c r="D647">
        <v>4328.81982421875</v>
      </c>
      <c r="E647">
        <f t="shared" si="18"/>
        <v>-1.9163113068252802</v>
      </c>
      <c r="F647">
        <f t="shared" si="19"/>
        <v>-0.44868382932564677</v>
      </c>
    </row>
    <row r="648" spans="2:6" x14ac:dyDescent="0.45">
      <c r="B648" s="132">
        <v>45104</v>
      </c>
      <c r="C648">
        <v>328.29208374023438</v>
      </c>
      <c r="D648">
        <v>4378.41015625</v>
      </c>
      <c r="E648">
        <f t="shared" ref="E648:E711" si="20">((C648/C647)-1)*100</f>
        <v>1.8167963510744123</v>
      </c>
      <c r="F648">
        <f t="shared" ref="F648:F711" si="21">((D648/D647)-1)*100</f>
        <v>1.1455854954693034</v>
      </c>
    </row>
    <row r="649" spans="2:6" x14ac:dyDescent="0.45">
      <c r="B649" s="132">
        <v>45105</v>
      </c>
      <c r="C649">
        <v>329.54806518554688</v>
      </c>
      <c r="D649">
        <v>4376.85986328125</v>
      </c>
      <c r="E649">
        <f t="shared" si="20"/>
        <v>0.38258048473271966</v>
      </c>
      <c r="F649">
        <f t="shared" si="21"/>
        <v>-3.5407668843834283E-2</v>
      </c>
    </row>
    <row r="650" spans="2:6" x14ac:dyDescent="0.45">
      <c r="B650" s="132">
        <v>45106</v>
      </c>
      <c r="C650">
        <v>328.76312255859381</v>
      </c>
      <c r="D650">
        <v>4396.43994140625</v>
      </c>
      <c r="E650">
        <f t="shared" si="20"/>
        <v>-0.23818759989111538</v>
      </c>
      <c r="F650">
        <f t="shared" si="21"/>
        <v>0.44735446728059181</v>
      </c>
    </row>
    <row r="651" spans="2:6" x14ac:dyDescent="0.45">
      <c r="B651" s="132">
        <v>45107</v>
      </c>
      <c r="C651">
        <v>334.15008544921881</v>
      </c>
      <c r="D651">
        <v>4450.3798828125</v>
      </c>
      <c r="E651">
        <f t="shared" si="20"/>
        <v>1.6385544852783429</v>
      </c>
      <c r="F651">
        <f t="shared" si="21"/>
        <v>1.2269004495714109</v>
      </c>
    </row>
    <row r="652" spans="2:6" x14ac:dyDescent="0.45">
      <c r="B652" s="132">
        <v>45110</v>
      </c>
      <c r="C652">
        <v>331.64788818359381</v>
      </c>
      <c r="D652">
        <v>4455.58984375</v>
      </c>
      <c r="E652">
        <f t="shared" si="20"/>
        <v>-0.74882436802646835</v>
      </c>
      <c r="F652">
        <f t="shared" si="21"/>
        <v>0.11706778016009611</v>
      </c>
    </row>
    <row r="653" spans="2:6" x14ac:dyDescent="0.45">
      <c r="B653" s="132">
        <v>45112</v>
      </c>
      <c r="C653">
        <v>331.80496215820313</v>
      </c>
      <c r="D653">
        <v>4446.81982421875</v>
      </c>
      <c r="E653">
        <f t="shared" si="20"/>
        <v>4.736166886802895E-2</v>
      </c>
      <c r="F653">
        <f t="shared" si="21"/>
        <v>-0.19683184132291975</v>
      </c>
    </row>
    <row r="654" spans="2:6" x14ac:dyDescent="0.45">
      <c r="B654" s="132">
        <v>45113</v>
      </c>
      <c r="C654">
        <v>334.86636352539063</v>
      </c>
      <c r="D654">
        <v>4411.58984375</v>
      </c>
      <c r="E654">
        <f t="shared" si="20"/>
        <v>0.92265086913554395</v>
      </c>
      <c r="F654">
        <f t="shared" si="21"/>
        <v>-0.79225113365009037</v>
      </c>
    </row>
    <row r="655" spans="2:6" x14ac:dyDescent="0.45">
      <c r="B655" s="132">
        <v>45114</v>
      </c>
      <c r="C655">
        <v>330.89239501953119</v>
      </c>
      <c r="D655">
        <v>4398.9501953125</v>
      </c>
      <c r="E655">
        <f t="shared" si="20"/>
        <v>-1.1867326607612916</v>
      </c>
      <c r="F655">
        <f t="shared" si="21"/>
        <v>-0.28651005386203243</v>
      </c>
    </row>
    <row r="656" spans="2:6" x14ac:dyDescent="0.45">
      <c r="B656" s="132">
        <v>45117</v>
      </c>
      <c r="C656">
        <v>325.60348510742188</v>
      </c>
      <c r="D656">
        <v>4409.52978515625</v>
      </c>
      <c r="E656">
        <f t="shared" si="20"/>
        <v>-1.5983775969819813</v>
      </c>
      <c r="F656">
        <f t="shared" si="21"/>
        <v>0.2405026057131332</v>
      </c>
    </row>
    <row r="657" spans="2:6" x14ac:dyDescent="0.45">
      <c r="B657" s="132">
        <v>45118</v>
      </c>
      <c r="C657">
        <v>326.23150634765619</v>
      </c>
      <c r="D657">
        <v>4439.259765625</v>
      </c>
      <c r="E657">
        <f t="shared" si="20"/>
        <v>0.1928791517778583</v>
      </c>
      <c r="F657">
        <f t="shared" si="21"/>
        <v>0.67422110558885695</v>
      </c>
    </row>
    <row r="658" spans="2:6" x14ac:dyDescent="0.45">
      <c r="B658" s="132">
        <v>45119</v>
      </c>
      <c r="C658">
        <v>330.87283325195313</v>
      </c>
      <c r="D658">
        <v>4472.16015625</v>
      </c>
      <c r="E658">
        <f t="shared" si="20"/>
        <v>1.4227095832217929</v>
      </c>
      <c r="F658">
        <f t="shared" si="21"/>
        <v>0.74112334853124739</v>
      </c>
    </row>
    <row r="659" spans="2:6" x14ac:dyDescent="0.45">
      <c r="B659" s="132">
        <v>45120</v>
      </c>
      <c r="C659">
        <v>336.23031616210938</v>
      </c>
      <c r="D659">
        <v>4510.0400390625</v>
      </c>
      <c r="E659">
        <f t="shared" si="20"/>
        <v>1.6191969759199454</v>
      </c>
      <c r="F659">
        <f t="shared" si="21"/>
        <v>0.84701534580691185</v>
      </c>
    </row>
    <row r="660" spans="2:6" x14ac:dyDescent="0.45">
      <c r="B660" s="132">
        <v>45121</v>
      </c>
      <c r="C660">
        <v>338.7618408203125</v>
      </c>
      <c r="D660">
        <v>4505.419921875</v>
      </c>
      <c r="E660">
        <f t="shared" si="20"/>
        <v>0.75291386187275045</v>
      </c>
      <c r="F660">
        <f t="shared" si="21"/>
        <v>-0.10244071333035398</v>
      </c>
    </row>
    <row r="661" spans="2:6" x14ac:dyDescent="0.45">
      <c r="B661" s="132">
        <v>45124</v>
      </c>
      <c r="C661">
        <v>339.24273681640619</v>
      </c>
      <c r="D661">
        <v>4522.7900390625</v>
      </c>
      <c r="E661">
        <f t="shared" si="20"/>
        <v>0.14195695563856692</v>
      </c>
      <c r="F661">
        <f t="shared" si="21"/>
        <v>0.38553825145495324</v>
      </c>
    </row>
    <row r="662" spans="2:6" x14ac:dyDescent="0.45">
      <c r="B662" s="132">
        <v>45125</v>
      </c>
      <c r="C662">
        <v>352.7445068359375</v>
      </c>
      <c r="D662">
        <v>4554.97998046875</v>
      </c>
      <c r="E662">
        <f t="shared" si="20"/>
        <v>3.979973203328524</v>
      </c>
      <c r="F662">
        <f t="shared" si="21"/>
        <v>0.71172752058423772</v>
      </c>
    </row>
    <row r="663" spans="2:6" x14ac:dyDescent="0.45">
      <c r="B663" s="132">
        <v>45126</v>
      </c>
      <c r="C663">
        <v>348.41717529296881</v>
      </c>
      <c r="D663">
        <v>4565.72021484375</v>
      </c>
      <c r="E663">
        <f t="shared" si="20"/>
        <v>-1.2267608592360979</v>
      </c>
      <c r="F663">
        <f t="shared" si="21"/>
        <v>0.23579103357320719</v>
      </c>
    </row>
    <row r="664" spans="2:6" x14ac:dyDescent="0.45">
      <c r="B664" s="132">
        <v>45127</v>
      </c>
      <c r="C664">
        <v>340.361328125</v>
      </c>
      <c r="D664">
        <v>4534.8701171875</v>
      </c>
      <c r="E664">
        <f t="shared" si="20"/>
        <v>-2.3121268809997653</v>
      </c>
      <c r="F664">
        <f t="shared" si="21"/>
        <v>-0.67568962189037407</v>
      </c>
    </row>
    <row r="665" spans="2:6" x14ac:dyDescent="0.45">
      <c r="B665" s="132">
        <v>45128</v>
      </c>
      <c r="C665">
        <v>337.31948852539063</v>
      </c>
      <c r="D665">
        <v>4536.33984375</v>
      </c>
      <c r="E665">
        <f t="shared" si="20"/>
        <v>-0.89370893466846901</v>
      </c>
      <c r="F665">
        <f t="shared" si="21"/>
        <v>3.240945218980773E-2</v>
      </c>
    </row>
    <row r="666" spans="2:6" x14ac:dyDescent="0.45">
      <c r="B666" s="132">
        <v>45131</v>
      </c>
      <c r="C666">
        <v>338.63430786132813</v>
      </c>
      <c r="D666">
        <v>4554.64013671875</v>
      </c>
      <c r="E666">
        <f t="shared" si="20"/>
        <v>0.38978457535474575</v>
      </c>
      <c r="F666">
        <f t="shared" si="21"/>
        <v>0.40341538771535568</v>
      </c>
    </row>
    <row r="667" spans="2:6" x14ac:dyDescent="0.45">
      <c r="B667" s="132">
        <v>45132</v>
      </c>
      <c r="C667">
        <v>344.39419555664063</v>
      </c>
      <c r="D667">
        <v>4567.4599609375</v>
      </c>
      <c r="E667">
        <f t="shared" si="20"/>
        <v>1.7009167593471375</v>
      </c>
      <c r="F667">
        <f t="shared" si="21"/>
        <v>0.28146733515561628</v>
      </c>
    </row>
    <row r="668" spans="2:6" x14ac:dyDescent="0.45">
      <c r="B668" s="132">
        <v>45133</v>
      </c>
      <c r="C668">
        <v>331.43203735351563</v>
      </c>
      <c r="D668">
        <v>4566.75</v>
      </c>
      <c r="E668">
        <f t="shared" si="20"/>
        <v>-3.763756291587439</v>
      </c>
      <c r="F668">
        <f t="shared" si="21"/>
        <v>-1.5543889679858758E-2</v>
      </c>
    </row>
    <row r="669" spans="2:6" x14ac:dyDescent="0.45">
      <c r="B669" s="132">
        <v>45134</v>
      </c>
      <c r="C669">
        <v>324.5142822265625</v>
      </c>
      <c r="D669">
        <v>4537.41015625</v>
      </c>
      <c r="E669">
        <f t="shared" si="20"/>
        <v>-2.0872318748034746</v>
      </c>
      <c r="F669">
        <f t="shared" si="21"/>
        <v>-0.64246660644878828</v>
      </c>
    </row>
    <row r="670" spans="2:6" x14ac:dyDescent="0.45">
      <c r="B670" s="132">
        <v>45135</v>
      </c>
      <c r="C670">
        <v>332.02084350585938</v>
      </c>
      <c r="D670">
        <v>4582.22998046875</v>
      </c>
      <c r="E670">
        <f t="shared" si="20"/>
        <v>2.3131682303141554</v>
      </c>
      <c r="F670">
        <f t="shared" si="21"/>
        <v>0.98778427947523451</v>
      </c>
    </row>
    <row r="671" spans="2:6" x14ac:dyDescent="0.45">
      <c r="B671" s="132">
        <v>45138</v>
      </c>
      <c r="C671">
        <v>329.61676025390619</v>
      </c>
      <c r="D671">
        <v>4588.9599609375</v>
      </c>
      <c r="E671">
        <f t="shared" si="20"/>
        <v>-0.7240760027497406</v>
      </c>
      <c r="F671">
        <f t="shared" si="21"/>
        <v>0.14687129405193122</v>
      </c>
    </row>
    <row r="672" spans="2:6" x14ac:dyDescent="0.45">
      <c r="B672" s="132">
        <v>45139</v>
      </c>
      <c r="C672">
        <v>330.02886962890619</v>
      </c>
      <c r="D672">
        <v>4576.72998046875</v>
      </c>
      <c r="E672">
        <f t="shared" si="20"/>
        <v>0.12502682651287511</v>
      </c>
      <c r="F672">
        <f t="shared" si="21"/>
        <v>-0.26650876392156908</v>
      </c>
    </row>
    <row r="673" spans="2:6" x14ac:dyDescent="0.45">
      <c r="B673" s="132">
        <v>45140</v>
      </c>
      <c r="C673">
        <v>321.35476684570313</v>
      </c>
      <c r="D673">
        <v>4513.39013671875</v>
      </c>
      <c r="E673">
        <f t="shared" si="20"/>
        <v>-2.6282860626576365</v>
      </c>
      <c r="F673">
        <f t="shared" si="21"/>
        <v>-1.3839541336347905</v>
      </c>
    </row>
    <row r="674" spans="2:6" x14ac:dyDescent="0.45">
      <c r="B674" s="132">
        <v>45141</v>
      </c>
      <c r="C674">
        <v>320.530517578125</v>
      </c>
      <c r="D674">
        <v>4501.89013671875</v>
      </c>
      <c r="E674">
        <f t="shared" si="20"/>
        <v>-0.25649199968889036</v>
      </c>
      <c r="F674">
        <f t="shared" si="21"/>
        <v>-0.25479738404268204</v>
      </c>
    </row>
    <row r="675" spans="2:6" x14ac:dyDescent="0.45">
      <c r="B675" s="132">
        <v>45142</v>
      </c>
      <c r="C675">
        <v>321.6295166015625</v>
      </c>
      <c r="D675">
        <v>4478.02978515625</v>
      </c>
      <c r="E675">
        <f t="shared" si="20"/>
        <v>0.34286876386726561</v>
      </c>
      <c r="F675">
        <f t="shared" si="21"/>
        <v>-0.53000741550505159</v>
      </c>
    </row>
    <row r="676" spans="2:6" x14ac:dyDescent="0.45">
      <c r="B676" s="132">
        <v>45145</v>
      </c>
      <c r="C676">
        <v>323.91574096679688</v>
      </c>
      <c r="D676">
        <v>4518.43994140625</v>
      </c>
      <c r="E676">
        <f t="shared" si="20"/>
        <v>0.71082542093503509</v>
      </c>
      <c r="F676">
        <f t="shared" si="21"/>
        <v>0.90240927793627801</v>
      </c>
    </row>
    <row r="677" spans="2:6" x14ac:dyDescent="0.45">
      <c r="B677" s="132">
        <v>45146</v>
      </c>
      <c r="C677">
        <v>319.93191528320313</v>
      </c>
      <c r="D677">
        <v>4499.3798828125</v>
      </c>
      <c r="E677">
        <f t="shared" si="20"/>
        <v>-1.2298956733943101</v>
      </c>
      <c r="F677">
        <f t="shared" si="21"/>
        <v>-0.4218283044793103</v>
      </c>
    </row>
    <row r="678" spans="2:6" x14ac:dyDescent="0.45">
      <c r="B678" s="132">
        <v>45147</v>
      </c>
      <c r="C678">
        <v>316.18362426757813</v>
      </c>
      <c r="D678">
        <v>4467.7099609375</v>
      </c>
      <c r="E678">
        <f t="shared" si="20"/>
        <v>-1.1715902154703861</v>
      </c>
      <c r="F678">
        <f t="shared" si="21"/>
        <v>-0.70387303805971024</v>
      </c>
    </row>
    <row r="679" spans="2:6" x14ac:dyDescent="0.45">
      <c r="B679" s="132">
        <v>45148</v>
      </c>
      <c r="C679">
        <v>316.87051391601563</v>
      </c>
      <c r="D679">
        <v>4468.830078125</v>
      </c>
      <c r="E679">
        <f t="shared" si="20"/>
        <v>0.21724390376909319</v>
      </c>
      <c r="F679">
        <f t="shared" si="21"/>
        <v>2.5071394456976925E-2</v>
      </c>
    </row>
    <row r="680" spans="2:6" x14ac:dyDescent="0.45">
      <c r="B680" s="132">
        <v>45149</v>
      </c>
      <c r="C680">
        <v>314.98654174804688</v>
      </c>
      <c r="D680">
        <v>4464.0498046875</v>
      </c>
      <c r="E680">
        <f t="shared" si="20"/>
        <v>-0.59455584701960662</v>
      </c>
      <c r="F680">
        <f t="shared" si="21"/>
        <v>-0.10696923700230787</v>
      </c>
    </row>
    <row r="681" spans="2:6" x14ac:dyDescent="0.45">
      <c r="B681" s="132">
        <v>45152</v>
      </c>
      <c r="C681">
        <v>317.95968627929688</v>
      </c>
      <c r="D681">
        <v>4489.72021484375</v>
      </c>
      <c r="E681">
        <f t="shared" si="20"/>
        <v>0.94389573432256402</v>
      </c>
      <c r="F681">
        <f t="shared" si="21"/>
        <v>0.57504757517030658</v>
      </c>
    </row>
    <row r="682" spans="2:6" x14ac:dyDescent="0.45">
      <c r="B682" s="132">
        <v>45153</v>
      </c>
      <c r="C682">
        <v>315.820556640625</v>
      </c>
      <c r="D682">
        <v>4437.85986328125</v>
      </c>
      <c r="E682">
        <f t="shared" si="20"/>
        <v>-0.67276756487703038</v>
      </c>
      <c r="F682">
        <f t="shared" si="21"/>
        <v>-1.1550909428841738</v>
      </c>
    </row>
    <row r="683" spans="2:6" x14ac:dyDescent="0.45">
      <c r="B683" s="132">
        <v>45154</v>
      </c>
      <c r="C683">
        <v>315.05364990234381</v>
      </c>
      <c r="D683">
        <v>4404.330078125</v>
      </c>
      <c r="E683">
        <f t="shared" si="20"/>
        <v>-0.24282989886369455</v>
      </c>
      <c r="F683">
        <f t="shared" si="21"/>
        <v>-0.75553952105776867</v>
      </c>
    </row>
    <row r="684" spans="2:6" x14ac:dyDescent="0.45">
      <c r="B684" s="132">
        <v>45155</v>
      </c>
      <c r="C684">
        <v>311.59234619140619</v>
      </c>
      <c r="D684">
        <v>4370.35986328125</v>
      </c>
      <c r="E684">
        <f t="shared" si="20"/>
        <v>-1.0986394577591763</v>
      </c>
      <c r="F684">
        <f t="shared" si="21"/>
        <v>-0.77129130290369829</v>
      </c>
    </row>
    <row r="685" spans="2:6" x14ac:dyDescent="0.45">
      <c r="B685" s="132">
        <v>45156</v>
      </c>
      <c r="C685">
        <v>311.19900512695313</v>
      </c>
      <c r="D685">
        <v>4369.7099609375</v>
      </c>
      <c r="E685">
        <f t="shared" si="20"/>
        <v>-0.12623579149516617</v>
      </c>
      <c r="F685">
        <f t="shared" si="21"/>
        <v>-1.4870682600087726E-2</v>
      </c>
    </row>
    <row r="686" spans="2:6" x14ac:dyDescent="0.45">
      <c r="B686" s="132">
        <v>45159</v>
      </c>
      <c r="C686">
        <v>316.50894165039063</v>
      </c>
      <c r="D686">
        <v>4399.77001953125</v>
      </c>
      <c r="E686">
        <f t="shared" si="20"/>
        <v>1.706283257965846</v>
      </c>
      <c r="F686">
        <f t="shared" si="21"/>
        <v>0.68791885187959867</v>
      </c>
    </row>
    <row r="687" spans="2:6" x14ac:dyDescent="0.45">
      <c r="B687" s="132">
        <v>45160</v>
      </c>
      <c r="C687">
        <v>317.0792236328125</v>
      </c>
      <c r="D687">
        <v>4387.5498046875</v>
      </c>
      <c r="E687">
        <f t="shared" si="20"/>
        <v>0.18017879035208129</v>
      </c>
      <c r="F687">
        <f t="shared" si="21"/>
        <v>-0.2777466728829614</v>
      </c>
    </row>
    <row r="688" spans="2:6" x14ac:dyDescent="0.45">
      <c r="B688" s="132">
        <v>45161</v>
      </c>
      <c r="C688">
        <v>321.54345703125</v>
      </c>
      <c r="D688">
        <v>4436.009765625</v>
      </c>
      <c r="E688">
        <f t="shared" si="20"/>
        <v>1.4079236562049902</v>
      </c>
      <c r="F688">
        <f t="shared" si="21"/>
        <v>1.1044879965972587</v>
      </c>
    </row>
    <row r="689" spans="2:6" x14ac:dyDescent="0.45">
      <c r="B689" s="132">
        <v>45162</v>
      </c>
      <c r="C689">
        <v>314.63079833984381</v>
      </c>
      <c r="D689">
        <v>4376.31005859375</v>
      </c>
      <c r="E689">
        <f t="shared" si="20"/>
        <v>-2.1498365276126141</v>
      </c>
      <c r="F689">
        <f t="shared" si="21"/>
        <v>-1.3457974663146133</v>
      </c>
    </row>
    <row r="690" spans="2:6" x14ac:dyDescent="0.45">
      <c r="B690" s="132">
        <v>45163</v>
      </c>
      <c r="C690">
        <v>317.590576171875</v>
      </c>
      <c r="D690">
        <v>4405.7099609375</v>
      </c>
      <c r="E690">
        <f t="shared" si="20"/>
        <v>0.94071459235667287</v>
      </c>
      <c r="F690">
        <f t="shared" si="21"/>
        <v>0.67179660376250894</v>
      </c>
    </row>
    <row r="691" spans="2:6" x14ac:dyDescent="0.45">
      <c r="B691" s="132">
        <v>45166</v>
      </c>
      <c r="C691">
        <v>318.298583984375</v>
      </c>
      <c r="D691">
        <v>4433.31005859375</v>
      </c>
      <c r="E691">
        <f t="shared" si="20"/>
        <v>0.22293098902179675</v>
      </c>
      <c r="F691">
        <f t="shared" si="21"/>
        <v>0.62646197550364491</v>
      </c>
    </row>
    <row r="692" spans="2:6" x14ac:dyDescent="0.45">
      <c r="B692" s="132">
        <v>45167</v>
      </c>
      <c r="C692">
        <v>322.929931640625</v>
      </c>
      <c r="D692">
        <v>4497.6298828125</v>
      </c>
      <c r="E692">
        <f t="shared" si="20"/>
        <v>1.4550324410105953</v>
      </c>
      <c r="F692">
        <f t="shared" si="21"/>
        <v>1.4508307194546211</v>
      </c>
    </row>
    <row r="693" spans="2:6" x14ac:dyDescent="0.45">
      <c r="B693" s="132">
        <v>45168</v>
      </c>
      <c r="C693">
        <v>323.30364990234381</v>
      </c>
      <c r="D693">
        <v>4514.8701171875</v>
      </c>
      <c r="E693">
        <f t="shared" si="20"/>
        <v>0.11572735293385872</v>
      </c>
      <c r="F693">
        <f t="shared" si="21"/>
        <v>0.3833182103508026</v>
      </c>
    </row>
    <row r="694" spans="2:6" x14ac:dyDescent="0.45">
      <c r="B694" s="132">
        <v>45169</v>
      </c>
      <c r="C694">
        <v>322.29080200195313</v>
      </c>
      <c r="D694">
        <v>4507.66015625</v>
      </c>
      <c r="E694">
        <f t="shared" si="20"/>
        <v>-0.31328068850958735</v>
      </c>
      <c r="F694">
        <f t="shared" si="21"/>
        <v>-0.15969365120942491</v>
      </c>
    </row>
    <row r="695" spans="2:6" x14ac:dyDescent="0.45">
      <c r="B695" s="132">
        <v>45170</v>
      </c>
      <c r="C695">
        <v>323.17581176757813</v>
      </c>
      <c r="D695">
        <v>4515.77001953125</v>
      </c>
      <c r="E695">
        <f t="shared" si="20"/>
        <v>0.27459975901504841</v>
      </c>
      <c r="F695">
        <f t="shared" si="21"/>
        <v>0.17991292600010311</v>
      </c>
    </row>
    <row r="696" spans="2:6" x14ac:dyDescent="0.45">
      <c r="B696" s="132">
        <v>45174</v>
      </c>
      <c r="C696">
        <v>327.98416137695313</v>
      </c>
      <c r="D696">
        <v>4496.830078125</v>
      </c>
      <c r="E696">
        <f t="shared" si="20"/>
        <v>1.4878432835292443</v>
      </c>
      <c r="F696">
        <f t="shared" si="21"/>
        <v>-0.4194177587506065</v>
      </c>
    </row>
    <row r="697" spans="2:6" x14ac:dyDescent="0.45">
      <c r="B697" s="132">
        <v>45175</v>
      </c>
      <c r="C697">
        <v>327.32534790039063</v>
      </c>
      <c r="D697">
        <v>4465.47998046875</v>
      </c>
      <c r="E697">
        <f t="shared" si="20"/>
        <v>-0.20086746683030121</v>
      </c>
      <c r="F697">
        <f t="shared" si="21"/>
        <v>-0.69715993514528618</v>
      </c>
    </row>
    <row r="698" spans="2:6" x14ac:dyDescent="0.45">
      <c r="B698" s="132">
        <v>45176</v>
      </c>
      <c r="C698">
        <v>324.40493774414063</v>
      </c>
      <c r="D698">
        <v>4451.14013671875</v>
      </c>
      <c r="E698">
        <f t="shared" si="20"/>
        <v>-0.89220409448360627</v>
      </c>
      <c r="F698">
        <f t="shared" si="21"/>
        <v>-0.32112659361860363</v>
      </c>
    </row>
    <row r="699" spans="2:6" x14ac:dyDescent="0.45">
      <c r="B699" s="132">
        <v>45177</v>
      </c>
      <c r="C699">
        <v>328.692138671875</v>
      </c>
      <c r="D699">
        <v>4457.490234375</v>
      </c>
      <c r="E699">
        <f t="shared" si="20"/>
        <v>1.3215584687295001</v>
      </c>
      <c r="F699">
        <f t="shared" si="21"/>
        <v>0.14266227216406246</v>
      </c>
    </row>
    <row r="700" spans="2:6" x14ac:dyDescent="0.45">
      <c r="B700" s="132">
        <v>45180</v>
      </c>
      <c r="C700">
        <v>332.30093383789063</v>
      </c>
      <c r="D700">
        <v>4487.4599609375</v>
      </c>
      <c r="E700">
        <f t="shared" si="20"/>
        <v>1.0979256092334522</v>
      </c>
      <c r="F700">
        <f t="shared" si="21"/>
        <v>0.67234531062752012</v>
      </c>
    </row>
    <row r="701" spans="2:6" x14ac:dyDescent="0.45">
      <c r="B701" s="132">
        <v>45181</v>
      </c>
      <c r="C701">
        <v>326.23388671875</v>
      </c>
      <c r="D701">
        <v>4461.89990234375</v>
      </c>
      <c r="E701">
        <f t="shared" si="20"/>
        <v>-1.8257689044293701</v>
      </c>
      <c r="F701">
        <f t="shared" si="21"/>
        <v>-0.56958856048289208</v>
      </c>
    </row>
    <row r="702" spans="2:6" x14ac:dyDescent="0.45">
      <c r="B702" s="132">
        <v>45182</v>
      </c>
      <c r="C702">
        <v>330.45233154296881</v>
      </c>
      <c r="D702">
        <v>4467.43994140625</v>
      </c>
      <c r="E702">
        <f t="shared" si="20"/>
        <v>1.2930737719026641</v>
      </c>
      <c r="F702">
        <f t="shared" si="21"/>
        <v>0.12416323054647016</v>
      </c>
    </row>
    <row r="703" spans="2:6" x14ac:dyDescent="0.45">
      <c r="B703" s="132">
        <v>45183</v>
      </c>
      <c r="C703">
        <v>333.04827880859381</v>
      </c>
      <c r="D703">
        <v>4505.10009765625</v>
      </c>
      <c r="E703">
        <f t="shared" si="20"/>
        <v>0.78557389911695363</v>
      </c>
      <c r="F703">
        <f t="shared" si="21"/>
        <v>0.84299188671679293</v>
      </c>
    </row>
    <row r="704" spans="2:6" x14ac:dyDescent="0.45">
      <c r="B704" s="132">
        <v>45184</v>
      </c>
      <c r="C704">
        <v>324.70974731445313</v>
      </c>
      <c r="D704">
        <v>4450.31982421875</v>
      </c>
      <c r="E704">
        <f t="shared" si="20"/>
        <v>-2.5037005217291353</v>
      </c>
      <c r="F704">
        <f t="shared" si="21"/>
        <v>-1.2159612938677844</v>
      </c>
    </row>
    <row r="705" spans="2:6" x14ac:dyDescent="0.45">
      <c r="B705" s="132">
        <v>45187</v>
      </c>
      <c r="C705">
        <v>323.569091796875</v>
      </c>
      <c r="D705">
        <v>4453.52978515625</v>
      </c>
      <c r="E705">
        <f t="shared" si="20"/>
        <v>-0.35128465560767541</v>
      </c>
      <c r="F705">
        <f t="shared" si="21"/>
        <v>7.2128769712942464E-2</v>
      </c>
    </row>
    <row r="706" spans="2:6" x14ac:dyDescent="0.45">
      <c r="B706" s="132">
        <v>45188</v>
      </c>
      <c r="C706">
        <v>323.1658935546875</v>
      </c>
      <c r="D706">
        <v>4443.9501953125</v>
      </c>
      <c r="E706">
        <f t="shared" si="20"/>
        <v>-0.12460962817815169</v>
      </c>
      <c r="F706">
        <f t="shared" si="21"/>
        <v>-0.2151010615372817</v>
      </c>
    </row>
    <row r="707" spans="2:6" x14ac:dyDescent="0.45">
      <c r="B707" s="132">
        <v>45189</v>
      </c>
      <c r="C707">
        <v>315.41738891601563</v>
      </c>
      <c r="D707">
        <v>4402.2001953125</v>
      </c>
      <c r="E707">
        <f t="shared" si="20"/>
        <v>-2.3976863874592746</v>
      </c>
      <c r="F707">
        <f t="shared" si="21"/>
        <v>-0.93947947580595992</v>
      </c>
    </row>
    <row r="708" spans="2:6" x14ac:dyDescent="0.45">
      <c r="B708" s="132">
        <v>45190</v>
      </c>
      <c r="C708">
        <v>314.1981201171875</v>
      </c>
      <c r="D708">
        <v>4330</v>
      </c>
      <c r="E708">
        <f t="shared" si="20"/>
        <v>-0.38655725450595924</v>
      </c>
      <c r="F708">
        <f t="shared" si="21"/>
        <v>-1.6400934103219411</v>
      </c>
    </row>
    <row r="709" spans="2:6" x14ac:dyDescent="0.45">
      <c r="B709" s="132">
        <v>45191</v>
      </c>
      <c r="C709">
        <v>311.72021484375</v>
      </c>
      <c r="D709">
        <v>4320.06005859375</v>
      </c>
      <c r="E709">
        <f t="shared" si="20"/>
        <v>-0.78864420720063944</v>
      </c>
      <c r="F709">
        <f t="shared" si="21"/>
        <v>-0.22955984771939608</v>
      </c>
    </row>
    <row r="710" spans="2:6" x14ac:dyDescent="0.45">
      <c r="B710" s="132">
        <v>45194</v>
      </c>
      <c r="C710">
        <v>312.24136352539063</v>
      </c>
      <c r="D710">
        <v>4337.43994140625</v>
      </c>
      <c r="E710">
        <f t="shared" si="20"/>
        <v>0.1671847563373019</v>
      </c>
      <c r="F710">
        <f t="shared" si="21"/>
        <v>0.40230650909416354</v>
      </c>
    </row>
    <row r="711" spans="2:6" x14ac:dyDescent="0.45">
      <c r="B711" s="132">
        <v>45195</v>
      </c>
      <c r="C711">
        <v>306.93145751953119</v>
      </c>
      <c r="D711">
        <v>4273.52978515625</v>
      </c>
      <c r="E711">
        <f t="shared" si="20"/>
        <v>-1.7005773821595738</v>
      </c>
      <c r="F711">
        <f t="shared" si="21"/>
        <v>-1.4734533990868215</v>
      </c>
    </row>
    <row r="712" spans="2:6" x14ac:dyDescent="0.45">
      <c r="B712" s="132">
        <v>45196</v>
      </c>
      <c r="C712">
        <v>307.570556640625</v>
      </c>
      <c r="D712">
        <v>4274.509765625</v>
      </c>
      <c r="E712">
        <f t="shared" ref="E712:E775" si="22">((C712/C711)-1)*100</f>
        <v>0.20822209826867333</v>
      </c>
      <c r="F712">
        <f t="shared" ref="F712:F775" si="23">((D712/D711)-1)*100</f>
        <v>2.2931406074522265E-2</v>
      </c>
    </row>
    <row r="713" spans="2:6" x14ac:dyDescent="0.45">
      <c r="B713" s="132">
        <v>45197</v>
      </c>
      <c r="C713">
        <v>308.40643310546881</v>
      </c>
      <c r="D713">
        <v>4299.7001953125</v>
      </c>
      <c r="E713">
        <f t="shared" si="22"/>
        <v>0.27176738696106373</v>
      </c>
      <c r="F713">
        <f t="shared" si="23"/>
        <v>0.58931739705165853</v>
      </c>
    </row>
    <row r="714" spans="2:6" x14ac:dyDescent="0.45">
      <c r="B714" s="132">
        <v>45198</v>
      </c>
      <c r="C714">
        <v>310.48117065429688</v>
      </c>
      <c r="D714">
        <v>4288.0498046875</v>
      </c>
      <c r="E714">
        <f t="shared" si="22"/>
        <v>0.67272836300356076</v>
      </c>
      <c r="F714">
        <f t="shared" si="23"/>
        <v>-0.27095820861420261</v>
      </c>
    </row>
    <row r="715" spans="2:6" x14ac:dyDescent="0.45">
      <c r="B715" s="132">
        <v>45201</v>
      </c>
      <c r="C715">
        <v>316.43023681640619</v>
      </c>
      <c r="D715">
        <v>4288.39013671875</v>
      </c>
      <c r="E715">
        <f t="shared" si="22"/>
        <v>1.9160795321572888</v>
      </c>
      <c r="F715">
        <f t="shared" si="23"/>
        <v>7.9367555590792449E-3</v>
      </c>
    </row>
    <row r="716" spans="2:6" x14ac:dyDescent="0.45">
      <c r="B716" s="132">
        <v>45202</v>
      </c>
      <c r="C716">
        <v>308.16064453125</v>
      </c>
      <c r="D716">
        <v>4229.4501953125</v>
      </c>
      <c r="E716">
        <f t="shared" si="22"/>
        <v>-2.6134014145918205</v>
      </c>
      <c r="F716">
        <f t="shared" si="23"/>
        <v>-1.3744071674259506</v>
      </c>
    </row>
    <row r="717" spans="2:6" x14ac:dyDescent="0.45">
      <c r="B717" s="132">
        <v>45203</v>
      </c>
      <c r="C717">
        <v>313.63760375976563</v>
      </c>
      <c r="D717">
        <v>4263.75</v>
      </c>
      <c r="E717">
        <f t="shared" si="22"/>
        <v>1.7773065203854133</v>
      </c>
      <c r="F717">
        <f t="shared" si="23"/>
        <v>0.81097549571607086</v>
      </c>
    </row>
    <row r="718" spans="2:6" x14ac:dyDescent="0.45">
      <c r="B718" s="132">
        <v>45204</v>
      </c>
      <c r="C718">
        <v>314.03094482421881</v>
      </c>
      <c r="D718">
        <v>4258.18994140625</v>
      </c>
      <c r="E718">
        <f t="shared" si="22"/>
        <v>0.12541259713056974</v>
      </c>
      <c r="F718">
        <f t="shared" si="23"/>
        <v>-0.1304030159777203</v>
      </c>
    </row>
    <row r="719" spans="2:6" x14ac:dyDescent="0.45">
      <c r="B719" s="132">
        <v>45205</v>
      </c>
      <c r="C719">
        <v>321.79910278320313</v>
      </c>
      <c r="D719">
        <v>4308.5</v>
      </c>
      <c r="E719">
        <f t="shared" si="22"/>
        <v>2.4736918724148627</v>
      </c>
      <c r="F719">
        <f t="shared" si="23"/>
        <v>1.1814893014644445</v>
      </c>
    </row>
    <row r="720" spans="2:6" x14ac:dyDescent="0.45">
      <c r="B720" s="132">
        <v>45208</v>
      </c>
      <c r="C720">
        <v>324.31640625</v>
      </c>
      <c r="D720">
        <v>4335.66015625</v>
      </c>
      <c r="E720">
        <f t="shared" si="22"/>
        <v>0.78225931801083615</v>
      </c>
      <c r="F720">
        <f t="shared" si="23"/>
        <v>0.63038542996403102</v>
      </c>
    </row>
    <row r="721" spans="2:6" x14ac:dyDescent="0.45">
      <c r="B721" s="132">
        <v>45209</v>
      </c>
      <c r="C721">
        <v>322.91024780273438</v>
      </c>
      <c r="D721">
        <v>4358.240234375</v>
      </c>
      <c r="E721">
        <f t="shared" si="22"/>
        <v>-0.43357610659440216</v>
      </c>
      <c r="F721">
        <f t="shared" si="23"/>
        <v>0.52079907813922244</v>
      </c>
    </row>
    <row r="722" spans="2:6" x14ac:dyDescent="0.45">
      <c r="B722" s="132">
        <v>45210</v>
      </c>
      <c r="C722">
        <v>326.87307739257813</v>
      </c>
      <c r="D722">
        <v>4376.9501953125</v>
      </c>
      <c r="E722">
        <f t="shared" si="22"/>
        <v>1.2272232351896895</v>
      </c>
      <c r="F722">
        <f t="shared" si="23"/>
        <v>0.42930081710337298</v>
      </c>
    </row>
    <row r="723" spans="2:6" x14ac:dyDescent="0.45">
      <c r="B723" s="132">
        <v>45211</v>
      </c>
      <c r="C723">
        <v>325.63406372070313</v>
      </c>
      <c r="D723">
        <v>4349.60986328125</v>
      </c>
      <c r="E723">
        <f t="shared" si="22"/>
        <v>-0.37905038914750611</v>
      </c>
      <c r="F723">
        <f t="shared" si="23"/>
        <v>-0.62464343461184901</v>
      </c>
    </row>
    <row r="724" spans="2:6" x14ac:dyDescent="0.45">
      <c r="B724" s="132">
        <v>45212</v>
      </c>
      <c r="C724">
        <v>322.26132202148438</v>
      </c>
      <c r="D724">
        <v>4327.77978515625</v>
      </c>
      <c r="E724">
        <f t="shared" si="22"/>
        <v>-1.0357459722369677</v>
      </c>
      <c r="F724">
        <f t="shared" si="23"/>
        <v>-0.5018858888767519</v>
      </c>
    </row>
    <row r="725" spans="2:6" x14ac:dyDescent="0.45">
      <c r="B725" s="132">
        <v>45215</v>
      </c>
      <c r="C725">
        <v>327.08941650390619</v>
      </c>
      <c r="D725">
        <v>4373.6298828125</v>
      </c>
      <c r="E725">
        <f t="shared" si="22"/>
        <v>1.4981923527577212</v>
      </c>
      <c r="F725">
        <f t="shared" si="23"/>
        <v>1.059436938392988</v>
      </c>
    </row>
    <row r="726" spans="2:6" x14ac:dyDescent="0.45">
      <c r="B726" s="132">
        <v>45216</v>
      </c>
      <c r="C726">
        <v>326.51907348632813</v>
      </c>
      <c r="D726">
        <v>4373.2001953125</v>
      </c>
      <c r="E726">
        <f t="shared" si="22"/>
        <v>-0.17436914458259789</v>
      </c>
      <c r="F726">
        <f t="shared" si="23"/>
        <v>-9.824505308242415E-3</v>
      </c>
    </row>
    <row r="727" spans="2:6" x14ac:dyDescent="0.45">
      <c r="B727" s="132">
        <v>45217</v>
      </c>
      <c r="C727">
        <v>324.6015625</v>
      </c>
      <c r="D727">
        <v>4314.60009765625</v>
      </c>
      <c r="E727">
        <f t="shared" si="22"/>
        <v>-0.58725849177947431</v>
      </c>
      <c r="F727">
        <f t="shared" si="23"/>
        <v>-1.3399820506516447</v>
      </c>
    </row>
    <row r="728" spans="2:6" x14ac:dyDescent="0.45">
      <c r="B728" s="132">
        <v>45218</v>
      </c>
      <c r="C728">
        <v>325.7913818359375</v>
      </c>
      <c r="D728">
        <v>4278</v>
      </c>
      <c r="E728">
        <f t="shared" si="22"/>
        <v>0.36654763050856243</v>
      </c>
      <c r="F728">
        <f t="shared" si="23"/>
        <v>-0.84828481963210578</v>
      </c>
    </row>
    <row r="729" spans="2:6" x14ac:dyDescent="0.45">
      <c r="B729" s="132">
        <v>45219</v>
      </c>
      <c r="C729">
        <v>321.218994140625</v>
      </c>
      <c r="D729">
        <v>4224.16015625</v>
      </c>
      <c r="E729">
        <f t="shared" si="22"/>
        <v>-1.4034710401317652</v>
      </c>
      <c r="F729">
        <f t="shared" si="23"/>
        <v>-1.2585283719027562</v>
      </c>
    </row>
    <row r="730" spans="2:6" x14ac:dyDescent="0.45">
      <c r="B730" s="132">
        <v>45222</v>
      </c>
      <c r="C730">
        <v>323.82479858398438</v>
      </c>
      <c r="D730">
        <v>4217.0400390625</v>
      </c>
      <c r="E730">
        <f t="shared" si="22"/>
        <v>0.81122364831844873</v>
      </c>
      <c r="F730">
        <f t="shared" si="23"/>
        <v>-0.16855698941634634</v>
      </c>
    </row>
    <row r="731" spans="2:6" x14ac:dyDescent="0.45">
      <c r="B731" s="132">
        <v>45223</v>
      </c>
      <c r="C731">
        <v>325.0145263671875</v>
      </c>
      <c r="D731">
        <v>4247.68017578125</v>
      </c>
      <c r="E731">
        <f t="shared" si="22"/>
        <v>0.3673986020853004</v>
      </c>
      <c r="F731">
        <f t="shared" si="23"/>
        <v>0.72657922227272742</v>
      </c>
    </row>
    <row r="732" spans="2:6" x14ac:dyDescent="0.45">
      <c r="B732" s="132">
        <v>45224</v>
      </c>
      <c r="C732">
        <v>334.98538208007813</v>
      </c>
      <c r="D732">
        <v>4186.77001953125</v>
      </c>
      <c r="E732">
        <f t="shared" si="22"/>
        <v>3.0678184831732569</v>
      </c>
      <c r="F732">
        <f t="shared" si="23"/>
        <v>-1.4339628627712542</v>
      </c>
    </row>
    <row r="733" spans="2:6" x14ac:dyDescent="0.45">
      <c r="B733" s="132">
        <v>45225</v>
      </c>
      <c r="C733">
        <v>322.41864013671881</v>
      </c>
      <c r="D733">
        <v>4137.22998046875</v>
      </c>
      <c r="E733">
        <f t="shared" si="22"/>
        <v>-3.7514299475776114</v>
      </c>
      <c r="F733">
        <f t="shared" si="23"/>
        <v>-1.1832519778109618</v>
      </c>
    </row>
    <row r="734" spans="2:6" x14ac:dyDescent="0.45">
      <c r="B734" s="132">
        <v>45226</v>
      </c>
      <c r="C734">
        <v>324.306640625</v>
      </c>
      <c r="D734">
        <v>4117.3701171875</v>
      </c>
      <c r="E734">
        <f t="shared" si="22"/>
        <v>0.58557423586942381</v>
      </c>
      <c r="F734">
        <f t="shared" si="23"/>
        <v>-0.48002802297685276</v>
      </c>
    </row>
    <row r="735" spans="2:6" x14ac:dyDescent="0.45">
      <c r="B735" s="132">
        <v>45229</v>
      </c>
      <c r="C735">
        <v>331.68142700195313</v>
      </c>
      <c r="D735">
        <v>4166.81982421875</v>
      </c>
      <c r="E735">
        <f t="shared" si="22"/>
        <v>2.2740164563822995</v>
      </c>
      <c r="F735">
        <f t="shared" si="23"/>
        <v>1.2010022325859904</v>
      </c>
    </row>
    <row r="736" spans="2:6" x14ac:dyDescent="0.45">
      <c r="B736" s="132">
        <v>45230</v>
      </c>
      <c r="C736">
        <v>332.46807861328119</v>
      </c>
      <c r="D736">
        <v>4193.7998046875</v>
      </c>
      <c r="E736">
        <f t="shared" si="22"/>
        <v>0.23717083541232586</v>
      </c>
      <c r="F736">
        <f t="shared" si="23"/>
        <v>0.64749573072333533</v>
      </c>
    </row>
    <row r="737" spans="2:6" x14ac:dyDescent="0.45">
      <c r="B737" s="132">
        <v>45231</v>
      </c>
      <c r="C737">
        <v>340.2952880859375</v>
      </c>
      <c r="D737">
        <v>4237.85986328125</v>
      </c>
      <c r="E737">
        <f t="shared" si="22"/>
        <v>2.3542739818220859</v>
      </c>
      <c r="F737">
        <f t="shared" si="23"/>
        <v>1.0505999486313922</v>
      </c>
    </row>
    <row r="738" spans="2:6" x14ac:dyDescent="0.45">
      <c r="B738" s="132">
        <v>45232</v>
      </c>
      <c r="C738">
        <v>342.50775146484381</v>
      </c>
      <c r="D738">
        <v>4317.77978515625</v>
      </c>
      <c r="E738">
        <f t="shared" si="22"/>
        <v>0.65015986302683348</v>
      </c>
      <c r="F738">
        <f t="shared" si="23"/>
        <v>1.885855702012762</v>
      </c>
    </row>
    <row r="739" spans="2:6" x14ac:dyDescent="0.45">
      <c r="B739" s="132">
        <v>45233</v>
      </c>
      <c r="C739">
        <v>346.9129638671875</v>
      </c>
      <c r="D739">
        <v>4358.33984375</v>
      </c>
      <c r="E739">
        <f t="shared" si="22"/>
        <v>1.2861642936556672</v>
      </c>
      <c r="F739">
        <f t="shared" si="23"/>
        <v>0.93937302530313627</v>
      </c>
    </row>
    <row r="740" spans="2:6" x14ac:dyDescent="0.45">
      <c r="B740" s="132">
        <v>45236</v>
      </c>
      <c r="C740">
        <v>350.58071899414063</v>
      </c>
      <c r="D740">
        <v>4365.97998046875</v>
      </c>
      <c r="E740">
        <f t="shared" si="22"/>
        <v>1.0572551357167725</v>
      </c>
      <c r="F740">
        <f t="shared" si="23"/>
        <v>0.17529924220356374</v>
      </c>
    </row>
    <row r="741" spans="2:6" x14ac:dyDescent="0.45">
      <c r="B741" s="132">
        <v>45237</v>
      </c>
      <c r="C741">
        <v>354.51394653320313</v>
      </c>
      <c r="D741">
        <v>4378.3798828125</v>
      </c>
      <c r="E741">
        <f t="shared" si="22"/>
        <v>1.1219178140621677</v>
      </c>
      <c r="F741">
        <f t="shared" si="23"/>
        <v>0.28401189192852616</v>
      </c>
    </row>
    <row r="742" spans="2:6" x14ac:dyDescent="0.45">
      <c r="B742" s="132">
        <v>45238</v>
      </c>
      <c r="C742">
        <v>357.13946533203119</v>
      </c>
      <c r="D742">
        <v>4382.77978515625</v>
      </c>
      <c r="E742">
        <f t="shared" si="22"/>
        <v>0.74059675916928747</v>
      </c>
      <c r="F742">
        <f t="shared" si="23"/>
        <v>0.10049156221052513</v>
      </c>
    </row>
    <row r="743" spans="2:6" x14ac:dyDescent="0.45">
      <c r="B743" s="132">
        <v>45239</v>
      </c>
      <c r="C743">
        <v>354.67129516601563</v>
      </c>
      <c r="D743">
        <v>4347.35009765625</v>
      </c>
      <c r="E743">
        <f t="shared" si="22"/>
        <v>-0.69109420985465908</v>
      </c>
      <c r="F743">
        <f t="shared" si="23"/>
        <v>-0.80838393067328429</v>
      </c>
    </row>
    <row r="744" spans="2:6" x14ac:dyDescent="0.45">
      <c r="B744" s="132">
        <v>45240</v>
      </c>
      <c r="C744">
        <v>363.50146484375</v>
      </c>
      <c r="D744">
        <v>4415.240234375</v>
      </c>
      <c r="E744">
        <f t="shared" si="22"/>
        <v>2.4896770046194838</v>
      </c>
      <c r="F744">
        <f t="shared" si="23"/>
        <v>1.5616441094852496</v>
      </c>
    </row>
    <row r="745" spans="2:6" x14ac:dyDescent="0.45">
      <c r="B745" s="132">
        <v>45243</v>
      </c>
      <c r="C745">
        <v>360.56137084960938</v>
      </c>
      <c r="D745">
        <v>4411.5498046875</v>
      </c>
      <c r="E745">
        <f t="shared" si="22"/>
        <v>-0.80882589989133002</v>
      </c>
      <c r="F745">
        <f t="shared" si="23"/>
        <v>-8.3583893324035152E-2</v>
      </c>
    </row>
    <row r="746" spans="2:6" x14ac:dyDescent="0.45">
      <c r="B746" s="132">
        <v>45244</v>
      </c>
      <c r="C746">
        <v>364.09146118164063</v>
      </c>
      <c r="D746">
        <v>4495.7001953125</v>
      </c>
      <c r="E746">
        <f t="shared" si="22"/>
        <v>0.97905394682551439</v>
      </c>
      <c r="F746">
        <f t="shared" si="23"/>
        <v>1.9075017703661823</v>
      </c>
    </row>
    <row r="747" spans="2:6" x14ac:dyDescent="0.45">
      <c r="B747" s="132">
        <v>45245</v>
      </c>
      <c r="C747">
        <v>364.2392578125</v>
      </c>
      <c r="D747">
        <v>4502.8798828125</v>
      </c>
      <c r="E747">
        <f t="shared" si="22"/>
        <v>4.0593270267774706E-2</v>
      </c>
      <c r="F747">
        <f t="shared" si="23"/>
        <v>0.15970120755575135</v>
      </c>
    </row>
    <row r="748" spans="2:6" x14ac:dyDescent="0.45">
      <c r="B748" s="132">
        <v>45246</v>
      </c>
      <c r="C748">
        <v>370.64376831054688</v>
      </c>
      <c r="D748">
        <v>4508.240234375</v>
      </c>
      <c r="E748">
        <f t="shared" si="22"/>
        <v>1.758325155973095</v>
      </c>
      <c r="F748">
        <f t="shared" si="23"/>
        <v>0.11904273935798848</v>
      </c>
    </row>
    <row r="749" spans="2:6" x14ac:dyDescent="0.45">
      <c r="B749" s="132">
        <v>45247</v>
      </c>
      <c r="C749">
        <v>364.41659545898438</v>
      </c>
      <c r="D749">
        <v>4514.02001953125</v>
      </c>
      <c r="E749">
        <f t="shared" si="22"/>
        <v>-1.6800964656567552</v>
      </c>
      <c r="F749">
        <f t="shared" si="23"/>
        <v>0.12820490603360213</v>
      </c>
    </row>
    <row r="750" spans="2:6" x14ac:dyDescent="0.45">
      <c r="B750" s="132">
        <v>45250</v>
      </c>
      <c r="C750">
        <v>371.8951416015625</v>
      </c>
      <c r="D750">
        <v>4547.3798828125</v>
      </c>
      <c r="E750">
        <f t="shared" si="22"/>
        <v>2.0521969185181677</v>
      </c>
      <c r="F750">
        <f t="shared" si="23"/>
        <v>0.73902780973298388</v>
      </c>
    </row>
    <row r="751" spans="2:6" x14ac:dyDescent="0.45">
      <c r="B751" s="132">
        <v>45251</v>
      </c>
      <c r="C751">
        <v>367.58932495117188</v>
      </c>
      <c r="D751">
        <v>4538.18994140625</v>
      </c>
      <c r="E751">
        <f t="shared" si="22"/>
        <v>-1.1578039529765438</v>
      </c>
      <c r="F751">
        <f t="shared" si="23"/>
        <v>-0.20209310950652926</v>
      </c>
    </row>
    <row r="752" spans="2:6" x14ac:dyDescent="0.45">
      <c r="B752" s="132">
        <v>45252</v>
      </c>
      <c r="C752">
        <v>372.29904174804688</v>
      </c>
      <c r="D752">
        <v>4556.6201171875</v>
      </c>
      <c r="E752">
        <f t="shared" si="22"/>
        <v>1.2812441703797139</v>
      </c>
      <c r="F752">
        <f t="shared" si="23"/>
        <v>0.406112922094648</v>
      </c>
    </row>
    <row r="753" spans="2:6" x14ac:dyDescent="0.45">
      <c r="B753" s="132">
        <v>45254</v>
      </c>
      <c r="C753">
        <v>371.88522338867188</v>
      </c>
      <c r="D753">
        <v>4559.33984375</v>
      </c>
      <c r="E753">
        <f t="shared" si="22"/>
        <v>-0.11115214195341894</v>
      </c>
      <c r="F753">
        <f t="shared" si="23"/>
        <v>5.9687366788407914E-2</v>
      </c>
    </row>
    <row r="754" spans="2:6" x14ac:dyDescent="0.45">
      <c r="B754" s="132">
        <v>45257</v>
      </c>
      <c r="C754">
        <v>373.04791259765619</v>
      </c>
      <c r="D754">
        <v>4550.43017578125</v>
      </c>
      <c r="E754">
        <f t="shared" si="22"/>
        <v>0.31264732661053785</v>
      </c>
      <c r="F754">
        <f t="shared" si="23"/>
        <v>-0.19541574600900891</v>
      </c>
    </row>
    <row r="755" spans="2:6" x14ac:dyDescent="0.45">
      <c r="B755" s="132">
        <v>45258</v>
      </c>
      <c r="C755">
        <v>377.07785034179688</v>
      </c>
      <c r="D755">
        <v>4554.89013671875</v>
      </c>
      <c r="E755">
        <f t="shared" si="22"/>
        <v>1.0802735005482011</v>
      </c>
      <c r="F755">
        <f t="shared" si="23"/>
        <v>9.8011853060331333E-2</v>
      </c>
    </row>
    <row r="756" spans="2:6" x14ac:dyDescent="0.45">
      <c r="B756" s="132">
        <v>45259</v>
      </c>
      <c r="C756">
        <v>373.28439331054688</v>
      </c>
      <c r="D756">
        <v>4550.580078125</v>
      </c>
      <c r="E756">
        <f t="shared" si="22"/>
        <v>-1.0060142826770369</v>
      </c>
      <c r="F756">
        <f t="shared" si="23"/>
        <v>-9.4624863923831182E-2</v>
      </c>
    </row>
    <row r="757" spans="2:6" x14ac:dyDescent="0.45">
      <c r="B757" s="132">
        <v>45260</v>
      </c>
      <c r="C757">
        <v>373.34347534179688</v>
      </c>
      <c r="D757">
        <v>4567.7998046875</v>
      </c>
      <c r="E757">
        <f t="shared" si="22"/>
        <v>1.5827618917052533E-2</v>
      </c>
      <c r="F757">
        <f t="shared" si="23"/>
        <v>0.37840728581564065</v>
      </c>
    </row>
    <row r="758" spans="2:6" x14ac:dyDescent="0.45">
      <c r="B758" s="132">
        <v>45261</v>
      </c>
      <c r="C758">
        <v>369.0081787109375</v>
      </c>
      <c r="D758">
        <v>4594.6298828125</v>
      </c>
      <c r="E758">
        <f t="shared" si="22"/>
        <v>-1.161208623477461</v>
      </c>
      <c r="F758">
        <f t="shared" si="23"/>
        <v>0.58737421236076948</v>
      </c>
    </row>
    <row r="759" spans="2:6" x14ac:dyDescent="0.45">
      <c r="B759" s="132">
        <v>45264</v>
      </c>
      <c r="C759">
        <v>363.717041015625</v>
      </c>
      <c r="D759">
        <v>4569.77978515625</v>
      </c>
      <c r="E759">
        <f t="shared" si="22"/>
        <v>-1.4338808732630604</v>
      </c>
      <c r="F759">
        <f t="shared" si="23"/>
        <v>-0.54085091269721053</v>
      </c>
    </row>
    <row r="760" spans="2:6" x14ac:dyDescent="0.45">
      <c r="B760" s="132">
        <v>45265</v>
      </c>
      <c r="C760">
        <v>367.04736328125</v>
      </c>
      <c r="D760">
        <v>4567.18017578125</v>
      </c>
      <c r="E760">
        <f t="shared" si="22"/>
        <v>0.91563547760247221</v>
      </c>
      <c r="F760">
        <f t="shared" si="23"/>
        <v>-5.6886972616143616E-2</v>
      </c>
    </row>
    <row r="761" spans="2:6" x14ac:dyDescent="0.45">
      <c r="B761" s="132">
        <v>45266</v>
      </c>
      <c r="C761">
        <v>363.3819580078125</v>
      </c>
      <c r="D761">
        <v>4549.33984375</v>
      </c>
      <c r="E761">
        <f t="shared" si="22"/>
        <v>-0.99861915385259792</v>
      </c>
      <c r="F761">
        <f t="shared" si="23"/>
        <v>-0.39062028088695522</v>
      </c>
    </row>
    <row r="762" spans="2:6" x14ac:dyDescent="0.45">
      <c r="B762" s="132">
        <v>45267</v>
      </c>
      <c r="C762">
        <v>365.50048828125</v>
      </c>
      <c r="D762">
        <v>4585.58984375</v>
      </c>
      <c r="E762">
        <f t="shared" si="22"/>
        <v>0.58300370361039633</v>
      </c>
      <c r="F762">
        <f t="shared" si="23"/>
        <v>0.79681890658929166</v>
      </c>
    </row>
    <row r="763" spans="2:6" x14ac:dyDescent="0.45">
      <c r="B763" s="132">
        <v>45268</v>
      </c>
      <c r="C763">
        <v>368.73220825195313</v>
      </c>
      <c r="D763">
        <v>4604.3701171875</v>
      </c>
      <c r="E763">
        <f t="shared" si="22"/>
        <v>0.88419032923872098</v>
      </c>
      <c r="F763">
        <f t="shared" si="23"/>
        <v>0.40954978699407896</v>
      </c>
    </row>
    <row r="764" spans="2:6" x14ac:dyDescent="0.45">
      <c r="B764" s="132">
        <v>45271</v>
      </c>
      <c r="C764">
        <v>365.84527587890619</v>
      </c>
      <c r="D764">
        <v>4622.43994140625</v>
      </c>
      <c r="E764">
        <f t="shared" si="22"/>
        <v>-0.78293469039034669</v>
      </c>
      <c r="F764">
        <f t="shared" si="23"/>
        <v>0.3924494286698943</v>
      </c>
    </row>
    <row r="765" spans="2:6" x14ac:dyDescent="0.45">
      <c r="B765" s="132">
        <v>45272</v>
      </c>
      <c r="C765">
        <v>368.88003540039063</v>
      </c>
      <c r="D765">
        <v>4643.7001953125</v>
      </c>
      <c r="E765">
        <f t="shared" si="22"/>
        <v>0.82951994232909332</v>
      </c>
      <c r="F765">
        <f t="shared" si="23"/>
        <v>0.45993575202152304</v>
      </c>
    </row>
    <row r="766" spans="2:6" x14ac:dyDescent="0.45">
      <c r="B766" s="132">
        <v>45273</v>
      </c>
      <c r="C766">
        <v>368.87020874023438</v>
      </c>
      <c r="D766">
        <v>4707.08984375</v>
      </c>
      <c r="E766">
        <f t="shared" si="22"/>
        <v>-2.6639175919607183E-3</v>
      </c>
      <c r="F766">
        <f t="shared" si="23"/>
        <v>1.3650676351045998</v>
      </c>
    </row>
    <row r="767" spans="2:6" x14ac:dyDescent="0.45">
      <c r="B767" s="132">
        <v>45274</v>
      </c>
      <c r="C767">
        <v>360.55419921875</v>
      </c>
      <c r="D767">
        <v>4719.5498046875</v>
      </c>
      <c r="E767">
        <f t="shared" si="22"/>
        <v>-2.2544540937272206</v>
      </c>
      <c r="F767">
        <f t="shared" si="23"/>
        <v>0.26470624846992585</v>
      </c>
    </row>
    <row r="768" spans="2:6" x14ac:dyDescent="0.45">
      <c r="B768" s="132">
        <v>45275</v>
      </c>
      <c r="C768">
        <v>365.28372192382813</v>
      </c>
      <c r="D768">
        <v>4719.18994140625</v>
      </c>
      <c r="E768">
        <f t="shared" si="22"/>
        <v>1.3117369636315601</v>
      </c>
      <c r="F768">
        <f t="shared" si="23"/>
        <v>-7.62494933082003E-3</v>
      </c>
    </row>
    <row r="769" spans="2:6" x14ac:dyDescent="0.45">
      <c r="B769" s="132">
        <v>45278</v>
      </c>
      <c r="C769">
        <v>367.17544555664063</v>
      </c>
      <c r="D769">
        <v>4740.56005859375</v>
      </c>
      <c r="E769">
        <f t="shared" si="22"/>
        <v>0.51787789032848863</v>
      </c>
      <c r="F769">
        <f t="shared" si="23"/>
        <v>0.45283443669004164</v>
      </c>
    </row>
    <row r="770" spans="2:6" x14ac:dyDescent="0.45">
      <c r="B770" s="132">
        <v>45279</v>
      </c>
      <c r="C770">
        <v>367.77655029296881</v>
      </c>
      <c r="D770">
        <v>4768.3701171875</v>
      </c>
      <c r="E770">
        <f t="shared" si="22"/>
        <v>0.16371049415271344</v>
      </c>
      <c r="F770">
        <f t="shared" si="23"/>
        <v>0.58664078189105684</v>
      </c>
    </row>
    <row r="771" spans="2:6" x14ac:dyDescent="0.45">
      <c r="B771" s="132">
        <v>45280</v>
      </c>
      <c r="C771">
        <v>365.17526245117188</v>
      </c>
      <c r="D771">
        <v>4698.35009765625</v>
      </c>
      <c r="E771">
        <f t="shared" si="22"/>
        <v>-0.70730116961638112</v>
      </c>
      <c r="F771">
        <f t="shared" si="23"/>
        <v>-1.4684266911006771</v>
      </c>
    </row>
    <row r="772" spans="2:6" x14ac:dyDescent="0.45">
      <c r="B772" s="132">
        <v>45281</v>
      </c>
      <c r="C772">
        <v>368.05239868164063</v>
      </c>
      <c r="D772">
        <v>4746.75</v>
      </c>
      <c r="E772">
        <f t="shared" si="22"/>
        <v>0.7878781851641703</v>
      </c>
      <c r="F772">
        <f t="shared" si="23"/>
        <v>1.0301467821202559</v>
      </c>
    </row>
    <row r="773" spans="2:6" x14ac:dyDescent="0.45">
      <c r="B773" s="132">
        <v>45282</v>
      </c>
      <c r="C773">
        <v>369.07708740234381</v>
      </c>
      <c r="D773">
        <v>4754.6298828125</v>
      </c>
      <c r="E773">
        <f t="shared" si="22"/>
        <v>0.27840837999524304</v>
      </c>
      <c r="F773">
        <f t="shared" si="23"/>
        <v>0.16600585268868873</v>
      </c>
    </row>
    <row r="774" spans="2:6" x14ac:dyDescent="0.45">
      <c r="B774" s="132">
        <v>45286</v>
      </c>
      <c r="C774">
        <v>369.15597534179688</v>
      </c>
      <c r="D774">
        <v>4774.75</v>
      </c>
      <c r="E774">
        <f t="shared" si="22"/>
        <v>2.1374380080940725E-2</v>
      </c>
      <c r="F774">
        <f t="shared" si="23"/>
        <v>0.42316894655107795</v>
      </c>
    </row>
    <row r="775" spans="2:6" x14ac:dyDescent="0.45">
      <c r="B775" s="132">
        <v>45287</v>
      </c>
      <c r="C775">
        <v>368.57467651367188</v>
      </c>
      <c r="D775">
        <v>4781.580078125</v>
      </c>
      <c r="E775">
        <f t="shared" si="22"/>
        <v>-0.15746699686678411</v>
      </c>
      <c r="F775">
        <f t="shared" si="23"/>
        <v>0.14304577464787638</v>
      </c>
    </row>
    <row r="776" spans="2:6" x14ac:dyDescent="0.45">
      <c r="B776" s="132">
        <v>45288</v>
      </c>
      <c r="C776">
        <v>369.76681518554688</v>
      </c>
      <c r="D776">
        <v>4783.35009765625</v>
      </c>
      <c r="E776">
        <f t="shared" ref="E776:E839" si="24">((C776/C775)-1)*100</f>
        <v>0.32344562658275233</v>
      </c>
      <c r="F776">
        <f t="shared" ref="F776:F839" si="25">((D776/D775)-1)*100</f>
        <v>3.7017460804378288E-2</v>
      </c>
    </row>
    <row r="777" spans="2:6" x14ac:dyDescent="0.45">
      <c r="B777" s="132">
        <v>45289</v>
      </c>
      <c r="C777">
        <v>370.51568603515619</v>
      </c>
      <c r="D777">
        <v>4769.830078125</v>
      </c>
      <c r="E777">
        <f t="shared" si="24"/>
        <v>0.20252516419936306</v>
      </c>
      <c r="F777">
        <f t="shared" si="25"/>
        <v>-0.28264750133749628</v>
      </c>
    </row>
    <row r="778" spans="2:6" x14ac:dyDescent="0.45">
      <c r="B778" s="132">
        <v>45293</v>
      </c>
      <c r="C778">
        <v>365.42160034179688</v>
      </c>
      <c r="D778">
        <v>4742.830078125</v>
      </c>
      <c r="E778">
        <f t="shared" si="24"/>
        <v>-1.3748637062766522</v>
      </c>
      <c r="F778">
        <f t="shared" si="25"/>
        <v>-0.56605790054923277</v>
      </c>
    </row>
    <row r="779" spans="2:6" x14ac:dyDescent="0.45">
      <c r="B779" s="132">
        <v>45294</v>
      </c>
      <c r="C779">
        <v>365.155517578125</v>
      </c>
      <c r="D779">
        <v>4704.81005859375</v>
      </c>
      <c r="E779">
        <f t="shared" si="24"/>
        <v>-7.281528060273379E-2</v>
      </c>
      <c r="F779">
        <f t="shared" si="25"/>
        <v>-0.8016314922730805</v>
      </c>
    </row>
    <row r="780" spans="2:6" x14ac:dyDescent="0.45">
      <c r="B780" s="132">
        <v>45295</v>
      </c>
      <c r="C780">
        <v>362.53469848632813</v>
      </c>
      <c r="D780">
        <v>4688.68017578125</v>
      </c>
      <c r="E780">
        <f t="shared" si="24"/>
        <v>-0.71772682203443683</v>
      </c>
      <c r="F780">
        <f t="shared" si="25"/>
        <v>-0.34283812973570083</v>
      </c>
    </row>
    <row r="781" spans="2:6" x14ac:dyDescent="0.45">
      <c r="B781" s="132">
        <v>45296</v>
      </c>
      <c r="C781">
        <v>362.34747314453119</v>
      </c>
      <c r="D781">
        <v>4697.240234375</v>
      </c>
      <c r="E781">
        <f t="shared" si="24"/>
        <v>-5.1643426844005802E-2</v>
      </c>
      <c r="F781">
        <f t="shared" si="25"/>
        <v>0.18256861788026324</v>
      </c>
    </row>
    <row r="782" spans="2:6" x14ac:dyDescent="0.45">
      <c r="B782" s="132">
        <v>45299</v>
      </c>
      <c r="C782">
        <v>369.18548583984381</v>
      </c>
      <c r="D782">
        <v>4763.5400390625</v>
      </c>
      <c r="E782">
        <f t="shared" si="24"/>
        <v>1.8871423708218149</v>
      </c>
      <c r="F782">
        <f t="shared" si="25"/>
        <v>1.4114629309846638</v>
      </c>
    </row>
    <row r="783" spans="2:6" x14ac:dyDescent="0.45">
      <c r="B783" s="132">
        <v>45300</v>
      </c>
      <c r="C783">
        <v>370.26934814453119</v>
      </c>
      <c r="D783">
        <v>4756.5</v>
      </c>
      <c r="E783">
        <f t="shared" si="24"/>
        <v>0.29358204649398978</v>
      </c>
      <c r="F783">
        <f t="shared" si="25"/>
        <v>-0.14779006799081618</v>
      </c>
    </row>
    <row r="784" spans="2:6" x14ac:dyDescent="0.45">
      <c r="B784" s="132">
        <v>45301</v>
      </c>
      <c r="C784">
        <v>377.14678955078119</v>
      </c>
      <c r="D784">
        <v>4783.4501953125</v>
      </c>
      <c r="E784">
        <f t="shared" si="24"/>
        <v>1.8574158084415426</v>
      </c>
      <c r="F784">
        <f t="shared" si="25"/>
        <v>0.56659718937244197</v>
      </c>
    </row>
    <row r="785" spans="2:6" x14ac:dyDescent="0.45">
      <c r="B785" s="132">
        <v>45302</v>
      </c>
      <c r="C785">
        <v>378.9794921875</v>
      </c>
      <c r="D785">
        <v>4780.240234375</v>
      </c>
      <c r="E785">
        <f t="shared" si="24"/>
        <v>0.48593881414229489</v>
      </c>
      <c r="F785">
        <f t="shared" si="25"/>
        <v>-6.7105557838686991E-2</v>
      </c>
    </row>
    <row r="786" spans="2:6" x14ac:dyDescent="0.45">
      <c r="B786" s="132">
        <v>45303</v>
      </c>
      <c r="C786">
        <v>382.76300048828119</v>
      </c>
      <c r="D786">
        <v>4783.830078125</v>
      </c>
      <c r="E786">
        <f t="shared" si="24"/>
        <v>0.99834117116535115</v>
      </c>
      <c r="F786">
        <f t="shared" si="25"/>
        <v>7.5097559411041459E-2</v>
      </c>
    </row>
    <row r="787" spans="2:6" x14ac:dyDescent="0.45">
      <c r="B787" s="132">
        <v>45307</v>
      </c>
      <c r="C787">
        <v>384.53662109375</v>
      </c>
      <c r="D787">
        <v>4765.97998046875</v>
      </c>
      <c r="E787">
        <f t="shared" si="24"/>
        <v>0.46337305413695073</v>
      </c>
      <c r="F787">
        <f t="shared" si="25"/>
        <v>-0.37313402367431525</v>
      </c>
    </row>
    <row r="788" spans="2:6" x14ac:dyDescent="0.45">
      <c r="B788" s="132">
        <v>45308</v>
      </c>
      <c r="C788">
        <v>383.7484130859375</v>
      </c>
      <c r="D788">
        <v>4739.2099609375</v>
      </c>
      <c r="E788">
        <f t="shared" si="24"/>
        <v>-0.2049760580853377</v>
      </c>
      <c r="F788">
        <f t="shared" si="25"/>
        <v>-0.56168971839904991</v>
      </c>
    </row>
    <row r="789" spans="2:6" x14ac:dyDescent="0.45">
      <c r="B789" s="132">
        <v>45309</v>
      </c>
      <c r="C789">
        <v>388.083740234375</v>
      </c>
      <c r="D789">
        <v>4780.93994140625</v>
      </c>
      <c r="E789">
        <f t="shared" si="24"/>
        <v>1.1297316159758708</v>
      </c>
      <c r="F789">
        <f t="shared" si="25"/>
        <v>0.8805260963896</v>
      </c>
    </row>
    <row r="790" spans="2:6" x14ac:dyDescent="0.45">
      <c r="B790" s="132">
        <v>45310</v>
      </c>
      <c r="C790">
        <v>392.81320190429688</v>
      </c>
      <c r="D790">
        <v>4839.81005859375</v>
      </c>
      <c r="E790">
        <f t="shared" si="24"/>
        <v>1.2186704001218018</v>
      </c>
      <c r="F790">
        <f t="shared" si="25"/>
        <v>1.2313502764936146</v>
      </c>
    </row>
    <row r="791" spans="2:6" x14ac:dyDescent="0.45">
      <c r="B791" s="132">
        <v>45313</v>
      </c>
      <c r="C791">
        <v>390.68496704101563</v>
      </c>
      <c r="D791">
        <v>4850.43017578125</v>
      </c>
      <c r="E791">
        <f t="shared" si="24"/>
        <v>-0.54179311004922681</v>
      </c>
      <c r="F791">
        <f t="shared" si="25"/>
        <v>0.21943252026270788</v>
      </c>
    </row>
    <row r="792" spans="2:6" x14ac:dyDescent="0.45">
      <c r="B792" s="132">
        <v>45314</v>
      </c>
      <c r="C792">
        <v>393.03982543945313</v>
      </c>
      <c r="D792">
        <v>4864.60009765625</v>
      </c>
      <c r="E792">
        <f t="shared" si="24"/>
        <v>0.60275121827000344</v>
      </c>
      <c r="F792">
        <f t="shared" si="25"/>
        <v>0.2921374261968035</v>
      </c>
    </row>
    <row r="793" spans="2:6" x14ac:dyDescent="0.45">
      <c r="B793" s="132">
        <v>45315</v>
      </c>
      <c r="C793">
        <v>396.64605712890619</v>
      </c>
      <c r="D793">
        <v>4868.5498046875</v>
      </c>
      <c r="E793">
        <f t="shared" si="24"/>
        <v>0.91752322692006949</v>
      </c>
      <c r="F793">
        <f t="shared" si="25"/>
        <v>8.1192841178312491E-2</v>
      </c>
    </row>
    <row r="794" spans="2:6" x14ac:dyDescent="0.45">
      <c r="B794" s="132">
        <v>45316</v>
      </c>
      <c r="C794">
        <v>398.92214965820313</v>
      </c>
      <c r="D794">
        <v>4894.16015625</v>
      </c>
      <c r="E794">
        <f t="shared" si="24"/>
        <v>0.57383465394116318</v>
      </c>
      <c r="F794">
        <f t="shared" si="25"/>
        <v>0.52603655277063677</v>
      </c>
    </row>
    <row r="795" spans="2:6" x14ac:dyDescent="0.45">
      <c r="B795" s="132">
        <v>45317</v>
      </c>
      <c r="C795">
        <v>397.99594116210938</v>
      </c>
      <c r="D795">
        <v>4890.97021484375</v>
      </c>
      <c r="E795">
        <f t="shared" si="24"/>
        <v>-0.23217775620815173</v>
      </c>
      <c r="F795">
        <f t="shared" si="25"/>
        <v>-6.5178525107645324E-2</v>
      </c>
    </row>
    <row r="796" spans="2:6" x14ac:dyDescent="0.45">
      <c r="B796" s="132">
        <v>45320</v>
      </c>
      <c r="C796">
        <v>403.70089721679688</v>
      </c>
      <c r="D796">
        <v>4927.93017578125</v>
      </c>
      <c r="E796">
        <f t="shared" si="24"/>
        <v>1.4334206620373102</v>
      </c>
      <c r="F796">
        <f t="shared" si="25"/>
        <v>0.75567748961808956</v>
      </c>
    </row>
    <row r="797" spans="2:6" x14ac:dyDescent="0.45">
      <c r="B797" s="132">
        <v>45321</v>
      </c>
      <c r="C797">
        <v>402.58746337890619</v>
      </c>
      <c r="D797">
        <v>4924.97021484375</v>
      </c>
      <c r="E797">
        <f t="shared" si="24"/>
        <v>-0.27580662950390522</v>
      </c>
      <c r="F797">
        <f t="shared" si="25"/>
        <v>-6.0064993453989857E-2</v>
      </c>
    </row>
    <row r="798" spans="2:6" x14ac:dyDescent="0.45">
      <c r="B798" s="132">
        <v>45322</v>
      </c>
      <c r="C798">
        <v>391.73919677734381</v>
      </c>
      <c r="D798">
        <v>4845.64990234375</v>
      </c>
      <c r="E798">
        <f t="shared" si="24"/>
        <v>-2.6946359706567002</v>
      </c>
      <c r="F798">
        <f t="shared" si="25"/>
        <v>-1.6105744611597972</v>
      </c>
    </row>
    <row r="799" spans="2:6" x14ac:dyDescent="0.45">
      <c r="B799" s="132">
        <v>45323</v>
      </c>
      <c r="C799">
        <v>397.84814453125</v>
      </c>
      <c r="D799">
        <v>4906.18994140625</v>
      </c>
      <c r="E799">
        <f t="shared" si="24"/>
        <v>1.5594425587640126</v>
      </c>
      <c r="F799">
        <f t="shared" si="25"/>
        <v>1.2493688211609788</v>
      </c>
    </row>
    <row r="800" spans="2:6" x14ac:dyDescent="0.45">
      <c r="B800" s="132">
        <v>45324</v>
      </c>
      <c r="C800">
        <v>405.17886352539063</v>
      </c>
      <c r="D800">
        <v>4958.60986328125</v>
      </c>
      <c r="E800">
        <f t="shared" si="24"/>
        <v>1.8425922289464935</v>
      </c>
      <c r="F800">
        <f t="shared" si="25"/>
        <v>1.068444607751462</v>
      </c>
    </row>
    <row r="801" spans="2:6" x14ac:dyDescent="0.45">
      <c r="B801" s="132">
        <v>45327</v>
      </c>
      <c r="C801">
        <v>399.690673828125</v>
      </c>
      <c r="D801">
        <v>4942.81005859375</v>
      </c>
      <c r="E801">
        <f t="shared" si="24"/>
        <v>-1.3545103635253408</v>
      </c>
      <c r="F801">
        <f t="shared" si="25"/>
        <v>-0.31863375266721894</v>
      </c>
    </row>
    <row r="802" spans="2:6" x14ac:dyDescent="0.45">
      <c r="B802" s="132">
        <v>45328</v>
      </c>
      <c r="C802">
        <v>399.53302001953119</v>
      </c>
      <c r="D802">
        <v>4954.22998046875</v>
      </c>
      <c r="E802">
        <f t="shared" si="24"/>
        <v>-3.9443954767282019E-2</v>
      </c>
      <c r="F802">
        <f t="shared" si="25"/>
        <v>0.23104108269635937</v>
      </c>
    </row>
    <row r="803" spans="2:6" x14ac:dyDescent="0.45">
      <c r="B803" s="132">
        <v>45329</v>
      </c>
      <c r="C803">
        <v>407.96725463867188</v>
      </c>
      <c r="D803">
        <v>4995.06005859375</v>
      </c>
      <c r="E803">
        <f t="shared" si="24"/>
        <v>2.1110231686803704</v>
      </c>
      <c r="F803">
        <f t="shared" si="25"/>
        <v>0.8241457963390042</v>
      </c>
    </row>
    <row r="804" spans="2:6" x14ac:dyDescent="0.45">
      <c r="B804" s="132">
        <v>45330</v>
      </c>
      <c r="C804">
        <v>408.02633666992188</v>
      </c>
      <c r="D804">
        <v>4997.91015625</v>
      </c>
      <c r="E804">
        <f t="shared" si="24"/>
        <v>1.448205231626698E-2</v>
      </c>
      <c r="F804">
        <f t="shared" si="25"/>
        <v>5.7058326082515265E-2</v>
      </c>
    </row>
    <row r="805" spans="2:6" x14ac:dyDescent="0.45">
      <c r="B805" s="132">
        <v>45331</v>
      </c>
      <c r="C805">
        <v>414.37176513671881</v>
      </c>
      <c r="D805">
        <v>5026.60986328125</v>
      </c>
      <c r="E805">
        <f t="shared" si="24"/>
        <v>1.5551516891249451</v>
      </c>
      <c r="F805">
        <f t="shared" si="25"/>
        <v>0.57423415255595245</v>
      </c>
    </row>
    <row r="806" spans="2:6" x14ac:dyDescent="0.45">
      <c r="B806" s="132">
        <v>45334</v>
      </c>
      <c r="C806">
        <v>409.15951538085938</v>
      </c>
      <c r="D806">
        <v>5021.83984375</v>
      </c>
      <c r="E806">
        <f t="shared" si="24"/>
        <v>-1.2578679809759019</v>
      </c>
      <c r="F806">
        <f t="shared" si="25"/>
        <v>-9.489536011326738E-2</v>
      </c>
    </row>
    <row r="807" spans="2:6" x14ac:dyDescent="0.45">
      <c r="B807" s="132">
        <v>45335</v>
      </c>
      <c r="C807">
        <v>400.35079956054688</v>
      </c>
      <c r="D807">
        <v>4953.169921875</v>
      </c>
      <c r="E807">
        <f t="shared" si="24"/>
        <v>-2.152880597708462</v>
      </c>
      <c r="F807">
        <f t="shared" si="25"/>
        <v>-1.3674255653625456</v>
      </c>
    </row>
    <row r="808" spans="2:6" x14ac:dyDescent="0.45">
      <c r="B808" s="132">
        <v>45336</v>
      </c>
      <c r="C808">
        <v>404.22039794921881</v>
      </c>
      <c r="D808">
        <v>5000.6201171875</v>
      </c>
      <c r="E808">
        <f t="shared" si="24"/>
        <v>0.96655193218533331</v>
      </c>
      <c r="F808">
        <f t="shared" si="25"/>
        <v>0.95797632750176387</v>
      </c>
    </row>
    <row r="809" spans="2:6" x14ac:dyDescent="0.45">
      <c r="B809" s="132">
        <v>45337</v>
      </c>
      <c r="C809">
        <v>401.32806396484381</v>
      </c>
      <c r="D809">
        <v>5029.72998046875</v>
      </c>
      <c r="E809">
        <f t="shared" si="24"/>
        <v>-0.71553390156682273</v>
      </c>
      <c r="F809">
        <f t="shared" si="25"/>
        <v>0.58212506847294954</v>
      </c>
    </row>
    <row r="810" spans="2:6" x14ac:dyDescent="0.45">
      <c r="B810" s="132">
        <v>45338</v>
      </c>
      <c r="C810">
        <v>398.86026000976563</v>
      </c>
      <c r="D810">
        <v>5005.56982421875</v>
      </c>
      <c r="E810">
        <f t="shared" si="24"/>
        <v>-0.61490939125911082</v>
      </c>
      <c r="F810">
        <f t="shared" si="25"/>
        <v>-0.48034698371121065</v>
      </c>
    </row>
    <row r="811" spans="2:6" x14ac:dyDescent="0.45">
      <c r="B811" s="132">
        <v>45342</v>
      </c>
      <c r="C811">
        <v>397.6065673828125</v>
      </c>
      <c r="D811">
        <v>4975.509765625</v>
      </c>
      <c r="E811">
        <f t="shared" si="24"/>
        <v>-0.31431876089195177</v>
      </c>
      <c r="F811">
        <f t="shared" si="25"/>
        <v>-0.60053220011653252</v>
      </c>
    </row>
    <row r="812" spans="2:6" x14ac:dyDescent="0.45">
      <c r="B812" s="132">
        <v>45343</v>
      </c>
      <c r="C812">
        <v>397.00442504882813</v>
      </c>
      <c r="D812">
        <v>4981.7998046875</v>
      </c>
      <c r="E812">
        <f t="shared" si="24"/>
        <v>-0.15144174754151418</v>
      </c>
      <c r="F812">
        <f t="shared" si="25"/>
        <v>0.1264199922982101</v>
      </c>
    </row>
    <row r="813" spans="2:6" x14ac:dyDescent="0.45">
      <c r="B813" s="132">
        <v>45344</v>
      </c>
      <c r="C813">
        <v>406.35256958007813</v>
      </c>
      <c r="D813">
        <v>5087.02978515625</v>
      </c>
      <c r="E813">
        <f t="shared" si="24"/>
        <v>2.3546701098105638</v>
      </c>
      <c r="F813">
        <f t="shared" si="25"/>
        <v>2.112288421741404</v>
      </c>
    </row>
    <row r="814" spans="2:6" x14ac:dyDescent="0.45">
      <c r="B814" s="132">
        <v>45345</v>
      </c>
      <c r="C814">
        <v>405.0594482421875</v>
      </c>
      <c r="D814">
        <v>5088.7998046875</v>
      </c>
      <c r="E814">
        <f t="shared" si="24"/>
        <v>-0.31822644538138656</v>
      </c>
      <c r="F814">
        <f t="shared" si="25"/>
        <v>3.4794754621159107E-2</v>
      </c>
    </row>
    <row r="815" spans="2:6" x14ac:dyDescent="0.45">
      <c r="B815" s="132">
        <v>45348</v>
      </c>
      <c r="C815">
        <v>402.29547119140619</v>
      </c>
      <c r="D815">
        <v>5069.52978515625</v>
      </c>
      <c r="E815">
        <f t="shared" si="24"/>
        <v>-0.68236330809612333</v>
      </c>
      <c r="F815">
        <f t="shared" si="25"/>
        <v>-0.37867513501905758</v>
      </c>
    </row>
    <row r="816" spans="2:6" x14ac:dyDescent="0.45">
      <c r="B816" s="132">
        <v>45349</v>
      </c>
      <c r="C816">
        <v>402.23626708984381</v>
      </c>
      <c r="D816">
        <v>5078.18017578125</v>
      </c>
      <c r="E816">
        <f t="shared" si="24"/>
        <v>-1.4716571724526784E-2</v>
      </c>
      <c r="F816">
        <f t="shared" si="25"/>
        <v>0.17063496993998672</v>
      </c>
    </row>
    <row r="817" spans="2:6" x14ac:dyDescent="0.45">
      <c r="B817" s="132">
        <v>45350</v>
      </c>
      <c r="C817">
        <v>402.47314453125</v>
      </c>
      <c r="D817">
        <v>5069.759765625</v>
      </c>
      <c r="E817">
        <f t="shared" si="24"/>
        <v>5.8890125229127399E-2</v>
      </c>
      <c r="F817">
        <f t="shared" si="25"/>
        <v>-0.16581550604305439</v>
      </c>
    </row>
    <row r="818" spans="2:6" x14ac:dyDescent="0.45">
      <c r="B818" s="132">
        <v>45351</v>
      </c>
      <c r="C818">
        <v>408.3170166015625</v>
      </c>
      <c r="D818">
        <v>5096.27001953125</v>
      </c>
      <c r="E818">
        <f t="shared" si="24"/>
        <v>1.4519905612879302</v>
      </c>
      <c r="F818">
        <f t="shared" si="25"/>
        <v>0.52290946971491614</v>
      </c>
    </row>
    <row r="819" spans="2:6" x14ac:dyDescent="0.45">
      <c r="B819" s="132">
        <v>45352</v>
      </c>
      <c r="C819">
        <v>410.15304565429688</v>
      </c>
      <c r="D819">
        <v>5137.080078125</v>
      </c>
      <c r="E819">
        <f t="shared" si="24"/>
        <v>0.44965773604432879</v>
      </c>
      <c r="F819">
        <f t="shared" si="25"/>
        <v>0.80078289488876297</v>
      </c>
    </row>
    <row r="820" spans="2:6" x14ac:dyDescent="0.45">
      <c r="B820" s="132">
        <v>45355</v>
      </c>
      <c r="C820">
        <v>409.58050537109381</v>
      </c>
      <c r="D820">
        <v>5130.9501953125</v>
      </c>
      <c r="E820">
        <f t="shared" si="24"/>
        <v>-0.13959186437094706</v>
      </c>
      <c r="F820">
        <f t="shared" si="25"/>
        <v>-0.11932620709189656</v>
      </c>
    </row>
    <row r="821" spans="2:6" x14ac:dyDescent="0.45">
      <c r="B821" s="132">
        <v>45356</v>
      </c>
      <c r="C821">
        <v>397.46835327148438</v>
      </c>
      <c r="D821">
        <v>5078.64990234375</v>
      </c>
      <c r="E821">
        <f t="shared" si="24"/>
        <v>-2.95720913001839</v>
      </c>
      <c r="F821">
        <f t="shared" si="25"/>
        <v>-1.0193100883444606</v>
      </c>
    </row>
    <row r="822" spans="2:6" x14ac:dyDescent="0.45">
      <c r="B822" s="132">
        <v>45357</v>
      </c>
      <c r="C822">
        <v>396.91561889648438</v>
      </c>
      <c r="D822">
        <v>5104.759765625</v>
      </c>
      <c r="E822">
        <f t="shared" si="24"/>
        <v>-0.13906374443413139</v>
      </c>
      <c r="F822">
        <f t="shared" si="25"/>
        <v>0.51411032032746551</v>
      </c>
    </row>
    <row r="823" spans="2:6" x14ac:dyDescent="0.45">
      <c r="B823" s="132">
        <v>45358</v>
      </c>
      <c r="C823">
        <v>403.8748779296875</v>
      </c>
      <c r="D823">
        <v>5157.35986328125</v>
      </c>
      <c r="E823">
        <f t="shared" si="24"/>
        <v>1.7533346388714621</v>
      </c>
      <c r="F823">
        <f t="shared" si="25"/>
        <v>1.0304127925951478</v>
      </c>
    </row>
    <row r="824" spans="2:6" x14ac:dyDescent="0.45">
      <c r="B824" s="132">
        <v>45359</v>
      </c>
      <c r="C824">
        <v>400.99249267578119</v>
      </c>
      <c r="D824">
        <v>5123.68994140625</v>
      </c>
      <c r="E824">
        <f t="shared" si="24"/>
        <v>-0.71368272983003411</v>
      </c>
      <c r="F824">
        <f t="shared" si="25"/>
        <v>-0.65285190034379825</v>
      </c>
    </row>
    <row r="825" spans="2:6" x14ac:dyDescent="0.45">
      <c r="B825" s="132">
        <v>45362</v>
      </c>
      <c r="C825">
        <v>399.31430053710938</v>
      </c>
      <c r="D825">
        <v>5117.93994140625</v>
      </c>
      <c r="E825">
        <f t="shared" si="24"/>
        <v>-0.41850961534801723</v>
      </c>
      <c r="F825">
        <f t="shared" si="25"/>
        <v>-0.1122238087346461</v>
      </c>
    </row>
    <row r="826" spans="2:6" x14ac:dyDescent="0.45">
      <c r="B826" s="132">
        <v>45363</v>
      </c>
      <c r="C826">
        <v>409.93588256835938</v>
      </c>
      <c r="D826">
        <v>5175.27001953125</v>
      </c>
      <c r="E826">
        <f t="shared" si="24"/>
        <v>2.6599553326698055</v>
      </c>
      <c r="F826">
        <f t="shared" si="25"/>
        <v>1.1201787981366396</v>
      </c>
    </row>
    <row r="827" spans="2:6" x14ac:dyDescent="0.45">
      <c r="B827" s="132">
        <v>45364</v>
      </c>
      <c r="C827">
        <v>409.7581787109375</v>
      </c>
      <c r="D827">
        <v>5165.31005859375</v>
      </c>
      <c r="E827">
        <f t="shared" si="24"/>
        <v>-4.3349183367047406E-2</v>
      </c>
      <c r="F827">
        <f t="shared" si="25"/>
        <v>-0.19245297153407392</v>
      </c>
    </row>
    <row r="828" spans="2:6" x14ac:dyDescent="0.45">
      <c r="B828" s="132">
        <v>45365</v>
      </c>
      <c r="C828">
        <v>419.7479248046875</v>
      </c>
      <c r="D828">
        <v>5150.47998046875</v>
      </c>
      <c r="E828">
        <f t="shared" si="24"/>
        <v>2.4379613666716482</v>
      </c>
      <c r="F828">
        <f t="shared" si="25"/>
        <v>-0.28710915621273925</v>
      </c>
    </row>
    <row r="829" spans="2:6" x14ac:dyDescent="0.45">
      <c r="B829" s="132">
        <v>45366</v>
      </c>
      <c r="C829">
        <v>411.06118774414063</v>
      </c>
      <c r="D829">
        <v>5117.08984375</v>
      </c>
      <c r="E829">
        <f t="shared" si="24"/>
        <v>-2.0695128069040281</v>
      </c>
      <c r="F829">
        <f t="shared" si="25"/>
        <v>-0.64829174844615034</v>
      </c>
    </row>
    <row r="830" spans="2:6" x14ac:dyDescent="0.45">
      <c r="B830" s="132">
        <v>45369</v>
      </c>
      <c r="C830">
        <v>411.94961547851563</v>
      </c>
      <c r="D830">
        <v>5149.419921875</v>
      </c>
      <c r="E830">
        <f t="shared" si="24"/>
        <v>0.2161302893251893</v>
      </c>
      <c r="F830">
        <f t="shared" si="25"/>
        <v>0.63180595049523447</v>
      </c>
    </row>
    <row r="831" spans="2:6" x14ac:dyDescent="0.45">
      <c r="B831" s="132">
        <v>45370</v>
      </c>
      <c r="C831">
        <v>415.98696899414063</v>
      </c>
      <c r="D831">
        <v>5178.509765625</v>
      </c>
      <c r="E831">
        <f t="shared" si="24"/>
        <v>0.98006002771364731</v>
      </c>
      <c r="F831">
        <f t="shared" si="25"/>
        <v>0.56491496501236416</v>
      </c>
    </row>
    <row r="832" spans="2:6" x14ac:dyDescent="0.45">
      <c r="B832" s="132">
        <v>45371</v>
      </c>
      <c r="C832">
        <v>419.75787353515619</v>
      </c>
      <c r="D832">
        <v>5224.6201171875</v>
      </c>
      <c r="E832">
        <f t="shared" si="24"/>
        <v>0.90649583330306704</v>
      </c>
      <c r="F832">
        <f t="shared" si="25"/>
        <v>0.89041739128465913</v>
      </c>
    </row>
    <row r="833" spans="2:6" x14ac:dyDescent="0.45">
      <c r="B833" s="132">
        <v>45372</v>
      </c>
      <c r="C833">
        <v>423.8446044921875</v>
      </c>
      <c r="D833">
        <v>5241.52978515625</v>
      </c>
      <c r="E833">
        <f t="shared" si="24"/>
        <v>0.97359244809711587</v>
      </c>
      <c r="F833">
        <f t="shared" si="25"/>
        <v>0.32365354015160275</v>
      </c>
    </row>
    <row r="834" spans="2:6" x14ac:dyDescent="0.45">
      <c r="B834" s="132">
        <v>45373</v>
      </c>
      <c r="C834">
        <v>423.22268676757813</v>
      </c>
      <c r="D834">
        <v>5234.18017578125</v>
      </c>
      <c r="E834">
        <f t="shared" si="24"/>
        <v>-0.14673248592004251</v>
      </c>
      <c r="F834">
        <f t="shared" si="25"/>
        <v>-0.14021878490156903</v>
      </c>
    </row>
    <row r="835" spans="2:6" x14ac:dyDescent="0.45">
      <c r="B835" s="132">
        <v>45376</v>
      </c>
      <c r="C835">
        <v>417.41830444335938</v>
      </c>
      <c r="D835">
        <v>5218.18994140625</v>
      </c>
      <c r="E835">
        <f t="shared" si="24"/>
        <v>-1.3714723963761277</v>
      </c>
      <c r="F835">
        <f t="shared" si="25"/>
        <v>-0.30549644525015296</v>
      </c>
    </row>
    <row r="836" spans="2:6" x14ac:dyDescent="0.45">
      <c r="B836" s="132">
        <v>45377</v>
      </c>
      <c r="C836">
        <v>416.223876953125</v>
      </c>
      <c r="D836">
        <v>5203.580078125</v>
      </c>
      <c r="E836">
        <f t="shared" si="24"/>
        <v>-0.28614640937396629</v>
      </c>
      <c r="F836">
        <f t="shared" si="25"/>
        <v>-0.2799795225030266</v>
      </c>
    </row>
    <row r="837" spans="2:6" x14ac:dyDescent="0.45">
      <c r="B837" s="132">
        <v>45378</v>
      </c>
      <c r="C837">
        <v>416.0067138671875</v>
      </c>
      <c r="D837">
        <v>5248.490234375</v>
      </c>
      <c r="E837">
        <f t="shared" si="24"/>
        <v>-5.217458631330274E-2</v>
      </c>
      <c r="F837">
        <f t="shared" si="25"/>
        <v>0.86306265255329251</v>
      </c>
    </row>
    <row r="838" spans="2:6" x14ac:dyDescent="0.45">
      <c r="B838" s="132">
        <v>45379</v>
      </c>
      <c r="C838">
        <v>415.30587768554688</v>
      </c>
      <c r="D838">
        <v>5254.35009765625</v>
      </c>
      <c r="E838">
        <f t="shared" si="24"/>
        <v>-0.1684675170565586</v>
      </c>
      <c r="F838">
        <f t="shared" si="25"/>
        <v>0.11164855071790214</v>
      </c>
    </row>
    <row r="839" spans="2:6" x14ac:dyDescent="0.45">
      <c r="B839" s="132">
        <v>45383</v>
      </c>
      <c r="C839">
        <v>419.10635375976563</v>
      </c>
      <c r="D839">
        <v>5243.77001953125</v>
      </c>
      <c r="E839">
        <f t="shared" si="24"/>
        <v>0.91510288643117388</v>
      </c>
      <c r="F839">
        <f t="shared" si="25"/>
        <v>-0.20135845401164643</v>
      </c>
    </row>
    <row r="840" spans="2:6" x14ac:dyDescent="0.45">
      <c r="B840" s="132">
        <v>45384</v>
      </c>
      <c r="C840">
        <v>416.0166015625</v>
      </c>
      <c r="D840">
        <v>5205.81005859375</v>
      </c>
      <c r="E840">
        <f t="shared" ref="E840:E903" si="26">((C840/C839)-1)*100</f>
        <v>-0.73722389783589248</v>
      </c>
      <c r="F840">
        <f t="shared" ref="F840:F903" si="27">((D840/D839)-1)*100</f>
        <v>-0.72390590731691296</v>
      </c>
    </row>
    <row r="841" spans="2:6" x14ac:dyDescent="0.45">
      <c r="B841" s="132">
        <v>45385</v>
      </c>
      <c r="C841">
        <v>415.03933715820313</v>
      </c>
      <c r="D841">
        <v>5211.490234375</v>
      </c>
      <c r="E841">
        <f t="shared" si="26"/>
        <v>-0.23490995326301833</v>
      </c>
      <c r="F841">
        <f t="shared" si="27"/>
        <v>0.1091122364688113</v>
      </c>
    </row>
    <row r="842" spans="2:6" x14ac:dyDescent="0.45">
      <c r="B842" s="132">
        <v>45386</v>
      </c>
      <c r="C842">
        <v>412.50241088867188</v>
      </c>
      <c r="D842">
        <v>5147.2099609375</v>
      </c>
      <c r="E842">
        <f t="shared" si="26"/>
        <v>-0.61124959549658797</v>
      </c>
      <c r="F842">
        <f t="shared" si="27"/>
        <v>-1.2334336350379616</v>
      </c>
    </row>
    <row r="843" spans="2:6" x14ac:dyDescent="0.45">
      <c r="B843" s="132">
        <v>45387</v>
      </c>
      <c r="C843">
        <v>420.04409790039063</v>
      </c>
      <c r="D843">
        <v>5204.33984375</v>
      </c>
      <c r="E843">
        <f t="shared" si="26"/>
        <v>1.8282770749076027</v>
      </c>
      <c r="F843">
        <f t="shared" si="27"/>
        <v>1.1099194174331695</v>
      </c>
    </row>
    <row r="844" spans="2:6" x14ac:dyDescent="0.45">
      <c r="B844" s="132">
        <v>45390</v>
      </c>
      <c r="C844">
        <v>419.12606811523438</v>
      </c>
      <c r="D844">
        <v>5202.39013671875</v>
      </c>
      <c r="E844">
        <f t="shared" si="26"/>
        <v>-0.21855557303270823</v>
      </c>
      <c r="F844">
        <f t="shared" si="27"/>
        <v>-3.7463099831791524E-2</v>
      </c>
    </row>
    <row r="845" spans="2:6" x14ac:dyDescent="0.45">
      <c r="B845" s="132">
        <v>45391</v>
      </c>
      <c r="C845">
        <v>420.7943115234375</v>
      </c>
      <c r="D845">
        <v>5209.91015625</v>
      </c>
      <c r="E845">
        <f t="shared" si="26"/>
        <v>0.39802902637504634</v>
      </c>
      <c r="F845">
        <f t="shared" si="27"/>
        <v>0.14454931932483817</v>
      </c>
    </row>
    <row r="846" spans="2:6" x14ac:dyDescent="0.45">
      <c r="B846" s="132">
        <v>45392</v>
      </c>
      <c r="C846">
        <v>417.81314086914063</v>
      </c>
      <c r="D846">
        <v>5160.64013671875</v>
      </c>
      <c r="E846">
        <f t="shared" si="26"/>
        <v>-0.70846267942736851</v>
      </c>
      <c r="F846">
        <f t="shared" si="27"/>
        <v>-0.94569806491084929</v>
      </c>
    </row>
    <row r="847" spans="2:6" x14ac:dyDescent="0.45">
      <c r="B847" s="132">
        <v>45393</v>
      </c>
      <c r="C847">
        <v>422.42303466796881</v>
      </c>
      <c r="D847">
        <v>5199.06005859375</v>
      </c>
      <c r="E847">
        <f t="shared" si="26"/>
        <v>1.1033386334471373</v>
      </c>
      <c r="F847">
        <f t="shared" si="27"/>
        <v>0.74447977105855934</v>
      </c>
    </row>
    <row r="848" spans="2:6" x14ac:dyDescent="0.45">
      <c r="B848" s="132">
        <v>45394</v>
      </c>
      <c r="C848">
        <v>416.470703125</v>
      </c>
      <c r="D848">
        <v>5123.41015625</v>
      </c>
      <c r="E848">
        <f t="shared" si="26"/>
        <v>-1.4090925575702684</v>
      </c>
      <c r="F848">
        <f t="shared" si="27"/>
        <v>-1.4550688295801639</v>
      </c>
    </row>
    <row r="849" spans="2:6" x14ac:dyDescent="0.45">
      <c r="B849" s="132">
        <v>45397</v>
      </c>
      <c r="C849">
        <v>408.3170166015625</v>
      </c>
      <c r="D849">
        <v>5061.81982421875</v>
      </c>
      <c r="E849">
        <f t="shared" si="26"/>
        <v>-1.9578055460458765</v>
      </c>
      <c r="F849">
        <f t="shared" si="27"/>
        <v>-1.202135494776202</v>
      </c>
    </row>
    <row r="850" spans="2:6" x14ac:dyDescent="0.45">
      <c r="B850" s="132">
        <v>45398</v>
      </c>
      <c r="C850">
        <v>409.24484252929688</v>
      </c>
      <c r="D850">
        <v>5051.41015625</v>
      </c>
      <c r="E850">
        <f t="shared" si="26"/>
        <v>0.22723175621155445</v>
      </c>
      <c r="F850">
        <f t="shared" si="27"/>
        <v>-0.20565070133361507</v>
      </c>
    </row>
    <row r="851" spans="2:6" x14ac:dyDescent="0.45">
      <c r="B851" s="132">
        <v>45399</v>
      </c>
      <c r="C851">
        <v>406.54013061523438</v>
      </c>
      <c r="D851">
        <v>5022.2099609375</v>
      </c>
      <c r="E851">
        <f t="shared" si="26"/>
        <v>-0.66090311544216851</v>
      </c>
      <c r="F851">
        <f t="shared" si="27"/>
        <v>-0.5780602724641426</v>
      </c>
    </row>
    <row r="852" spans="2:6" x14ac:dyDescent="0.45">
      <c r="B852" s="132">
        <v>45400</v>
      </c>
      <c r="C852">
        <v>399.06753540039063</v>
      </c>
      <c r="D852">
        <v>5011.1201171875</v>
      </c>
      <c r="E852">
        <f t="shared" si="26"/>
        <v>-1.8380953446182957</v>
      </c>
      <c r="F852">
        <f t="shared" si="27"/>
        <v>-0.22081601199982481</v>
      </c>
    </row>
    <row r="853" spans="2:6" x14ac:dyDescent="0.45">
      <c r="B853" s="132">
        <v>45401</v>
      </c>
      <c r="C853">
        <v>393.98382568359381</v>
      </c>
      <c r="D853">
        <v>4967.22998046875</v>
      </c>
      <c r="E853">
        <f t="shared" si="26"/>
        <v>-1.2738970890469048</v>
      </c>
      <c r="F853">
        <f t="shared" si="27"/>
        <v>-0.87585481274361499</v>
      </c>
    </row>
    <row r="854" spans="2:6" x14ac:dyDescent="0.45">
      <c r="B854" s="132">
        <v>45404</v>
      </c>
      <c r="C854">
        <v>395.80020141601563</v>
      </c>
      <c r="D854">
        <v>5010.60009765625</v>
      </c>
      <c r="E854">
        <f t="shared" si="26"/>
        <v>0.46102799506306802</v>
      </c>
      <c r="F854">
        <f t="shared" si="27"/>
        <v>0.87312480714667462</v>
      </c>
    </row>
    <row r="855" spans="2:6" x14ac:dyDescent="0.45">
      <c r="B855" s="132">
        <v>45405</v>
      </c>
      <c r="C855">
        <v>402.32510375976563</v>
      </c>
      <c r="D855">
        <v>5070.5498046875</v>
      </c>
      <c r="E855">
        <f t="shared" si="26"/>
        <v>1.6485343666846397</v>
      </c>
      <c r="F855">
        <f t="shared" si="27"/>
        <v>1.1964576270872662</v>
      </c>
    </row>
    <row r="856" spans="2:6" x14ac:dyDescent="0.45">
      <c r="B856" s="132">
        <v>45406</v>
      </c>
      <c r="C856">
        <v>403.7958984375</v>
      </c>
      <c r="D856">
        <v>5071.6298828125</v>
      </c>
      <c r="E856">
        <f t="shared" si="26"/>
        <v>0.36557367760292614</v>
      </c>
      <c r="F856">
        <f t="shared" si="27"/>
        <v>2.130100613548791E-2</v>
      </c>
    </row>
    <row r="857" spans="2:6" x14ac:dyDescent="0.45">
      <c r="B857" s="132">
        <v>45407</v>
      </c>
      <c r="C857">
        <v>393.90484619140619</v>
      </c>
      <c r="D857">
        <v>5048.419921875</v>
      </c>
      <c r="E857">
        <f t="shared" si="26"/>
        <v>-2.449517759929587</v>
      </c>
      <c r="F857">
        <f t="shared" si="27"/>
        <v>-0.45764303535156259</v>
      </c>
    </row>
    <row r="858" spans="2:6" x14ac:dyDescent="0.45">
      <c r="B858" s="132">
        <v>45408</v>
      </c>
      <c r="C858">
        <v>401.0911865234375</v>
      </c>
      <c r="D858">
        <v>5099.9599609375</v>
      </c>
      <c r="E858">
        <f t="shared" si="26"/>
        <v>1.8243848486543701</v>
      </c>
      <c r="F858">
        <f t="shared" si="27"/>
        <v>1.020914263474304</v>
      </c>
    </row>
    <row r="859" spans="2:6" x14ac:dyDescent="0.45">
      <c r="B859" s="132">
        <v>45411</v>
      </c>
      <c r="C859">
        <v>397.07354736328119</v>
      </c>
      <c r="D859">
        <v>5116.169921875</v>
      </c>
      <c r="E859">
        <f t="shared" si="26"/>
        <v>-1.0016772482537517</v>
      </c>
      <c r="F859">
        <f t="shared" si="27"/>
        <v>0.31784486665891176</v>
      </c>
    </row>
    <row r="860" spans="2:6" x14ac:dyDescent="0.45">
      <c r="B860" s="132">
        <v>45412</v>
      </c>
      <c r="C860">
        <v>384.31976318359381</v>
      </c>
      <c r="D860">
        <v>5035.68994140625</v>
      </c>
      <c r="E860">
        <f t="shared" si="26"/>
        <v>-3.2119450576290842</v>
      </c>
      <c r="F860">
        <f t="shared" si="27"/>
        <v>-1.5730513586862171</v>
      </c>
    </row>
    <row r="861" spans="2:6" x14ac:dyDescent="0.45">
      <c r="B861" s="132">
        <v>45413</v>
      </c>
      <c r="C861">
        <v>389.85757446289063</v>
      </c>
      <c r="D861">
        <v>5018.39013671875</v>
      </c>
      <c r="E861">
        <f t="shared" si="26"/>
        <v>1.4409384605733599</v>
      </c>
      <c r="F861">
        <f t="shared" si="27"/>
        <v>-0.34354388154940185</v>
      </c>
    </row>
    <row r="862" spans="2:6" x14ac:dyDescent="0.45">
      <c r="B862" s="132">
        <v>45414</v>
      </c>
      <c r="C862">
        <v>392.72027587890619</v>
      </c>
      <c r="D862">
        <v>5064.2001953125</v>
      </c>
      <c r="E862">
        <f t="shared" si="26"/>
        <v>0.7342941636979905</v>
      </c>
      <c r="F862">
        <f t="shared" si="27"/>
        <v>0.91284370775730483</v>
      </c>
    </row>
    <row r="863" spans="2:6" x14ac:dyDescent="0.45">
      <c r="B863" s="132">
        <v>45415</v>
      </c>
      <c r="C863">
        <v>401.42678833007813</v>
      </c>
      <c r="D863">
        <v>5127.7900390625</v>
      </c>
      <c r="E863">
        <f t="shared" si="26"/>
        <v>2.2169755385526679</v>
      </c>
      <c r="F863">
        <f t="shared" si="27"/>
        <v>1.2556739721478527</v>
      </c>
    </row>
    <row r="864" spans="2:6" x14ac:dyDescent="0.45">
      <c r="B864" s="132">
        <v>45418</v>
      </c>
      <c r="C864">
        <v>408.21829223632813</v>
      </c>
      <c r="D864">
        <v>5180.740234375</v>
      </c>
      <c r="E864">
        <f t="shared" si="26"/>
        <v>1.6918412282604267</v>
      </c>
      <c r="F864">
        <f t="shared" si="27"/>
        <v>1.0326123907011819</v>
      </c>
    </row>
    <row r="865" spans="2:6" x14ac:dyDescent="0.45">
      <c r="B865" s="132">
        <v>45419</v>
      </c>
      <c r="C865">
        <v>404.072265625</v>
      </c>
      <c r="D865">
        <v>5187.7001953125</v>
      </c>
      <c r="E865">
        <f t="shared" si="26"/>
        <v>-1.015639595329032</v>
      </c>
      <c r="F865">
        <f t="shared" si="27"/>
        <v>0.13434298232750663</v>
      </c>
    </row>
    <row r="866" spans="2:6" x14ac:dyDescent="0.45">
      <c r="B866" s="132">
        <v>45420</v>
      </c>
      <c r="C866">
        <v>405.25686645507813</v>
      </c>
      <c r="D866">
        <v>5187.669921875</v>
      </c>
      <c r="E866">
        <f t="shared" si="26"/>
        <v>0.29316558716194763</v>
      </c>
      <c r="F866">
        <f t="shared" si="27"/>
        <v>-5.8356181661389783E-4</v>
      </c>
    </row>
    <row r="867" spans="2:6" x14ac:dyDescent="0.45">
      <c r="B867" s="132">
        <v>45421</v>
      </c>
      <c r="C867">
        <v>407.01397705078119</v>
      </c>
      <c r="D867">
        <v>5214.080078125</v>
      </c>
      <c r="E867">
        <f t="shared" si="26"/>
        <v>0.43357947542581599</v>
      </c>
      <c r="F867">
        <f t="shared" si="27"/>
        <v>0.50909476986258362</v>
      </c>
    </row>
    <row r="868" spans="2:6" x14ac:dyDescent="0.45">
      <c r="B868" s="132">
        <v>45422</v>
      </c>
      <c r="C868">
        <v>409.40283203125</v>
      </c>
      <c r="D868">
        <v>5222.68017578125</v>
      </c>
      <c r="E868">
        <f t="shared" si="26"/>
        <v>0.58692209977122545</v>
      </c>
      <c r="F868">
        <f t="shared" si="27"/>
        <v>0.16493988445498431</v>
      </c>
    </row>
    <row r="869" spans="2:6" x14ac:dyDescent="0.45">
      <c r="B869" s="132">
        <v>45425</v>
      </c>
      <c r="C869">
        <v>408.39590454101563</v>
      </c>
      <c r="D869">
        <v>5221.419921875</v>
      </c>
      <c r="E869">
        <f t="shared" si="26"/>
        <v>-0.24595029918051958</v>
      </c>
      <c r="F869">
        <f t="shared" si="27"/>
        <v>-2.4130405535727206E-2</v>
      </c>
    </row>
    <row r="870" spans="2:6" x14ac:dyDescent="0.45">
      <c r="B870" s="132">
        <v>45426</v>
      </c>
      <c r="C870">
        <v>411.19940185546881</v>
      </c>
      <c r="D870">
        <v>5246.68017578125</v>
      </c>
      <c r="E870">
        <f t="shared" si="26"/>
        <v>0.6864655799141639</v>
      </c>
      <c r="F870">
        <f t="shared" si="27"/>
        <v>0.48378131397597279</v>
      </c>
    </row>
    <row r="871" spans="2:6" x14ac:dyDescent="0.45">
      <c r="B871" s="132">
        <v>45427</v>
      </c>
      <c r="C871">
        <v>418.38876342773438</v>
      </c>
      <c r="D871">
        <v>5308.14990234375</v>
      </c>
      <c r="E871">
        <f t="shared" si="26"/>
        <v>1.748388139628787</v>
      </c>
      <c r="F871">
        <f t="shared" si="27"/>
        <v>1.1715927882596233</v>
      </c>
    </row>
    <row r="872" spans="2:6" x14ac:dyDescent="0.45">
      <c r="B872" s="132">
        <v>45428</v>
      </c>
      <c r="C872">
        <v>416.32192993164063</v>
      </c>
      <c r="D872">
        <v>5297.10009765625</v>
      </c>
      <c r="E872">
        <f t="shared" si="26"/>
        <v>-0.49399832805279154</v>
      </c>
      <c r="F872">
        <f t="shared" si="27"/>
        <v>-0.20816677921287052</v>
      </c>
    </row>
    <row r="873" spans="2:6" x14ac:dyDescent="0.45">
      <c r="B873" s="132">
        <v>45429</v>
      </c>
      <c r="C873">
        <v>415.55062866210938</v>
      </c>
      <c r="D873">
        <v>5303.27001953125</v>
      </c>
      <c r="E873">
        <f t="shared" si="26"/>
        <v>-0.18526558753652056</v>
      </c>
      <c r="F873">
        <f t="shared" si="27"/>
        <v>0.11647735102702228</v>
      </c>
    </row>
    <row r="874" spans="2:6" x14ac:dyDescent="0.45">
      <c r="B874" s="132">
        <v>45432</v>
      </c>
      <c r="C874">
        <v>420.62371826171881</v>
      </c>
      <c r="D874">
        <v>5308.1298828125</v>
      </c>
      <c r="E874">
        <f t="shared" si="26"/>
        <v>1.2208114366094369</v>
      </c>
      <c r="F874">
        <f t="shared" si="27"/>
        <v>9.163899374069473E-2</v>
      </c>
    </row>
    <row r="875" spans="2:6" x14ac:dyDescent="0.45">
      <c r="B875" s="132">
        <v>45433</v>
      </c>
      <c r="C875">
        <v>424.28271484375</v>
      </c>
      <c r="D875">
        <v>5321.41015625</v>
      </c>
      <c r="E875">
        <f t="shared" si="26"/>
        <v>0.86989782629292023</v>
      </c>
      <c r="F875">
        <f t="shared" si="27"/>
        <v>0.2501874243978186</v>
      </c>
    </row>
    <row r="876" spans="2:6" x14ac:dyDescent="0.45">
      <c r="B876" s="132">
        <v>45434</v>
      </c>
      <c r="C876">
        <v>425.74627685546881</v>
      </c>
      <c r="D876">
        <v>5307.009765625</v>
      </c>
      <c r="E876">
        <f t="shared" si="26"/>
        <v>0.34494971407397212</v>
      </c>
      <c r="F876">
        <f t="shared" si="27"/>
        <v>-0.27061230392261271</v>
      </c>
    </row>
    <row r="877" spans="2:6" x14ac:dyDescent="0.45">
      <c r="B877" s="132">
        <v>45435</v>
      </c>
      <c r="C877">
        <v>422.26531982421881</v>
      </c>
      <c r="D877">
        <v>5267.83984375</v>
      </c>
      <c r="E877">
        <f t="shared" si="26"/>
        <v>-0.81761302928121671</v>
      </c>
      <c r="F877">
        <f t="shared" si="27"/>
        <v>-0.73807894850155265</v>
      </c>
    </row>
    <row r="878" spans="2:6" x14ac:dyDescent="0.45">
      <c r="B878" s="132">
        <v>45436</v>
      </c>
      <c r="C878">
        <v>425.39028930664063</v>
      </c>
      <c r="D878">
        <v>5304.72021484375</v>
      </c>
      <c r="E878">
        <f t="shared" si="26"/>
        <v>0.7400488118992854</v>
      </c>
      <c r="F878">
        <f t="shared" si="27"/>
        <v>0.70010425881694704</v>
      </c>
    </row>
    <row r="879" spans="2:6" x14ac:dyDescent="0.45">
      <c r="B879" s="132">
        <v>45440</v>
      </c>
      <c r="C879">
        <v>425.54852294921881</v>
      </c>
      <c r="D879">
        <v>5306.0400390625</v>
      </c>
      <c r="E879">
        <f t="shared" si="26"/>
        <v>3.7197286011414477E-2</v>
      </c>
      <c r="F879">
        <f t="shared" si="27"/>
        <v>2.4880185293407742E-2</v>
      </c>
    </row>
    <row r="880" spans="2:6" x14ac:dyDescent="0.45">
      <c r="B880" s="132">
        <v>45441</v>
      </c>
      <c r="C880">
        <v>424.41131591796881</v>
      </c>
      <c r="D880">
        <v>5266.9501953125</v>
      </c>
      <c r="E880">
        <f t="shared" si="26"/>
        <v>-0.26723322251683834</v>
      </c>
      <c r="F880">
        <f t="shared" si="27"/>
        <v>-0.73670465096804527</v>
      </c>
    </row>
    <row r="881" spans="2:6" x14ac:dyDescent="0.45">
      <c r="B881" s="132">
        <v>45442</v>
      </c>
      <c r="C881">
        <v>410.07205200195313</v>
      </c>
      <c r="D881">
        <v>5235.47998046875</v>
      </c>
      <c r="E881">
        <f t="shared" si="26"/>
        <v>-3.3786243151884277</v>
      </c>
      <c r="F881">
        <f t="shared" si="27"/>
        <v>-0.59750355854433224</v>
      </c>
    </row>
    <row r="882" spans="2:6" x14ac:dyDescent="0.45">
      <c r="B882" s="132">
        <v>45443</v>
      </c>
      <c r="C882">
        <v>410.5269775390625</v>
      </c>
      <c r="D882">
        <v>5277.509765625</v>
      </c>
      <c r="E882">
        <f t="shared" si="26"/>
        <v>0.11093795221801539</v>
      </c>
      <c r="F882">
        <f t="shared" si="27"/>
        <v>0.80278762048646701</v>
      </c>
    </row>
    <row r="883" spans="2:6" x14ac:dyDescent="0.45">
      <c r="B883" s="132">
        <v>45446</v>
      </c>
      <c r="C883">
        <v>408.934814453125</v>
      </c>
      <c r="D883">
        <v>5283.39990234375</v>
      </c>
      <c r="E883">
        <f t="shared" si="26"/>
        <v>-0.3878339726860025</v>
      </c>
      <c r="F883">
        <f t="shared" si="27"/>
        <v>0.11160825806737495</v>
      </c>
    </row>
    <row r="884" spans="2:6" x14ac:dyDescent="0.45">
      <c r="B884" s="132">
        <v>45447</v>
      </c>
      <c r="C884">
        <v>411.45654296875</v>
      </c>
      <c r="D884">
        <v>5291.33984375</v>
      </c>
      <c r="E884">
        <f t="shared" si="26"/>
        <v>0.61665782087967358</v>
      </c>
      <c r="F884">
        <f t="shared" si="27"/>
        <v>0.15028090913065117</v>
      </c>
    </row>
    <row r="885" spans="2:6" x14ac:dyDescent="0.45">
      <c r="B885" s="132">
        <v>45448</v>
      </c>
      <c r="C885">
        <v>419.3084716796875</v>
      </c>
      <c r="D885">
        <v>5354.02978515625</v>
      </c>
      <c r="E885">
        <f t="shared" si="26"/>
        <v>1.9083251548958513</v>
      </c>
      <c r="F885">
        <f t="shared" si="27"/>
        <v>1.1847649793331305</v>
      </c>
    </row>
    <row r="886" spans="2:6" x14ac:dyDescent="0.45">
      <c r="B886" s="132">
        <v>45449</v>
      </c>
      <c r="C886">
        <v>419.81280517578119</v>
      </c>
      <c r="D886">
        <v>5352.9599609375</v>
      </c>
      <c r="E886">
        <f t="shared" si="26"/>
        <v>0.12027744015603581</v>
      </c>
      <c r="F886">
        <f t="shared" si="27"/>
        <v>-1.9981663563317653E-2</v>
      </c>
    </row>
    <row r="887" spans="2:6" x14ac:dyDescent="0.45">
      <c r="B887" s="132">
        <v>45450</v>
      </c>
      <c r="C887">
        <v>419.1502685546875</v>
      </c>
      <c r="D887">
        <v>5346.990234375</v>
      </c>
      <c r="E887">
        <f t="shared" si="26"/>
        <v>-0.15781715396133711</v>
      </c>
      <c r="F887">
        <f t="shared" si="27"/>
        <v>-0.11152197300303701</v>
      </c>
    </row>
    <row r="888" spans="2:6" x14ac:dyDescent="0.45">
      <c r="B888" s="132">
        <v>45453</v>
      </c>
      <c r="C888">
        <v>423.12564086914063</v>
      </c>
      <c r="D888">
        <v>5360.7900390625</v>
      </c>
      <c r="E888">
        <f t="shared" si="26"/>
        <v>0.94843606522334589</v>
      </c>
      <c r="F888">
        <f t="shared" si="27"/>
        <v>0.25808546645145203</v>
      </c>
    </row>
    <row r="889" spans="2:6" x14ac:dyDescent="0.45">
      <c r="B889" s="132">
        <v>45454</v>
      </c>
      <c r="C889">
        <v>427.88235473632813</v>
      </c>
      <c r="D889">
        <v>5375.31982421875</v>
      </c>
      <c r="E889">
        <f t="shared" si="26"/>
        <v>1.1241847356300072</v>
      </c>
      <c r="F889">
        <f t="shared" si="27"/>
        <v>0.27103813151374556</v>
      </c>
    </row>
    <row r="890" spans="2:6" x14ac:dyDescent="0.45">
      <c r="B890" s="132">
        <v>45455</v>
      </c>
      <c r="C890">
        <v>436.16940307617188</v>
      </c>
      <c r="D890">
        <v>5421.02978515625</v>
      </c>
      <c r="E890">
        <f t="shared" si="26"/>
        <v>1.9367586085550226</v>
      </c>
      <c r="F890">
        <f t="shared" si="27"/>
        <v>0.85036727919987065</v>
      </c>
    </row>
    <row r="891" spans="2:6" x14ac:dyDescent="0.45">
      <c r="B891" s="132">
        <v>45456</v>
      </c>
      <c r="C891">
        <v>436.68362426757813</v>
      </c>
      <c r="D891">
        <v>5433.740234375</v>
      </c>
      <c r="E891">
        <f t="shared" si="26"/>
        <v>0.11789483347057761</v>
      </c>
      <c r="F891">
        <f t="shared" si="27"/>
        <v>0.23446558536817097</v>
      </c>
    </row>
    <row r="892" spans="2:6" x14ac:dyDescent="0.45">
      <c r="B892" s="132">
        <v>45457</v>
      </c>
      <c r="C892">
        <v>437.66265869140619</v>
      </c>
      <c r="D892">
        <v>5431.60009765625</v>
      </c>
      <c r="E892">
        <f t="shared" si="26"/>
        <v>0.22419765006533865</v>
      </c>
      <c r="F892">
        <f t="shared" si="27"/>
        <v>-3.9386069750091401E-2</v>
      </c>
    </row>
    <row r="893" spans="2:6" x14ac:dyDescent="0.45">
      <c r="B893" s="132">
        <v>45460</v>
      </c>
      <c r="C893">
        <v>443.39834594726563</v>
      </c>
      <c r="D893">
        <v>5473.22998046875</v>
      </c>
      <c r="E893">
        <f t="shared" si="26"/>
        <v>1.3105269873854297</v>
      </c>
      <c r="F893">
        <f t="shared" si="27"/>
        <v>0.76643865645527054</v>
      </c>
    </row>
    <row r="894" spans="2:6" x14ac:dyDescent="0.45">
      <c r="B894" s="132">
        <v>45461</v>
      </c>
      <c r="C894">
        <v>441.390869140625</v>
      </c>
      <c r="D894">
        <v>5487.02978515625</v>
      </c>
      <c r="E894">
        <f t="shared" si="26"/>
        <v>-0.45274792407082876</v>
      </c>
      <c r="F894">
        <f t="shared" si="27"/>
        <v>0.25213273947457537</v>
      </c>
    </row>
    <row r="895" spans="2:6" x14ac:dyDescent="0.45">
      <c r="B895" s="132">
        <v>45463</v>
      </c>
      <c r="C895">
        <v>440.75802612304688</v>
      </c>
      <c r="D895">
        <v>5473.169921875</v>
      </c>
      <c r="E895">
        <f t="shared" si="26"/>
        <v>-0.14337474148712337</v>
      </c>
      <c r="F895">
        <f t="shared" si="27"/>
        <v>-0.25259318472709014</v>
      </c>
    </row>
    <row r="896" spans="2:6" x14ac:dyDescent="0.45">
      <c r="B896" s="132">
        <v>45464</v>
      </c>
      <c r="C896">
        <v>444.792724609375</v>
      </c>
      <c r="D896">
        <v>5464.6201171875</v>
      </c>
      <c r="E896">
        <f t="shared" si="26"/>
        <v>0.91539989000717359</v>
      </c>
      <c r="F896">
        <f t="shared" si="27"/>
        <v>-0.15621303211011961</v>
      </c>
    </row>
    <row r="897" spans="2:6" x14ac:dyDescent="0.45">
      <c r="B897" s="132">
        <v>45467</v>
      </c>
      <c r="C897">
        <v>442.7061767578125</v>
      </c>
      <c r="D897">
        <v>5447.8701171875</v>
      </c>
      <c r="E897">
        <f t="shared" si="26"/>
        <v>-0.46910566115823116</v>
      </c>
      <c r="F897">
        <f t="shared" si="27"/>
        <v>-0.30651718949900042</v>
      </c>
    </row>
    <row r="898" spans="2:6" x14ac:dyDescent="0.45">
      <c r="B898" s="132">
        <v>45468</v>
      </c>
      <c r="C898">
        <v>445.94976806640619</v>
      </c>
      <c r="D898">
        <v>5469.2998046875</v>
      </c>
      <c r="E898">
        <f t="shared" si="26"/>
        <v>0.73267360585487218</v>
      </c>
      <c r="F898">
        <f t="shared" si="27"/>
        <v>0.39335900157368986</v>
      </c>
    </row>
    <row r="899" spans="2:6" x14ac:dyDescent="0.45">
      <c r="B899" s="132">
        <v>45469</v>
      </c>
      <c r="C899">
        <v>447.1463623046875</v>
      </c>
      <c r="D899">
        <v>5477.89990234375</v>
      </c>
      <c r="E899">
        <f t="shared" si="26"/>
        <v>0.2683248930635429</v>
      </c>
      <c r="F899">
        <f t="shared" si="27"/>
        <v>0.15724312002203256</v>
      </c>
    </row>
    <row r="900" spans="2:6" x14ac:dyDescent="0.45">
      <c r="B900" s="132">
        <v>45470</v>
      </c>
      <c r="C900">
        <v>447.82870483398438</v>
      </c>
      <c r="D900">
        <v>5482.8701171875</v>
      </c>
      <c r="E900">
        <f t="shared" si="26"/>
        <v>0.1525993694279304</v>
      </c>
      <c r="F900">
        <f t="shared" si="27"/>
        <v>9.073212238914774E-2</v>
      </c>
    </row>
    <row r="901" spans="2:6" x14ac:dyDescent="0.45">
      <c r="B901" s="132">
        <v>45471</v>
      </c>
      <c r="C901">
        <v>441.99411010742188</v>
      </c>
      <c r="D901">
        <v>5460.47998046875</v>
      </c>
      <c r="E901">
        <f t="shared" si="26"/>
        <v>-1.3028630508902905</v>
      </c>
      <c r="F901">
        <f t="shared" si="27"/>
        <v>-0.40836525834456738</v>
      </c>
    </row>
    <row r="902" spans="2:6" x14ac:dyDescent="0.45">
      <c r="B902" s="132">
        <v>45474</v>
      </c>
      <c r="C902">
        <v>451.66567993164063</v>
      </c>
      <c r="D902">
        <v>5475.08984375</v>
      </c>
      <c r="E902">
        <f t="shared" si="26"/>
        <v>2.1881671278081383</v>
      </c>
      <c r="F902">
        <f t="shared" si="27"/>
        <v>0.26755639309195001</v>
      </c>
    </row>
    <row r="903" spans="2:6" x14ac:dyDescent="0.45">
      <c r="B903" s="132">
        <v>45475</v>
      </c>
      <c r="C903">
        <v>454.1873779296875</v>
      </c>
      <c r="D903">
        <v>5509.009765625</v>
      </c>
      <c r="E903">
        <f t="shared" si="26"/>
        <v>0.55831073957812727</v>
      </c>
      <c r="F903">
        <f t="shared" si="27"/>
        <v>0.61953178565135048</v>
      </c>
    </row>
    <row r="904" spans="2:6" x14ac:dyDescent="0.45">
      <c r="B904" s="132">
        <v>45476</v>
      </c>
      <c r="C904">
        <v>455.66085815429688</v>
      </c>
      <c r="D904">
        <v>5537.02001953125</v>
      </c>
      <c r="E904">
        <f t="shared" ref="E904:E967" si="28">((C904/C903)-1)*100</f>
        <v>0.32442121824827197</v>
      </c>
      <c r="F904">
        <f t="shared" ref="F904:F967" si="29">((D904/D903)-1)*100</f>
        <v>0.50844444097790653</v>
      </c>
    </row>
    <row r="905" spans="2:6" x14ac:dyDescent="0.45">
      <c r="B905" s="132">
        <v>45478</v>
      </c>
      <c r="C905">
        <v>462.37557983398438</v>
      </c>
      <c r="D905">
        <v>5567.18994140625</v>
      </c>
      <c r="E905">
        <f t="shared" si="28"/>
        <v>1.4736226646471673</v>
      </c>
      <c r="F905">
        <f t="shared" si="29"/>
        <v>0.54487651784855817</v>
      </c>
    </row>
    <row r="906" spans="2:6" x14ac:dyDescent="0.45">
      <c r="B906" s="132">
        <v>45481</v>
      </c>
      <c r="C906">
        <v>461.07022094726563</v>
      </c>
      <c r="D906">
        <v>5572.85009765625</v>
      </c>
      <c r="E906">
        <f t="shared" si="28"/>
        <v>-0.28231570689513097</v>
      </c>
      <c r="F906">
        <f t="shared" si="29"/>
        <v>0.10166989647510949</v>
      </c>
    </row>
    <row r="907" spans="2:6" x14ac:dyDescent="0.45">
      <c r="B907" s="132">
        <v>45482</v>
      </c>
      <c r="C907">
        <v>454.44451904296881</v>
      </c>
      <c r="D907">
        <v>5576.97998046875</v>
      </c>
      <c r="E907">
        <f t="shared" si="28"/>
        <v>-1.4370266400385523</v>
      </c>
      <c r="F907">
        <f t="shared" si="29"/>
        <v>7.4107193628569767E-2</v>
      </c>
    </row>
    <row r="908" spans="2:6" x14ac:dyDescent="0.45">
      <c r="B908" s="132">
        <v>45483</v>
      </c>
      <c r="C908">
        <v>461.08010864257813</v>
      </c>
      <c r="D908">
        <v>5633.91015625</v>
      </c>
      <c r="E908">
        <f t="shared" si="28"/>
        <v>1.4601539509340844</v>
      </c>
      <c r="F908">
        <f t="shared" si="29"/>
        <v>1.0208065293514812</v>
      </c>
    </row>
    <row r="909" spans="2:6" x14ac:dyDescent="0.45">
      <c r="B909" s="132">
        <v>45484</v>
      </c>
      <c r="C909">
        <v>449.65823364257813</v>
      </c>
      <c r="D909">
        <v>5584.5400390625</v>
      </c>
      <c r="E909">
        <f t="shared" si="28"/>
        <v>-2.4771996852403944</v>
      </c>
      <c r="F909">
        <f t="shared" si="29"/>
        <v>-0.87630288411204571</v>
      </c>
    </row>
    <row r="910" spans="2:6" x14ac:dyDescent="0.45">
      <c r="B910" s="132">
        <v>45485</v>
      </c>
      <c r="C910">
        <v>448.52090454101563</v>
      </c>
      <c r="D910">
        <v>5615.35009765625</v>
      </c>
      <c r="E910">
        <f t="shared" si="28"/>
        <v>-0.25293189726545151</v>
      </c>
      <c r="F910">
        <f t="shared" si="29"/>
        <v>0.55170270744306915</v>
      </c>
    </row>
    <row r="911" spans="2:6" x14ac:dyDescent="0.45">
      <c r="B911" s="132">
        <v>45488</v>
      </c>
      <c r="C911">
        <v>448.9263916015625</v>
      </c>
      <c r="D911">
        <v>5631.22021484375</v>
      </c>
      <c r="E911">
        <f t="shared" si="28"/>
        <v>9.0405387227554534E-2</v>
      </c>
      <c r="F911">
        <f t="shared" si="29"/>
        <v>0.28262026252154904</v>
      </c>
    </row>
    <row r="912" spans="2:6" x14ac:dyDescent="0.45">
      <c r="B912" s="132">
        <v>45489</v>
      </c>
      <c r="C912">
        <v>444.53558349609381</v>
      </c>
      <c r="D912">
        <v>5667.2001953125</v>
      </c>
      <c r="E912">
        <f t="shared" si="28"/>
        <v>-0.97806860715056176</v>
      </c>
      <c r="F912">
        <f t="shared" si="29"/>
        <v>0.63893754987431883</v>
      </c>
    </row>
    <row r="913" spans="2:6" x14ac:dyDescent="0.45">
      <c r="B913" s="132">
        <v>45490</v>
      </c>
      <c r="C913">
        <v>438.60211181640619</v>
      </c>
      <c r="D913">
        <v>5588.27001953125</v>
      </c>
      <c r="E913">
        <f t="shared" si="28"/>
        <v>-1.3347574187477229</v>
      </c>
      <c r="F913">
        <f t="shared" si="29"/>
        <v>-1.3927543241993745</v>
      </c>
    </row>
    <row r="914" spans="2:6" x14ac:dyDescent="0.45">
      <c r="B914" s="132">
        <v>45491</v>
      </c>
      <c r="C914">
        <v>435.487060546875</v>
      </c>
      <c r="D914">
        <v>5544.58984375</v>
      </c>
      <c r="E914">
        <f t="shared" si="28"/>
        <v>-0.71022258799225968</v>
      </c>
      <c r="F914">
        <f t="shared" si="29"/>
        <v>-0.78164039369225113</v>
      </c>
    </row>
    <row r="915" spans="2:6" x14ac:dyDescent="0.45">
      <c r="B915" s="132">
        <v>45492</v>
      </c>
      <c r="C915">
        <v>432.26321411132813</v>
      </c>
      <c r="D915">
        <v>5505</v>
      </c>
      <c r="E915">
        <f t="shared" si="28"/>
        <v>-0.74028524096638737</v>
      </c>
      <c r="F915">
        <f t="shared" si="29"/>
        <v>-0.71402655319269259</v>
      </c>
    </row>
    <row r="916" spans="2:6" x14ac:dyDescent="0.45">
      <c r="B916" s="132">
        <v>45495</v>
      </c>
      <c r="C916">
        <v>438.028564453125</v>
      </c>
      <c r="D916">
        <v>5564.41015625</v>
      </c>
      <c r="E916">
        <f t="shared" si="28"/>
        <v>1.3337591896755763</v>
      </c>
      <c r="F916">
        <f t="shared" si="29"/>
        <v>1.0792035649409559</v>
      </c>
    </row>
    <row r="917" spans="2:6" x14ac:dyDescent="0.45">
      <c r="B917" s="132">
        <v>45496</v>
      </c>
      <c r="C917">
        <v>439.91738891601563</v>
      </c>
      <c r="D917">
        <v>5555.740234375</v>
      </c>
      <c r="E917">
        <f t="shared" si="28"/>
        <v>0.4312103401860945</v>
      </c>
      <c r="F917">
        <f t="shared" si="29"/>
        <v>-0.15581025897707379</v>
      </c>
    </row>
    <row r="918" spans="2:6" x14ac:dyDescent="0.45">
      <c r="B918" s="132">
        <v>45497</v>
      </c>
      <c r="C918">
        <v>424.144287109375</v>
      </c>
      <c r="D918">
        <v>5427.1298828125</v>
      </c>
      <c r="E918">
        <f t="shared" si="28"/>
        <v>-3.5854690457921112</v>
      </c>
      <c r="F918">
        <f t="shared" si="29"/>
        <v>-2.3149093754734951</v>
      </c>
    </row>
    <row r="919" spans="2:6" x14ac:dyDescent="0.45">
      <c r="B919" s="132">
        <v>45498</v>
      </c>
      <c r="C919">
        <v>413.76071166992188</v>
      </c>
      <c r="D919">
        <v>5399.22021484375</v>
      </c>
      <c r="E919">
        <f t="shared" si="28"/>
        <v>-2.4481233757076337</v>
      </c>
      <c r="F919">
        <f t="shared" si="29"/>
        <v>-0.51426202378422881</v>
      </c>
    </row>
    <row r="920" spans="2:6" x14ac:dyDescent="0.45">
      <c r="B920" s="132">
        <v>45499</v>
      </c>
      <c r="C920">
        <v>420.55450439453119</v>
      </c>
      <c r="D920">
        <v>5459.10009765625</v>
      </c>
      <c r="E920">
        <f t="shared" si="28"/>
        <v>1.6419617747634563</v>
      </c>
      <c r="F920">
        <f t="shared" si="29"/>
        <v>1.1090468702846357</v>
      </c>
    </row>
    <row r="921" spans="2:6" x14ac:dyDescent="0.45">
      <c r="B921" s="132">
        <v>45502</v>
      </c>
      <c r="C921">
        <v>421.99835205078119</v>
      </c>
      <c r="D921">
        <v>5463.5400390625</v>
      </c>
      <c r="E921">
        <f t="shared" si="28"/>
        <v>0.34331998377443718</v>
      </c>
      <c r="F921">
        <f t="shared" si="29"/>
        <v>8.1331012929330981E-2</v>
      </c>
    </row>
    <row r="922" spans="2:6" x14ac:dyDescent="0.45">
      <c r="B922" s="132">
        <v>45503</v>
      </c>
      <c r="C922">
        <v>418.23062133789063</v>
      </c>
      <c r="D922">
        <v>5436.43994140625</v>
      </c>
      <c r="E922">
        <f t="shared" si="28"/>
        <v>-0.89283066973616654</v>
      </c>
      <c r="F922">
        <f t="shared" si="29"/>
        <v>-0.49601718780302173</v>
      </c>
    </row>
    <row r="923" spans="2:6" x14ac:dyDescent="0.45">
      <c r="B923" s="132">
        <v>45504</v>
      </c>
      <c r="C923">
        <v>413.71124267578119</v>
      </c>
      <c r="D923">
        <v>5522.2998046875</v>
      </c>
      <c r="E923">
        <f t="shared" si="28"/>
        <v>-1.0805948755383432</v>
      </c>
      <c r="F923">
        <f t="shared" si="29"/>
        <v>1.5793398659167401</v>
      </c>
    </row>
    <row r="924" spans="2:6" x14ac:dyDescent="0.45">
      <c r="B924" s="132">
        <v>45505</v>
      </c>
      <c r="C924">
        <v>412.48495483398438</v>
      </c>
      <c r="D924">
        <v>5446.68017578125</v>
      </c>
      <c r="E924">
        <f t="shared" si="28"/>
        <v>-0.29641153425405964</v>
      </c>
      <c r="F924">
        <f t="shared" si="29"/>
        <v>-1.3693502993456064</v>
      </c>
    </row>
    <row r="925" spans="2:6" x14ac:dyDescent="0.45">
      <c r="B925" s="132">
        <v>45506</v>
      </c>
      <c r="C925">
        <v>403.9605712890625</v>
      </c>
      <c r="D925">
        <v>5346.56005859375</v>
      </c>
      <c r="E925">
        <f t="shared" si="28"/>
        <v>-2.0665925981113054</v>
      </c>
      <c r="F925">
        <f t="shared" si="29"/>
        <v>-1.8381860868696753</v>
      </c>
    </row>
    <row r="926" spans="2:6" x14ac:dyDescent="0.45">
      <c r="B926" s="132">
        <v>45509</v>
      </c>
      <c r="C926">
        <v>390.7684326171875</v>
      </c>
      <c r="D926">
        <v>5186.330078125</v>
      </c>
      <c r="E926">
        <f t="shared" si="28"/>
        <v>-3.265699578000425</v>
      </c>
      <c r="F926">
        <f t="shared" si="29"/>
        <v>-2.996879838863975</v>
      </c>
    </row>
    <row r="927" spans="2:6" x14ac:dyDescent="0.45">
      <c r="B927" s="132">
        <v>45510</v>
      </c>
      <c r="C927">
        <v>395.17904663085938</v>
      </c>
      <c r="D927">
        <v>5240.02978515625</v>
      </c>
      <c r="E927">
        <f t="shared" si="28"/>
        <v>1.1287027419619289</v>
      </c>
      <c r="F927">
        <f t="shared" si="29"/>
        <v>1.0354085880061037</v>
      </c>
    </row>
    <row r="928" spans="2:6" x14ac:dyDescent="0.45">
      <c r="B928" s="132">
        <v>45511</v>
      </c>
      <c r="C928">
        <v>394.01211547851563</v>
      </c>
      <c r="D928">
        <v>5199.5</v>
      </c>
      <c r="E928">
        <f t="shared" si="28"/>
        <v>-0.29529175756977111</v>
      </c>
      <c r="F928">
        <f t="shared" si="29"/>
        <v>-0.77346478585028633</v>
      </c>
    </row>
    <row r="929" spans="2:6" x14ac:dyDescent="0.45">
      <c r="B929" s="132">
        <v>45512</v>
      </c>
      <c r="C929">
        <v>398.224853515625</v>
      </c>
      <c r="D929">
        <v>5319.31005859375</v>
      </c>
      <c r="E929">
        <f t="shared" si="28"/>
        <v>1.069189974524809</v>
      </c>
      <c r="F929">
        <f t="shared" si="29"/>
        <v>2.3042611519136447</v>
      </c>
    </row>
    <row r="930" spans="2:6" x14ac:dyDescent="0.45">
      <c r="B930" s="132">
        <v>45513</v>
      </c>
      <c r="C930">
        <v>401.51797485351563</v>
      </c>
      <c r="D930">
        <v>5344.16015625</v>
      </c>
      <c r="E930">
        <f t="shared" si="28"/>
        <v>0.82695022895185044</v>
      </c>
      <c r="F930">
        <f t="shared" si="29"/>
        <v>0.46716768495385086</v>
      </c>
    </row>
    <row r="931" spans="2:6" x14ac:dyDescent="0.45">
      <c r="B931" s="132">
        <v>45516</v>
      </c>
      <c r="C931">
        <v>402.2991943359375</v>
      </c>
      <c r="D931">
        <v>5344.39013671875</v>
      </c>
      <c r="E931">
        <f t="shared" si="28"/>
        <v>0.19456650295839317</v>
      </c>
      <c r="F931">
        <f t="shared" si="29"/>
        <v>4.3033977655149158E-3</v>
      </c>
    </row>
    <row r="932" spans="2:6" x14ac:dyDescent="0.45">
      <c r="B932" s="132">
        <v>45517</v>
      </c>
      <c r="C932">
        <v>409.41940307617188</v>
      </c>
      <c r="D932">
        <v>5434.43017578125</v>
      </c>
      <c r="E932">
        <f t="shared" si="28"/>
        <v>1.7698789459390962</v>
      </c>
      <c r="F932">
        <f t="shared" si="29"/>
        <v>1.6847579753558328</v>
      </c>
    </row>
    <row r="933" spans="2:6" x14ac:dyDescent="0.45">
      <c r="B933" s="132">
        <v>45518</v>
      </c>
      <c r="C933">
        <v>412.23779296875</v>
      </c>
      <c r="D933">
        <v>5455.2099609375</v>
      </c>
      <c r="E933">
        <f t="shared" si="28"/>
        <v>0.68838698688975519</v>
      </c>
      <c r="F933">
        <f t="shared" si="29"/>
        <v>0.38237284285767004</v>
      </c>
    </row>
    <row r="934" spans="2:6" x14ac:dyDescent="0.45">
      <c r="B934" s="132">
        <v>45519</v>
      </c>
      <c r="C934">
        <v>417.11196899414063</v>
      </c>
      <c r="D934">
        <v>5543.22021484375</v>
      </c>
      <c r="E934">
        <f t="shared" si="28"/>
        <v>1.1823700079240718</v>
      </c>
      <c r="F934">
        <f t="shared" si="29"/>
        <v>1.6133247764330783</v>
      </c>
    </row>
    <row r="935" spans="2:6" x14ac:dyDescent="0.45">
      <c r="B935" s="132">
        <v>45520</v>
      </c>
      <c r="C935">
        <v>414.5758056640625</v>
      </c>
      <c r="D935">
        <v>5554.25</v>
      </c>
      <c r="E935">
        <f t="shared" si="28"/>
        <v>-0.6080293826605021</v>
      </c>
      <c r="F935">
        <f t="shared" si="29"/>
        <v>0.1989779357261412</v>
      </c>
    </row>
    <row r="936" spans="2:6" x14ac:dyDescent="0.45">
      <c r="B936" s="132">
        <v>45523</v>
      </c>
      <c r="C936">
        <v>417.60733032226563</v>
      </c>
      <c r="D936">
        <v>5608.25</v>
      </c>
      <c r="E936">
        <f t="shared" si="28"/>
        <v>0.73123530528929059</v>
      </c>
      <c r="F936">
        <f t="shared" si="29"/>
        <v>0.97222847369131671</v>
      </c>
    </row>
    <row r="937" spans="2:6" x14ac:dyDescent="0.45">
      <c r="B937" s="132">
        <v>45524</v>
      </c>
      <c r="C937">
        <v>420.846923828125</v>
      </c>
      <c r="D937">
        <v>5597.1201171875</v>
      </c>
      <c r="E937">
        <f t="shared" si="28"/>
        <v>0.77575111130339103</v>
      </c>
      <c r="F937">
        <f t="shared" si="29"/>
        <v>-0.19845553982971165</v>
      </c>
    </row>
    <row r="938" spans="2:6" x14ac:dyDescent="0.45">
      <c r="B938" s="132">
        <v>45525</v>
      </c>
      <c r="C938">
        <v>420.19305419921881</v>
      </c>
      <c r="D938">
        <v>5620.85009765625</v>
      </c>
      <c r="E938">
        <f t="shared" si="28"/>
        <v>-0.15536994376920132</v>
      </c>
      <c r="F938">
        <f t="shared" si="29"/>
        <v>0.4239676828782013</v>
      </c>
    </row>
    <row r="939" spans="2:6" x14ac:dyDescent="0.45">
      <c r="B939" s="132">
        <v>45526</v>
      </c>
      <c r="C939">
        <v>411.68295288085938</v>
      </c>
      <c r="D939">
        <v>5570.64013671875</v>
      </c>
      <c r="E939">
        <f t="shared" si="28"/>
        <v>-2.0252836721867062</v>
      </c>
      <c r="F939">
        <f t="shared" si="29"/>
        <v>-0.89328055481209256</v>
      </c>
    </row>
    <row r="940" spans="2:6" x14ac:dyDescent="0.45">
      <c r="B940" s="132">
        <v>45527</v>
      </c>
      <c r="C940">
        <v>412.91140747070313</v>
      </c>
      <c r="D940">
        <v>5634.60986328125</v>
      </c>
      <c r="E940">
        <f t="shared" si="28"/>
        <v>0.29839821669741529</v>
      </c>
      <c r="F940">
        <f t="shared" si="29"/>
        <v>1.148337085011919</v>
      </c>
    </row>
    <row r="941" spans="2:6" x14ac:dyDescent="0.45">
      <c r="B941" s="132">
        <v>45530</v>
      </c>
      <c r="C941">
        <v>409.64212036132813</v>
      </c>
      <c r="D941">
        <v>5616.83984375</v>
      </c>
      <c r="E941">
        <f t="shared" si="28"/>
        <v>-0.79176478300783115</v>
      </c>
      <c r="F941">
        <f t="shared" si="29"/>
        <v>-0.31537266931381813</v>
      </c>
    </row>
    <row r="942" spans="2:6" x14ac:dyDescent="0.45">
      <c r="B942" s="132">
        <v>45531</v>
      </c>
      <c r="C942">
        <v>409.98886108398438</v>
      </c>
      <c r="D942">
        <v>5625.7998046875</v>
      </c>
      <c r="E942">
        <f t="shared" si="28"/>
        <v>8.4644792471633146E-2</v>
      </c>
      <c r="F942">
        <f t="shared" si="29"/>
        <v>0.15951960865450143</v>
      </c>
    </row>
    <row r="943" spans="2:6" x14ac:dyDescent="0.45">
      <c r="B943" s="132">
        <v>45532</v>
      </c>
      <c r="C943">
        <v>406.77902221679688</v>
      </c>
      <c r="D943">
        <v>5592.18017578125</v>
      </c>
      <c r="E943">
        <f t="shared" si="28"/>
        <v>-0.78290879871732999</v>
      </c>
      <c r="F943">
        <f t="shared" si="29"/>
        <v>-0.59759732079761596</v>
      </c>
    </row>
    <row r="944" spans="2:6" x14ac:dyDescent="0.45">
      <c r="B944" s="132">
        <v>45533</v>
      </c>
      <c r="C944">
        <v>409.27557373046881</v>
      </c>
      <c r="D944">
        <v>5591.9599609375</v>
      </c>
      <c r="E944">
        <f t="shared" si="28"/>
        <v>0.61373654424621282</v>
      </c>
      <c r="F944">
        <f t="shared" si="29"/>
        <v>-3.9379068060729772E-3</v>
      </c>
    </row>
    <row r="945" spans="2:6" x14ac:dyDescent="0.45">
      <c r="B945" s="132">
        <v>45534</v>
      </c>
      <c r="C945">
        <v>413.25823974609381</v>
      </c>
      <c r="D945">
        <v>5648.39990234375</v>
      </c>
      <c r="E945">
        <f t="shared" si="28"/>
        <v>0.97310132127450544</v>
      </c>
      <c r="F945">
        <f t="shared" si="29"/>
        <v>1.0093051774424433</v>
      </c>
    </row>
    <row r="946" spans="2:6" x14ac:dyDescent="0.45">
      <c r="B946" s="132">
        <v>45538</v>
      </c>
      <c r="C946">
        <v>405.62982177734381</v>
      </c>
      <c r="D946">
        <v>5528.93017578125</v>
      </c>
      <c r="E946">
        <f t="shared" si="28"/>
        <v>-1.8459203556199899</v>
      </c>
      <c r="F946">
        <f t="shared" si="29"/>
        <v>-2.1151074397711689</v>
      </c>
    </row>
    <row r="947" spans="2:6" x14ac:dyDescent="0.45">
      <c r="B947" s="132">
        <v>45539</v>
      </c>
      <c r="C947">
        <v>405.09487915039063</v>
      </c>
      <c r="D947">
        <v>5520.06982421875</v>
      </c>
      <c r="E947">
        <f t="shared" si="28"/>
        <v>-0.13187951137547671</v>
      </c>
      <c r="F947">
        <f t="shared" si="29"/>
        <v>-0.16025435809103872</v>
      </c>
    </row>
    <row r="948" spans="2:6" x14ac:dyDescent="0.45">
      <c r="B948" s="132">
        <v>45540</v>
      </c>
      <c r="C948">
        <v>404.589599609375</v>
      </c>
      <c r="D948">
        <v>5503.41015625</v>
      </c>
      <c r="E948">
        <f t="shared" si="28"/>
        <v>-0.12473115979035887</v>
      </c>
      <c r="F948">
        <f t="shared" si="29"/>
        <v>-0.30180176155847338</v>
      </c>
    </row>
    <row r="949" spans="2:6" x14ac:dyDescent="0.45">
      <c r="B949" s="132">
        <v>45541</v>
      </c>
      <c r="C949">
        <v>397.96188354492188</v>
      </c>
      <c r="D949">
        <v>5408.419921875</v>
      </c>
      <c r="E949">
        <f t="shared" si="28"/>
        <v>-1.6381330787672455</v>
      </c>
      <c r="F949">
        <f t="shared" si="29"/>
        <v>-1.7260249859284649</v>
      </c>
    </row>
    <row r="950" spans="2:6" x14ac:dyDescent="0.45">
      <c r="B950" s="132">
        <v>45544</v>
      </c>
      <c r="C950">
        <v>401.9444580078125</v>
      </c>
      <c r="D950">
        <v>5471.0498046875</v>
      </c>
      <c r="E950">
        <f t="shared" si="28"/>
        <v>1.0007426910876749</v>
      </c>
      <c r="F950">
        <f t="shared" si="29"/>
        <v>1.1580070282484201</v>
      </c>
    </row>
    <row r="951" spans="2:6" x14ac:dyDescent="0.45">
      <c r="B951" s="132">
        <v>45545</v>
      </c>
      <c r="C951">
        <v>410.3455810546875</v>
      </c>
      <c r="D951">
        <v>5495.52001953125</v>
      </c>
      <c r="E951">
        <f t="shared" si="28"/>
        <v>2.0901203834266413</v>
      </c>
      <c r="F951">
        <f t="shared" si="29"/>
        <v>0.44726726528396821</v>
      </c>
    </row>
    <row r="952" spans="2:6" x14ac:dyDescent="0.45">
      <c r="B952" s="132">
        <v>45546</v>
      </c>
      <c r="C952">
        <v>419.10330200195313</v>
      </c>
      <c r="D952">
        <v>5554.1298828125</v>
      </c>
      <c r="E952">
        <f t="shared" si="28"/>
        <v>2.1342305977211096</v>
      </c>
      <c r="F952">
        <f t="shared" si="29"/>
        <v>1.0665025888896507</v>
      </c>
    </row>
    <row r="953" spans="2:6" x14ac:dyDescent="0.45">
      <c r="B953" s="132">
        <v>45547</v>
      </c>
      <c r="C953">
        <v>423.02642822265619</v>
      </c>
      <c r="D953">
        <v>5595.759765625</v>
      </c>
      <c r="E953">
        <f t="shared" si="28"/>
        <v>0.93607618979933971</v>
      </c>
      <c r="F953">
        <f t="shared" si="29"/>
        <v>0.74953023589392487</v>
      </c>
    </row>
    <row r="954" spans="2:6" x14ac:dyDescent="0.45">
      <c r="B954" s="132">
        <v>45548</v>
      </c>
      <c r="C954">
        <v>426.5830078125</v>
      </c>
      <c r="D954">
        <v>5626.02001953125</v>
      </c>
      <c r="E954">
        <f t="shared" si="28"/>
        <v>0.84074642919751419</v>
      </c>
      <c r="F954">
        <f t="shared" si="29"/>
        <v>0.5407711405364557</v>
      </c>
    </row>
    <row r="955" spans="2:6" x14ac:dyDescent="0.45">
      <c r="B955" s="132">
        <v>45551</v>
      </c>
      <c r="C955">
        <v>427.32601928710938</v>
      </c>
      <c r="D955">
        <v>5633.08984375</v>
      </c>
      <c r="E955">
        <f t="shared" si="28"/>
        <v>0.17417746628480835</v>
      </c>
      <c r="F955">
        <f t="shared" si="29"/>
        <v>0.12566297656613212</v>
      </c>
    </row>
    <row r="956" spans="2:6" x14ac:dyDescent="0.45">
      <c r="B956" s="132">
        <v>45552</v>
      </c>
      <c r="C956">
        <v>431.10055541992188</v>
      </c>
      <c r="D956">
        <v>5634.580078125</v>
      </c>
      <c r="E956">
        <f t="shared" si="28"/>
        <v>0.88329190417877346</v>
      </c>
      <c r="F956">
        <f t="shared" si="29"/>
        <v>2.6455008109871336E-2</v>
      </c>
    </row>
    <row r="957" spans="2:6" x14ac:dyDescent="0.45">
      <c r="B957" s="132">
        <v>45553</v>
      </c>
      <c r="C957">
        <v>426.80096435546881</v>
      </c>
      <c r="D957">
        <v>5618.259765625</v>
      </c>
      <c r="E957">
        <f t="shared" si="28"/>
        <v>-0.99735224424959412</v>
      </c>
      <c r="F957">
        <f t="shared" si="29"/>
        <v>-0.28964558624980929</v>
      </c>
    </row>
    <row r="958" spans="2:6" x14ac:dyDescent="0.45">
      <c r="B958" s="132">
        <v>45554</v>
      </c>
      <c r="C958">
        <v>434.60763549804688</v>
      </c>
      <c r="D958">
        <v>5713.64013671875</v>
      </c>
      <c r="E958">
        <f t="shared" si="28"/>
        <v>1.829112817110734</v>
      </c>
      <c r="F958">
        <f t="shared" si="29"/>
        <v>1.6976853166763339</v>
      </c>
    </row>
    <row r="959" spans="2:6" x14ac:dyDescent="0.45">
      <c r="B959" s="132">
        <v>45555</v>
      </c>
      <c r="C959">
        <v>431.21942138671881</v>
      </c>
      <c r="D959">
        <v>5702.5498046875</v>
      </c>
      <c r="E959">
        <f t="shared" si="28"/>
        <v>-0.77960298774900627</v>
      </c>
      <c r="F959">
        <f t="shared" si="29"/>
        <v>-0.19410273951238066</v>
      </c>
    </row>
    <row r="960" spans="2:6" x14ac:dyDescent="0.45">
      <c r="B960" s="132">
        <v>45558</v>
      </c>
      <c r="C960">
        <v>429.475830078125</v>
      </c>
      <c r="D960">
        <v>5718.56982421875</v>
      </c>
      <c r="E960">
        <f t="shared" si="28"/>
        <v>-0.40433969856615848</v>
      </c>
      <c r="F960">
        <f t="shared" si="29"/>
        <v>0.28092730585327352</v>
      </c>
    </row>
    <row r="961" spans="2:6" x14ac:dyDescent="0.45">
      <c r="B961" s="132">
        <v>45559</v>
      </c>
      <c r="C961">
        <v>425.17626953125</v>
      </c>
      <c r="D961">
        <v>5732.93017578125</v>
      </c>
      <c r="E961">
        <f t="shared" si="28"/>
        <v>-1.0011181644594247</v>
      </c>
      <c r="F961">
        <f t="shared" si="29"/>
        <v>0.25111788443470395</v>
      </c>
    </row>
    <row r="962" spans="2:6" x14ac:dyDescent="0.45">
      <c r="B962" s="132">
        <v>45560</v>
      </c>
      <c r="C962">
        <v>428.08883666992188</v>
      </c>
      <c r="D962">
        <v>5722.259765625</v>
      </c>
      <c r="E962">
        <f t="shared" si="28"/>
        <v>0.68502579927212093</v>
      </c>
      <c r="F962">
        <f t="shared" si="29"/>
        <v>-0.18612489301417234</v>
      </c>
    </row>
    <row r="963" spans="2:6" x14ac:dyDescent="0.45">
      <c r="B963" s="132">
        <v>45561</v>
      </c>
      <c r="C963">
        <v>427.29629516601563</v>
      </c>
      <c r="D963">
        <v>5745.3701171875</v>
      </c>
      <c r="E963">
        <f t="shared" si="28"/>
        <v>-0.18513482156445882</v>
      </c>
      <c r="F963">
        <f t="shared" si="29"/>
        <v>0.40386757171231302</v>
      </c>
    </row>
    <row r="964" spans="2:6" x14ac:dyDescent="0.45">
      <c r="B964" s="132">
        <v>45562</v>
      </c>
      <c r="C964">
        <v>424.03689575195313</v>
      </c>
      <c r="D964">
        <v>5738.169921875</v>
      </c>
      <c r="E964">
        <f t="shared" si="28"/>
        <v>-0.76279608574564284</v>
      </c>
      <c r="F964">
        <f t="shared" si="29"/>
        <v>-0.12532169669905446</v>
      </c>
    </row>
    <row r="965" spans="2:6" x14ac:dyDescent="0.45">
      <c r="B965" s="132">
        <v>45565</v>
      </c>
      <c r="C965">
        <v>426.29571533203119</v>
      </c>
      <c r="D965">
        <v>5762.47998046875</v>
      </c>
      <c r="E965">
        <f t="shared" si="28"/>
        <v>0.53269411287253376</v>
      </c>
      <c r="F965">
        <f t="shared" si="29"/>
        <v>0.42365525811767224</v>
      </c>
    </row>
    <row r="966" spans="2:6" x14ac:dyDescent="0.45">
      <c r="B966" s="132">
        <v>45566</v>
      </c>
      <c r="C966">
        <v>416.77517700195313</v>
      </c>
      <c r="D966">
        <v>5708.75</v>
      </c>
      <c r="E966">
        <f t="shared" si="28"/>
        <v>-2.2333178560480671</v>
      </c>
      <c r="F966">
        <f t="shared" si="29"/>
        <v>-0.93241070946643578</v>
      </c>
    </row>
    <row r="967" spans="2:6" x14ac:dyDescent="0.45">
      <c r="B967" s="132">
        <v>45567</v>
      </c>
      <c r="C967">
        <v>413.24826049804688</v>
      </c>
      <c r="D967">
        <v>5709.5400390625</v>
      </c>
      <c r="E967">
        <f t="shared" si="28"/>
        <v>-0.8462395791603794</v>
      </c>
      <c r="F967">
        <f t="shared" si="29"/>
        <v>1.3839090212397487E-2</v>
      </c>
    </row>
    <row r="968" spans="2:6" x14ac:dyDescent="0.45">
      <c r="B968" s="132">
        <v>45568</v>
      </c>
      <c r="C968">
        <v>412.66375732421881</v>
      </c>
      <c r="D968">
        <v>5699.93994140625</v>
      </c>
      <c r="E968">
        <f t="shared" ref="E968:E1031" si="30">((C968/C967)-1)*100</f>
        <v>-0.14144116980036037</v>
      </c>
      <c r="F968">
        <f t="shared" ref="F968:F1031" si="31">((D968/D967)-1)*100</f>
        <v>-0.1681413492255035</v>
      </c>
    </row>
    <row r="969" spans="2:6" x14ac:dyDescent="0.45">
      <c r="B969" s="132">
        <v>45569</v>
      </c>
      <c r="C969">
        <v>412.18826293945313</v>
      </c>
      <c r="D969">
        <v>5751.06982421875</v>
      </c>
      <c r="E969">
        <f t="shared" si="30"/>
        <v>-0.11522562287729077</v>
      </c>
      <c r="F969">
        <f t="shared" si="31"/>
        <v>0.89702493952743545</v>
      </c>
    </row>
    <row r="970" spans="2:6" x14ac:dyDescent="0.45">
      <c r="B970" s="132">
        <v>45572</v>
      </c>
      <c r="C970">
        <v>405.72891235351563</v>
      </c>
      <c r="D970">
        <v>5695.93994140625</v>
      </c>
      <c r="E970">
        <f t="shared" si="30"/>
        <v>-1.567087461412342</v>
      </c>
      <c r="F970">
        <f t="shared" si="31"/>
        <v>-0.95860221658826683</v>
      </c>
    </row>
    <row r="971" spans="2:6" x14ac:dyDescent="0.45">
      <c r="B971" s="132">
        <v>45573</v>
      </c>
      <c r="C971">
        <v>410.85076904296881</v>
      </c>
      <c r="D971">
        <v>5751.1298828125</v>
      </c>
      <c r="E971">
        <f t="shared" si="30"/>
        <v>1.2623839547797555</v>
      </c>
      <c r="F971">
        <f t="shared" si="31"/>
        <v>0.96893474955819237</v>
      </c>
    </row>
    <row r="972" spans="2:6" x14ac:dyDescent="0.45">
      <c r="B972" s="132">
        <v>45574</v>
      </c>
      <c r="C972">
        <v>413.5751953125</v>
      </c>
      <c r="D972">
        <v>5792.0400390625</v>
      </c>
      <c r="E972">
        <f t="shared" si="30"/>
        <v>0.66311821099360735</v>
      </c>
      <c r="F972">
        <f t="shared" si="31"/>
        <v>0.71134119874882717</v>
      </c>
    </row>
    <row r="973" spans="2:6" x14ac:dyDescent="0.45">
      <c r="B973" s="132">
        <v>45575</v>
      </c>
      <c r="C973">
        <v>411.97024536132813</v>
      </c>
      <c r="D973">
        <v>5780.0498046875</v>
      </c>
      <c r="E973">
        <f t="shared" si="30"/>
        <v>-0.38806726548461512</v>
      </c>
      <c r="F973">
        <f t="shared" si="31"/>
        <v>-0.2070122839989974</v>
      </c>
    </row>
    <row r="974" spans="2:6" x14ac:dyDescent="0.45">
      <c r="B974" s="132">
        <v>45576</v>
      </c>
      <c r="C974">
        <v>412.44583129882813</v>
      </c>
      <c r="D974">
        <v>5815.02978515625</v>
      </c>
      <c r="E974">
        <f t="shared" si="30"/>
        <v>0.11544181718339264</v>
      </c>
      <c r="F974">
        <f t="shared" si="31"/>
        <v>0.60518475879536293</v>
      </c>
    </row>
    <row r="975" spans="2:6" x14ac:dyDescent="0.45">
      <c r="B975" s="132">
        <v>45579</v>
      </c>
      <c r="C975">
        <v>415.23956298828119</v>
      </c>
      <c r="D975">
        <v>5859.85009765625</v>
      </c>
      <c r="E975">
        <f t="shared" si="30"/>
        <v>0.67735723759296818</v>
      </c>
      <c r="F975">
        <f t="shared" si="31"/>
        <v>0.77076668832223305</v>
      </c>
    </row>
    <row r="976" spans="2:6" x14ac:dyDescent="0.45">
      <c r="B976" s="132">
        <v>45580</v>
      </c>
      <c r="C976">
        <v>414.84323120117188</v>
      </c>
      <c r="D976">
        <v>5815.259765625</v>
      </c>
      <c r="E976">
        <f t="shared" si="30"/>
        <v>-9.5446537959220645E-2</v>
      </c>
      <c r="F976">
        <f t="shared" si="31"/>
        <v>-0.76094663324381973</v>
      </c>
    </row>
    <row r="977" spans="2:6" x14ac:dyDescent="0.45">
      <c r="B977" s="132">
        <v>45581</v>
      </c>
      <c r="C977">
        <v>412.24765014648438</v>
      </c>
      <c r="D977">
        <v>5842.47021484375</v>
      </c>
      <c r="E977">
        <f t="shared" si="30"/>
        <v>-0.62567757154239345</v>
      </c>
      <c r="F977">
        <f t="shared" si="31"/>
        <v>0.46791459565738158</v>
      </c>
    </row>
    <row r="978" spans="2:6" x14ac:dyDescent="0.45">
      <c r="B978" s="132">
        <v>45582</v>
      </c>
      <c r="C978">
        <v>412.84210205078119</v>
      </c>
      <c r="D978">
        <v>5841.47021484375</v>
      </c>
      <c r="E978">
        <f t="shared" si="30"/>
        <v>0.14419776658172179</v>
      </c>
      <c r="F978">
        <f t="shared" si="31"/>
        <v>-1.7116047891174713E-2</v>
      </c>
    </row>
    <row r="979" spans="2:6" x14ac:dyDescent="0.45">
      <c r="B979" s="132">
        <v>45583</v>
      </c>
      <c r="C979">
        <v>414.26870727539063</v>
      </c>
      <c r="D979">
        <v>5864.669921875</v>
      </c>
      <c r="E979">
        <f t="shared" si="30"/>
        <v>0.34555710706898335</v>
      </c>
      <c r="F979">
        <f t="shared" si="31"/>
        <v>0.39715527389487804</v>
      </c>
    </row>
    <row r="980" spans="2:6" x14ac:dyDescent="0.45">
      <c r="B980" s="132">
        <v>45586</v>
      </c>
      <c r="C980">
        <v>414.8829345703125</v>
      </c>
      <c r="D980">
        <v>5853.97998046875</v>
      </c>
      <c r="E980">
        <f t="shared" si="30"/>
        <v>0.1482678474465482</v>
      </c>
      <c r="F980">
        <f t="shared" si="31"/>
        <v>-0.18227694906369774</v>
      </c>
    </row>
    <row r="981" spans="2:6" x14ac:dyDescent="0.45">
      <c r="B981" s="132">
        <v>45587</v>
      </c>
      <c r="C981">
        <v>423.53170776367188</v>
      </c>
      <c r="D981">
        <v>5851.2001953125</v>
      </c>
      <c r="E981">
        <f t="shared" si="30"/>
        <v>2.0846297769072653</v>
      </c>
      <c r="F981">
        <f t="shared" si="31"/>
        <v>-4.7485388838441889E-2</v>
      </c>
    </row>
    <row r="982" spans="2:6" x14ac:dyDescent="0.45">
      <c r="B982" s="132">
        <v>45588</v>
      </c>
      <c r="C982">
        <v>420.64877319335938</v>
      </c>
      <c r="D982">
        <v>5797.419921875</v>
      </c>
      <c r="E982">
        <f t="shared" si="30"/>
        <v>-0.68068919456701904</v>
      </c>
      <c r="F982">
        <f t="shared" si="31"/>
        <v>-0.91913234280693867</v>
      </c>
    </row>
    <row r="983" spans="2:6" x14ac:dyDescent="0.45">
      <c r="B983" s="132">
        <v>45589</v>
      </c>
      <c r="C983">
        <v>420.77755737304688</v>
      </c>
      <c r="D983">
        <v>5809.85986328125</v>
      </c>
      <c r="E983">
        <f t="shared" si="30"/>
        <v>3.0615608054640475E-2</v>
      </c>
      <c r="F983">
        <f t="shared" si="31"/>
        <v>0.2145772011323821</v>
      </c>
    </row>
    <row r="984" spans="2:6" x14ac:dyDescent="0.45">
      <c r="B984" s="132">
        <v>45590</v>
      </c>
      <c r="C984">
        <v>424.16567993164063</v>
      </c>
      <c r="D984">
        <v>5808.1201171875</v>
      </c>
      <c r="E984">
        <f t="shared" si="30"/>
        <v>0.80520514918764885</v>
      </c>
      <c r="F984">
        <f t="shared" si="31"/>
        <v>-2.9944716993013376E-2</v>
      </c>
    </row>
    <row r="985" spans="2:6" x14ac:dyDescent="0.45">
      <c r="B985" s="132">
        <v>45593</v>
      </c>
      <c r="C985">
        <v>422.62017822265619</v>
      </c>
      <c r="D985">
        <v>5823.52001953125</v>
      </c>
      <c r="E985">
        <f t="shared" si="30"/>
        <v>-0.36436274364147758</v>
      </c>
      <c r="F985">
        <f t="shared" si="31"/>
        <v>0.26514435020339455</v>
      </c>
    </row>
    <row r="986" spans="2:6" x14ac:dyDescent="0.45">
      <c r="B986" s="132">
        <v>45594</v>
      </c>
      <c r="C986">
        <v>427.93038940429688</v>
      </c>
      <c r="D986">
        <v>5832.919921875</v>
      </c>
      <c r="E986">
        <f t="shared" si="30"/>
        <v>1.2564973125450241</v>
      </c>
      <c r="F986">
        <f t="shared" si="31"/>
        <v>0.1614127248163344</v>
      </c>
    </row>
    <row r="987" spans="2:6" x14ac:dyDescent="0.45">
      <c r="B987" s="132">
        <v>45595</v>
      </c>
      <c r="C987">
        <v>428.50497436523438</v>
      </c>
      <c r="D987">
        <v>5813.669921875</v>
      </c>
      <c r="E987">
        <f t="shared" si="30"/>
        <v>0.1342706606411781</v>
      </c>
      <c r="F987">
        <f t="shared" si="31"/>
        <v>-0.33002338893437511</v>
      </c>
    </row>
    <row r="988" spans="2:6" x14ac:dyDescent="0.45">
      <c r="B988" s="132">
        <v>45596</v>
      </c>
      <c r="C988">
        <v>402.568603515625</v>
      </c>
      <c r="D988">
        <v>5705.4501953125</v>
      </c>
      <c r="E988">
        <f t="shared" si="30"/>
        <v>-6.0527584045039884</v>
      </c>
      <c r="F988">
        <f t="shared" si="31"/>
        <v>-1.8614700871699585</v>
      </c>
    </row>
    <row r="989" spans="2:6" x14ac:dyDescent="0.45">
      <c r="B989" s="132">
        <v>45597</v>
      </c>
      <c r="C989">
        <v>406.55117797851563</v>
      </c>
      <c r="D989">
        <v>5728.7998046875</v>
      </c>
      <c r="E989">
        <f t="shared" si="30"/>
        <v>0.98929087566961282</v>
      </c>
      <c r="F989">
        <f t="shared" si="31"/>
        <v>0.4092509543626166</v>
      </c>
    </row>
    <row r="990" spans="2:6" x14ac:dyDescent="0.45">
      <c r="B990" s="132">
        <v>45600</v>
      </c>
      <c r="C990">
        <v>404.658935546875</v>
      </c>
      <c r="D990">
        <v>5712.68994140625</v>
      </c>
      <c r="E990">
        <f t="shared" si="30"/>
        <v>-0.46543769496607545</v>
      </c>
      <c r="F990">
        <f t="shared" si="31"/>
        <v>-0.2812083478299976</v>
      </c>
    </row>
    <row r="991" spans="2:6" x14ac:dyDescent="0.45">
      <c r="B991" s="132">
        <v>45601</v>
      </c>
      <c r="C991">
        <v>407.63101196289063</v>
      </c>
      <c r="D991">
        <v>5782.759765625</v>
      </c>
      <c r="E991">
        <f t="shared" si="30"/>
        <v>0.73446454654437776</v>
      </c>
      <c r="F991">
        <f t="shared" si="31"/>
        <v>1.2265644545291332</v>
      </c>
    </row>
    <row r="992" spans="2:6" x14ac:dyDescent="0.45">
      <c r="B992" s="132">
        <v>45602</v>
      </c>
      <c r="C992">
        <v>416.26986694335938</v>
      </c>
      <c r="D992">
        <v>5929.0400390625</v>
      </c>
      <c r="E992">
        <f t="shared" si="30"/>
        <v>2.1192830591739265</v>
      </c>
      <c r="F992">
        <f t="shared" si="31"/>
        <v>2.5295927786425976</v>
      </c>
    </row>
    <row r="993" spans="2:6" x14ac:dyDescent="0.45">
      <c r="B993" s="132">
        <v>45603</v>
      </c>
      <c r="C993">
        <v>421.47103881835938</v>
      </c>
      <c r="D993">
        <v>5973.10009765625</v>
      </c>
      <c r="E993">
        <f t="shared" si="30"/>
        <v>1.2494711455315777</v>
      </c>
      <c r="F993">
        <f t="shared" si="31"/>
        <v>0.7431229727488331</v>
      </c>
    </row>
    <row r="994" spans="2:6" x14ac:dyDescent="0.45">
      <c r="B994" s="132">
        <v>45604</v>
      </c>
      <c r="C994">
        <v>418.60794067382813</v>
      </c>
      <c r="D994">
        <v>5995.5400390625</v>
      </c>
      <c r="E994">
        <f t="shared" si="30"/>
        <v>-0.67931076653766631</v>
      </c>
      <c r="F994">
        <f t="shared" si="31"/>
        <v>0.37568333092317108</v>
      </c>
    </row>
    <row r="995" spans="2:6" x14ac:dyDescent="0.45">
      <c r="B995" s="132">
        <v>45607</v>
      </c>
      <c r="C995">
        <v>414.1201171875</v>
      </c>
      <c r="D995">
        <v>6001.35009765625</v>
      </c>
      <c r="E995">
        <f t="shared" si="30"/>
        <v>-1.0720827414559153</v>
      </c>
      <c r="F995">
        <f t="shared" si="31"/>
        <v>9.6906342979874438E-2</v>
      </c>
    </row>
    <row r="996" spans="2:6" x14ac:dyDescent="0.45">
      <c r="B996" s="132">
        <v>45608</v>
      </c>
      <c r="C996">
        <v>419.0933837890625</v>
      </c>
      <c r="D996">
        <v>5983.990234375</v>
      </c>
      <c r="E996">
        <f t="shared" si="30"/>
        <v>1.2009236922220667</v>
      </c>
      <c r="F996">
        <f t="shared" si="31"/>
        <v>-0.28926596513724201</v>
      </c>
    </row>
    <row r="997" spans="2:6" x14ac:dyDescent="0.45">
      <c r="B997" s="132">
        <v>45609</v>
      </c>
      <c r="C997">
        <v>421.2431640625</v>
      </c>
      <c r="D997">
        <v>5985.3798828125</v>
      </c>
      <c r="E997">
        <f t="shared" si="30"/>
        <v>0.51295972606417717</v>
      </c>
      <c r="F997">
        <f t="shared" si="31"/>
        <v>2.3222772482434095E-2</v>
      </c>
    </row>
    <row r="998" spans="2:6" x14ac:dyDescent="0.45">
      <c r="B998" s="132">
        <v>45610</v>
      </c>
      <c r="C998">
        <v>422.91748046875</v>
      </c>
      <c r="D998">
        <v>5949.169921875</v>
      </c>
      <c r="E998">
        <f t="shared" si="30"/>
        <v>0.39747028535792595</v>
      </c>
      <c r="F998">
        <f t="shared" si="31"/>
        <v>-0.60497347948590408</v>
      </c>
    </row>
    <row r="999" spans="2:6" x14ac:dyDescent="0.45">
      <c r="B999" s="132">
        <v>45611</v>
      </c>
      <c r="C999">
        <v>411.13809204101563</v>
      </c>
      <c r="D999">
        <v>5870.6201171875</v>
      </c>
      <c r="E999">
        <f t="shared" si="30"/>
        <v>-2.7852687514071106</v>
      </c>
      <c r="F999">
        <f t="shared" si="31"/>
        <v>-1.3203489851361216</v>
      </c>
    </row>
    <row r="1000" spans="2:6" x14ac:dyDescent="0.45">
      <c r="B1000" s="132">
        <v>45614</v>
      </c>
      <c r="C1000">
        <v>411.89102172851563</v>
      </c>
      <c r="D1000">
        <v>5893.6201171875</v>
      </c>
      <c r="E1000">
        <f t="shared" si="30"/>
        <v>0.18313304023040988</v>
      </c>
      <c r="F1000">
        <f t="shared" si="31"/>
        <v>0.39178143945410859</v>
      </c>
    </row>
    <row r="1001" spans="2:6" x14ac:dyDescent="0.45">
      <c r="B1001" s="132">
        <v>45615</v>
      </c>
      <c r="C1001">
        <v>413.90216064453119</v>
      </c>
      <c r="D1001">
        <v>5916.97998046875</v>
      </c>
      <c r="E1001">
        <f t="shared" si="30"/>
        <v>0.48826966598489729</v>
      </c>
      <c r="F1001">
        <f t="shared" si="31"/>
        <v>0.39635848284700348</v>
      </c>
    </row>
    <row r="1002" spans="2:6" x14ac:dyDescent="0.45">
      <c r="B1002" s="132">
        <v>45616</v>
      </c>
      <c r="C1002">
        <v>411.62350463867188</v>
      </c>
      <c r="D1002">
        <v>5917.10986328125</v>
      </c>
      <c r="E1002">
        <f t="shared" si="30"/>
        <v>-0.55053010651381351</v>
      </c>
      <c r="F1002">
        <f t="shared" si="31"/>
        <v>2.195086225209586E-3</v>
      </c>
    </row>
    <row r="1003" spans="2:6" x14ac:dyDescent="0.45">
      <c r="B1003" s="132">
        <v>45617</v>
      </c>
      <c r="C1003">
        <v>409.84664916992188</v>
      </c>
      <c r="D1003">
        <v>5948.7099609375</v>
      </c>
      <c r="E1003">
        <f t="shared" si="30"/>
        <v>-0.43167006954808462</v>
      </c>
      <c r="F1003">
        <f t="shared" si="31"/>
        <v>0.53404615405816536</v>
      </c>
    </row>
    <row r="1004" spans="2:6" x14ac:dyDescent="0.45">
      <c r="B1004" s="132">
        <v>45618</v>
      </c>
      <c r="C1004">
        <v>413.94638061523438</v>
      </c>
      <c r="D1004">
        <v>5969.33984375</v>
      </c>
      <c r="E1004">
        <f t="shared" si="30"/>
        <v>1.0003086407113004</v>
      </c>
      <c r="F1004">
        <f t="shared" si="31"/>
        <v>0.34679590949915351</v>
      </c>
    </row>
    <row r="1005" spans="2:6" x14ac:dyDescent="0.45">
      <c r="B1005" s="132">
        <v>45621</v>
      </c>
      <c r="C1005">
        <v>415.72329711914063</v>
      </c>
      <c r="D1005">
        <v>5987.3701171875</v>
      </c>
      <c r="E1005">
        <f t="shared" si="30"/>
        <v>0.42926248111296861</v>
      </c>
      <c r="F1005">
        <f t="shared" si="31"/>
        <v>0.30204803059383778</v>
      </c>
    </row>
    <row r="1006" spans="2:6" x14ac:dyDescent="0.45">
      <c r="B1006" s="132">
        <v>45622</v>
      </c>
      <c r="C1006">
        <v>424.85592651367188</v>
      </c>
      <c r="D1006">
        <v>6021.6298828125</v>
      </c>
      <c r="E1006">
        <f t="shared" si="30"/>
        <v>2.1968048117144479</v>
      </c>
      <c r="F1006">
        <f t="shared" si="31"/>
        <v>0.57220056476303682</v>
      </c>
    </row>
    <row r="1007" spans="2:6" x14ac:dyDescent="0.45">
      <c r="B1007" s="132">
        <v>45623</v>
      </c>
      <c r="C1007">
        <v>419.89251708984381</v>
      </c>
      <c r="D1007">
        <v>5998.740234375</v>
      </c>
      <c r="E1007">
        <f t="shared" si="30"/>
        <v>-1.1682570758886013</v>
      </c>
      <c r="F1007">
        <f t="shared" si="31"/>
        <v>-0.3801238017440034</v>
      </c>
    </row>
    <row r="1008" spans="2:6" x14ac:dyDescent="0.45">
      <c r="B1008" s="132">
        <v>45625</v>
      </c>
      <c r="C1008">
        <v>420.35906982421881</v>
      </c>
      <c r="D1008">
        <v>6032.3798828125</v>
      </c>
      <c r="E1008">
        <f t="shared" si="30"/>
        <v>0.11111241934211868</v>
      </c>
      <c r="F1008">
        <f t="shared" si="31"/>
        <v>0.56077854888152423</v>
      </c>
    </row>
    <row r="1009" spans="2:6" x14ac:dyDescent="0.45">
      <c r="B1009" s="132">
        <v>45628</v>
      </c>
      <c r="C1009">
        <v>427.82403564453119</v>
      </c>
      <c r="D1009">
        <v>6047.14990234375</v>
      </c>
      <c r="E1009">
        <f t="shared" si="30"/>
        <v>1.7758545862788244</v>
      </c>
      <c r="F1009">
        <f t="shared" si="31"/>
        <v>0.24484564662998753</v>
      </c>
    </row>
    <row r="1010" spans="2:6" x14ac:dyDescent="0.45">
      <c r="B1010" s="132">
        <v>45629</v>
      </c>
      <c r="C1010">
        <v>428.04241943359381</v>
      </c>
      <c r="D1010">
        <v>6049.8798828125</v>
      </c>
      <c r="E1010">
        <f t="shared" si="30"/>
        <v>5.1045236094227064E-2</v>
      </c>
      <c r="F1010">
        <f t="shared" si="31"/>
        <v>4.5144911451466818E-2</v>
      </c>
    </row>
    <row r="1011" spans="2:6" x14ac:dyDescent="0.45">
      <c r="B1011" s="132">
        <v>45630</v>
      </c>
      <c r="C1011">
        <v>434.21688842773438</v>
      </c>
      <c r="D1011">
        <v>6086.490234375</v>
      </c>
      <c r="E1011">
        <f t="shared" si="30"/>
        <v>1.4424899761829479</v>
      </c>
      <c r="F1011">
        <f t="shared" si="31"/>
        <v>0.60514179242647792</v>
      </c>
    </row>
    <row r="1012" spans="2:6" x14ac:dyDescent="0.45">
      <c r="B1012" s="132">
        <v>45631</v>
      </c>
      <c r="C1012">
        <v>439.3787841796875</v>
      </c>
      <c r="D1012">
        <v>6075.10986328125</v>
      </c>
      <c r="E1012">
        <f t="shared" si="30"/>
        <v>1.1887828155749514</v>
      </c>
      <c r="F1012">
        <f t="shared" si="31"/>
        <v>-0.18697756269248078</v>
      </c>
    </row>
    <row r="1013" spans="2:6" x14ac:dyDescent="0.45">
      <c r="B1013" s="132">
        <v>45632</v>
      </c>
      <c r="C1013">
        <v>440.32186889648438</v>
      </c>
      <c r="D1013">
        <v>6090.27001953125</v>
      </c>
      <c r="E1013">
        <f t="shared" si="30"/>
        <v>0.21464047668062758</v>
      </c>
      <c r="F1013">
        <f t="shared" si="31"/>
        <v>0.24954538421815275</v>
      </c>
    </row>
    <row r="1014" spans="2:6" x14ac:dyDescent="0.45">
      <c r="B1014" s="132">
        <v>45635</v>
      </c>
      <c r="C1014">
        <v>442.75384521484381</v>
      </c>
      <c r="D1014">
        <v>6052.85009765625</v>
      </c>
      <c r="E1014">
        <f t="shared" si="30"/>
        <v>0.5523178588550115</v>
      </c>
      <c r="F1014">
        <f t="shared" si="31"/>
        <v>-0.61442139272964713</v>
      </c>
    </row>
    <row r="1015" spans="2:6" x14ac:dyDescent="0.45">
      <c r="B1015" s="132">
        <v>45636</v>
      </c>
      <c r="C1015">
        <v>440.08358764648438</v>
      </c>
      <c r="D1015">
        <v>6034.91015625</v>
      </c>
      <c r="E1015">
        <f t="shared" si="30"/>
        <v>-0.603102061612526</v>
      </c>
      <c r="F1015">
        <f t="shared" si="31"/>
        <v>-0.2963883313944371</v>
      </c>
    </row>
    <row r="1016" spans="2:6" x14ac:dyDescent="0.45">
      <c r="B1016" s="132">
        <v>45637</v>
      </c>
      <c r="C1016">
        <v>445.7021484375</v>
      </c>
      <c r="D1016">
        <v>6084.18994140625</v>
      </c>
      <c r="E1016">
        <f t="shared" si="30"/>
        <v>1.2767030965783244</v>
      </c>
      <c r="F1016">
        <f t="shared" si="31"/>
        <v>0.8165786048233592</v>
      </c>
    </row>
    <row r="1017" spans="2:6" x14ac:dyDescent="0.45">
      <c r="B1017" s="132">
        <v>45638</v>
      </c>
      <c r="C1017">
        <v>446.26797485351563</v>
      </c>
      <c r="D1017">
        <v>6051.25</v>
      </c>
      <c r="E1017">
        <f t="shared" si="30"/>
        <v>0.12695169139282925</v>
      </c>
      <c r="F1017">
        <f t="shared" si="31"/>
        <v>-0.54140225278102028</v>
      </c>
    </row>
    <row r="1018" spans="2:6" x14ac:dyDescent="0.45">
      <c r="B1018" s="132">
        <v>45639</v>
      </c>
      <c r="C1018">
        <v>443.9947509765625</v>
      </c>
      <c r="D1018">
        <v>6051.08984375</v>
      </c>
      <c r="E1018">
        <f t="shared" si="30"/>
        <v>-0.5093853928683334</v>
      </c>
      <c r="F1018">
        <f t="shared" si="31"/>
        <v>-2.6466639124200775E-3</v>
      </c>
    </row>
    <row r="1019" spans="2:6" x14ac:dyDescent="0.45">
      <c r="B1019" s="132">
        <v>45642</v>
      </c>
      <c r="C1019">
        <v>448.28314208984381</v>
      </c>
      <c r="D1019">
        <v>6074.080078125</v>
      </c>
      <c r="E1019">
        <f t="shared" si="30"/>
        <v>0.9658652729224837</v>
      </c>
      <c r="F1019">
        <f t="shared" si="31"/>
        <v>0.37993543260221863</v>
      </c>
    </row>
    <row r="1020" spans="2:6" x14ac:dyDescent="0.45">
      <c r="B1020" s="132">
        <v>45643</v>
      </c>
      <c r="C1020">
        <v>451.132080078125</v>
      </c>
      <c r="D1020">
        <v>6050.60986328125</v>
      </c>
      <c r="E1020">
        <f t="shared" si="30"/>
        <v>0.63552199955585476</v>
      </c>
      <c r="F1020">
        <f t="shared" si="31"/>
        <v>-0.38639949658014761</v>
      </c>
    </row>
    <row r="1021" spans="2:6" x14ac:dyDescent="0.45">
      <c r="B1021" s="132">
        <v>45644</v>
      </c>
      <c r="C1021">
        <v>434.18710327148438</v>
      </c>
      <c r="D1021">
        <v>5872.16015625</v>
      </c>
      <c r="E1021">
        <f t="shared" si="30"/>
        <v>-3.7561010522031979</v>
      </c>
      <c r="F1021">
        <f t="shared" si="31"/>
        <v>-2.949284635160343</v>
      </c>
    </row>
    <row r="1022" spans="2:6" x14ac:dyDescent="0.45">
      <c r="B1022" s="132">
        <v>45645</v>
      </c>
      <c r="C1022">
        <v>433.82974243164063</v>
      </c>
      <c r="D1022">
        <v>5867.080078125</v>
      </c>
      <c r="E1022">
        <f t="shared" si="30"/>
        <v>-8.2305724226061638E-2</v>
      </c>
      <c r="F1022">
        <f t="shared" si="31"/>
        <v>-8.6511232490704693E-2</v>
      </c>
    </row>
    <row r="1023" spans="2:6" x14ac:dyDescent="0.45">
      <c r="B1023" s="132">
        <v>45646</v>
      </c>
      <c r="C1023">
        <v>433.40289306640619</v>
      </c>
      <c r="D1023">
        <v>5930.85009765625</v>
      </c>
      <c r="E1023">
        <f t="shared" si="30"/>
        <v>-9.8390986943841519E-2</v>
      </c>
      <c r="F1023">
        <f t="shared" si="31"/>
        <v>1.0869123768910471</v>
      </c>
    </row>
    <row r="1024" spans="2:6" x14ac:dyDescent="0.45">
      <c r="B1024" s="132">
        <v>45649</v>
      </c>
      <c r="C1024">
        <v>432.06277465820313</v>
      </c>
      <c r="D1024">
        <v>5974.06982421875</v>
      </c>
      <c r="E1024">
        <f t="shared" si="30"/>
        <v>-0.30920845929788277</v>
      </c>
      <c r="F1024">
        <f t="shared" si="31"/>
        <v>0.72872734685336393</v>
      </c>
    </row>
    <row r="1025" spans="2:6" x14ac:dyDescent="0.45">
      <c r="B1025" s="132">
        <v>45650</v>
      </c>
      <c r="C1025">
        <v>436.11285400390619</v>
      </c>
      <c r="D1025">
        <v>6040.0400390625</v>
      </c>
      <c r="E1025">
        <f t="shared" si="30"/>
        <v>0.93738215445822171</v>
      </c>
      <c r="F1025">
        <f t="shared" si="31"/>
        <v>1.1042759255392109</v>
      </c>
    </row>
    <row r="1026" spans="2:6" x14ac:dyDescent="0.45">
      <c r="B1026" s="132">
        <v>45652</v>
      </c>
      <c r="C1026">
        <v>434.90182495117188</v>
      </c>
      <c r="D1026">
        <v>6037.58984375</v>
      </c>
      <c r="E1026">
        <f t="shared" si="30"/>
        <v>-0.27768708067555936</v>
      </c>
      <c r="F1026">
        <f t="shared" si="31"/>
        <v>-4.0565878647391695E-2</v>
      </c>
    </row>
    <row r="1027" spans="2:6" x14ac:dyDescent="0.45">
      <c r="B1027" s="132">
        <v>45653</v>
      </c>
      <c r="C1027">
        <v>427.3773193359375</v>
      </c>
      <c r="D1027">
        <v>5970.83984375</v>
      </c>
      <c r="E1027">
        <f t="shared" si="30"/>
        <v>-1.7301618856345735</v>
      </c>
      <c r="F1027">
        <f t="shared" si="31"/>
        <v>-1.1055736101235558</v>
      </c>
    </row>
    <row r="1028" spans="2:6" x14ac:dyDescent="0.45">
      <c r="B1028" s="132">
        <v>45656</v>
      </c>
      <c r="C1028">
        <v>421.71908569335938</v>
      </c>
      <c r="D1028">
        <v>5906.93994140625</v>
      </c>
      <c r="E1028">
        <f t="shared" si="30"/>
        <v>-1.3239433602536321</v>
      </c>
      <c r="F1028">
        <f t="shared" si="31"/>
        <v>-1.0701995701766776</v>
      </c>
    </row>
    <row r="1029" spans="2:6" x14ac:dyDescent="0.45">
      <c r="B1029" s="132">
        <v>45657</v>
      </c>
      <c r="C1029">
        <v>418.4134521484375</v>
      </c>
      <c r="D1029">
        <v>5881.6298828125</v>
      </c>
      <c r="E1029">
        <f t="shared" si="30"/>
        <v>-0.7838472711015676</v>
      </c>
      <c r="F1029">
        <f t="shared" si="31"/>
        <v>-0.42848003949274016</v>
      </c>
    </row>
    <row r="1030" spans="2:6" x14ac:dyDescent="0.45">
      <c r="B1030" s="132">
        <v>45659</v>
      </c>
      <c r="C1030">
        <v>415.51483154296881</v>
      </c>
      <c r="D1030">
        <v>5868.5498046875</v>
      </c>
      <c r="E1030">
        <f t="shared" si="30"/>
        <v>-0.69276467823514709</v>
      </c>
      <c r="F1030">
        <f t="shared" si="31"/>
        <v>-0.22238866412221947</v>
      </c>
    </row>
    <row r="1031" spans="2:6" x14ac:dyDescent="0.45">
      <c r="B1031" s="132">
        <v>45660</v>
      </c>
      <c r="C1031">
        <v>420.24993896484381</v>
      </c>
      <c r="D1031">
        <v>5942.47021484375</v>
      </c>
      <c r="E1031">
        <f t="shared" si="30"/>
        <v>1.1395760301242897</v>
      </c>
      <c r="F1031">
        <f t="shared" si="31"/>
        <v>1.259602672149196</v>
      </c>
    </row>
    <row r="1032" spans="2:6" x14ac:dyDescent="0.45">
      <c r="B1032" s="132">
        <v>45663</v>
      </c>
      <c r="C1032">
        <v>424.71697998046881</v>
      </c>
      <c r="D1032">
        <v>5975.3798828125</v>
      </c>
      <c r="E1032">
        <f t="shared" ref="E1032:E1095" si="32">((C1032/C1031)-1)*100</f>
        <v>1.062948641141559</v>
      </c>
      <c r="F1032">
        <f t="shared" ref="F1032:F1095" si="33">((D1032/D1031)-1)*100</f>
        <v>0.55380450854503049</v>
      </c>
    </row>
    <row r="1033" spans="2:6" x14ac:dyDescent="0.45">
      <c r="B1033" s="132">
        <v>45664</v>
      </c>
      <c r="C1033">
        <v>419.277099609375</v>
      </c>
      <c r="D1033">
        <v>5909.02978515625</v>
      </c>
      <c r="E1033">
        <f t="shared" si="32"/>
        <v>-1.2808247909805615</v>
      </c>
      <c r="F1033">
        <f t="shared" si="33"/>
        <v>-1.110391288210788</v>
      </c>
    </row>
    <row r="1034" spans="2:6" x14ac:dyDescent="0.45">
      <c r="B1034" s="132">
        <v>45665</v>
      </c>
      <c r="C1034">
        <v>421.45101928710938</v>
      </c>
      <c r="D1034">
        <v>5918.25</v>
      </c>
      <c r="E1034">
        <f t="shared" si="32"/>
        <v>0.51849234784340226</v>
      </c>
      <c r="F1034">
        <f t="shared" si="33"/>
        <v>0.1560360190925314</v>
      </c>
    </row>
    <row r="1035" spans="2:6" x14ac:dyDescent="0.45">
      <c r="B1035" s="132">
        <v>45667</v>
      </c>
      <c r="C1035">
        <v>415.88214111328119</v>
      </c>
      <c r="D1035">
        <v>5827.0400390625</v>
      </c>
      <c r="E1035">
        <f t="shared" si="32"/>
        <v>-1.3213583356016079</v>
      </c>
      <c r="F1035">
        <f t="shared" si="33"/>
        <v>-1.541164380306681</v>
      </c>
    </row>
    <row r="1036" spans="2:6" x14ac:dyDescent="0.45">
      <c r="B1036" s="132">
        <v>45670</v>
      </c>
      <c r="C1036">
        <v>414.13504028320313</v>
      </c>
      <c r="D1036">
        <v>5836.22021484375</v>
      </c>
      <c r="E1036">
        <f t="shared" si="32"/>
        <v>-0.42009518018764069</v>
      </c>
      <c r="F1036">
        <f t="shared" si="33"/>
        <v>0.15754440882007614</v>
      </c>
    </row>
    <row r="1037" spans="2:6" x14ac:dyDescent="0.45">
      <c r="B1037" s="132">
        <v>45671</v>
      </c>
      <c r="C1037">
        <v>412.62615966796881</v>
      </c>
      <c r="D1037">
        <v>5842.91015625</v>
      </c>
      <c r="E1037">
        <f t="shared" si="32"/>
        <v>-0.3643450730955955</v>
      </c>
      <c r="F1037">
        <f t="shared" si="33"/>
        <v>0.11462798112440442</v>
      </c>
    </row>
    <row r="1038" spans="2:6" x14ac:dyDescent="0.45">
      <c r="B1038" s="132">
        <v>45672</v>
      </c>
      <c r="C1038">
        <v>423.18820190429688</v>
      </c>
      <c r="D1038">
        <v>5949.91015625</v>
      </c>
      <c r="E1038">
        <f t="shared" si="32"/>
        <v>2.5597122210640144</v>
      </c>
      <c r="F1038">
        <f t="shared" si="33"/>
        <v>1.8312792279639112</v>
      </c>
    </row>
    <row r="1039" spans="2:6" x14ac:dyDescent="0.45">
      <c r="B1039" s="132">
        <v>45673</v>
      </c>
      <c r="C1039">
        <v>421.47088623046881</v>
      </c>
      <c r="D1039">
        <v>5937.33984375</v>
      </c>
      <c r="E1039">
        <f t="shared" si="32"/>
        <v>-0.40580424172989016</v>
      </c>
      <c r="F1039">
        <f t="shared" si="33"/>
        <v>-0.21126894641922966</v>
      </c>
    </row>
    <row r="1040" spans="2:6" x14ac:dyDescent="0.45">
      <c r="B1040" s="132">
        <v>45674</v>
      </c>
      <c r="C1040">
        <v>425.88833618164063</v>
      </c>
      <c r="D1040">
        <v>5996.66015625</v>
      </c>
      <c r="E1040">
        <f t="shared" si="32"/>
        <v>1.0481032250365896</v>
      </c>
      <c r="F1040">
        <f t="shared" si="33"/>
        <v>0.99910589693537055</v>
      </c>
    </row>
    <row r="1041" spans="2:6" x14ac:dyDescent="0.45">
      <c r="B1041" s="132">
        <v>45678</v>
      </c>
      <c r="C1041">
        <v>425.3621826171875</v>
      </c>
      <c r="D1041">
        <v>6049.240234375</v>
      </c>
      <c r="E1041">
        <f t="shared" si="32"/>
        <v>-0.12354260958880037</v>
      </c>
      <c r="F1041">
        <f t="shared" si="33"/>
        <v>0.87682271055828931</v>
      </c>
    </row>
    <row r="1042" spans="2:6" x14ac:dyDescent="0.45">
      <c r="B1042" s="132">
        <v>45679</v>
      </c>
      <c r="C1042">
        <v>442.93258666992188</v>
      </c>
      <c r="D1042">
        <v>6086.3701171875</v>
      </c>
      <c r="E1042">
        <f t="shared" si="32"/>
        <v>4.1306925652455417</v>
      </c>
      <c r="F1042">
        <f t="shared" si="33"/>
        <v>0.61379415222275746</v>
      </c>
    </row>
    <row r="1043" spans="2:6" x14ac:dyDescent="0.45">
      <c r="B1043" s="132">
        <v>45680</v>
      </c>
      <c r="C1043">
        <v>443.43881225585938</v>
      </c>
      <c r="D1043">
        <v>6118.7099609375</v>
      </c>
      <c r="E1043">
        <f t="shared" si="32"/>
        <v>0.11428953325458568</v>
      </c>
      <c r="F1043">
        <f t="shared" si="33"/>
        <v>0.53134862204113897</v>
      </c>
    </row>
    <row r="1044" spans="2:6" x14ac:dyDescent="0.45">
      <c r="B1044" s="132">
        <v>45681</v>
      </c>
      <c r="C1044">
        <v>440.80825805664063</v>
      </c>
      <c r="D1044">
        <v>6101.240234375</v>
      </c>
      <c r="E1044">
        <f t="shared" si="32"/>
        <v>-0.59321695045966294</v>
      </c>
      <c r="F1044">
        <f t="shared" si="33"/>
        <v>-0.28551323193988232</v>
      </c>
    </row>
    <row r="1045" spans="2:6" x14ac:dyDescent="0.45">
      <c r="B1045" s="132">
        <v>45684</v>
      </c>
      <c r="C1045">
        <v>431.37783813476563</v>
      </c>
      <c r="D1045">
        <v>6012.27978515625</v>
      </c>
      <c r="E1045">
        <f t="shared" si="32"/>
        <v>-2.1393473805255359</v>
      </c>
      <c r="F1045">
        <f t="shared" si="33"/>
        <v>-1.4580715690809543</v>
      </c>
    </row>
    <row r="1046" spans="2:6" x14ac:dyDescent="0.45">
      <c r="B1046" s="132">
        <v>45685</v>
      </c>
      <c r="C1046">
        <v>443.92526245117188</v>
      </c>
      <c r="D1046">
        <v>6067.7001953125</v>
      </c>
      <c r="E1046">
        <f t="shared" si="32"/>
        <v>2.9086854277586616</v>
      </c>
      <c r="F1046">
        <f t="shared" si="33"/>
        <v>0.92178694499676084</v>
      </c>
    </row>
    <row r="1047" spans="2:6" x14ac:dyDescent="0.45">
      <c r="B1047" s="132">
        <v>45686</v>
      </c>
      <c r="C1047">
        <v>439.09091186523438</v>
      </c>
      <c r="D1047">
        <v>6039.31005859375</v>
      </c>
      <c r="E1047">
        <f t="shared" si="32"/>
        <v>-1.0890010086932689</v>
      </c>
      <c r="F1047">
        <f t="shared" si="33"/>
        <v>-0.46788957603215442</v>
      </c>
    </row>
    <row r="1048" spans="2:6" x14ac:dyDescent="0.45">
      <c r="B1048" s="132">
        <v>45687</v>
      </c>
      <c r="C1048">
        <v>411.95111083984381</v>
      </c>
      <c r="D1048">
        <v>6071.169921875</v>
      </c>
      <c r="E1048">
        <f t="shared" si="32"/>
        <v>-6.1809070267708766</v>
      </c>
      <c r="F1048">
        <f t="shared" si="33"/>
        <v>0.52754144053117624</v>
      </c>
    </row>
    <row r="1049" spans="2:6" x14ac:dyDescent="0.45">
      <c r="B1049" s="132">
        <v>45688</v>
      </c>
      <c r="C1049">
        <v>412.02059936523438</v>
      </c>
      <c r="D1049">
        <v>6040.52978515625</v>
      </c>
      <c r="E1049">
        <f t="shared" si="32"/>
        <v>1.6868148564741503E-2</v>
      </c>
      <c r="F1049">
        <f t="shared" si="33"/>
        <v>-0.50468257540199346</v>
      </c>
    </row>
    <row r="1050" spans="2:6" x14ac:dyDescent="0.45">
      <c r="B1050" s="132">
        <v>45691</v>
      </c>
      <c r="C1050">
        <v>407.91091918945313</v>
      </c>
      <c r="D1050">
        <v>5994.56982421875</v>
      </c>
      <c r="E1050">
        <f t="shared" si="32"/>
        <v>-0.99744531756730259</v>
      </c>
      <c r="F1050">
        <f t="shared" si="33"/>
        <v>-0.76085976846667069</v>
      </c>
    </row>
    <row r="1051" spans="2:6" x14ac:dyDescent="0.45">
      <c r="B1051" s="132">
        <v>45692</v>
      </c>
      <c r="C1051">
        <v>409.35031127929688</v>
      </c>
      <c r="D1051">
        <v>6037.8798828125</v>
      </c>
      <c r="E1051">
        <f t="shared" si="32"/>
        <v>0.35286922269792687</v>
      </c>
      <c r="F1051">
        <f t="shared" si="33"/>
        <v>0.72248818286797523</v>
      </c>
    </row>
    <row r="1052" spans="2:6" x14ac:dyDescent="0.45">
      <c r="B1052" s="132">
        <v>45693</v>
      </c>
      <c r="C1052">
        <v>410.26361083984381</v>
      </c>
      <c r="D1052">
        <v>6061.47998046875</v>
      </c>
      <c r="E1052">
        <f t="shared" si="32"/>
        <v>0.22310953122099964</v>
      </c>
      <c r="F1052">
        <f t="shared" si="33"/>
        <v>0.39086729306143653</v>
      </c>
    </row>
    <row r="1053" spans="2:6" x14ac:dyDescent="0.45">
      <c r="B1053" s="132">
        <v>45694</v>
      </c>
      <c r="C1053">
        <v>412.7750244140625</v>
      </c>
      <c r="D1053">
        <v>6083.56982421875</v>
      </c>
      <c r="E1053">
        <f t="shared" si="32"/>
        <v>0.61214631467743086</v>
      </c>
      <c r="F1053">
        <f t="shared" si="33"/>
        <v>0.36442987226186219</v>
      </c>
    </row>
    <row r="1054" spans="2:6" x14ac:dyDescent="0.45">
      <c r="B1054" s="132">
        <v>45695</v>
      </c>
      <c r="C1054">
        <v>406.74948120117188</v>
      </c>
      <c r="D1054">
        <v>6025.990234375</v>
      </c>
      <c r="E1054">
        <f t="shared" si="32"/>
        <v>-1.4597644858585945</v>
      </c>
      <c r="F1054">
        <f t="shared" si="33"/>
        <v>-0.94647701115428973</v>
      </c>
    </row>
    <row r="1055" spans="2:6" x14ac:dyDescent="0.45">
      <c r="B1055" s="132">
        <v>45698</v>
      </c>
      <c r="C1055">
        <v>409.201416015625</v>
      </c>
      <c r="D1055">
        <v>6066.43994140625</v>
      </c>
      <c r="E1055">
        <f t="shared" si="32"/>
        <v>0.60281203241177028</v>
      </c>
      <c r="F1055">
        <f t="shared" si="33"/>
        <v>0.67125410858628332</v>
      </c>
    </row>
    <row r="1056" spans="2:6" x14ac:dyDescent="0.45">
      <c r="B1056" s="132">
        <v>45699</v>
      </c>
      <c r="C1056">
        <v>408.42709350585938</v>
      </c>
      <c r="D1056">
        <v>6068.5</v>
      </c>
      <c r="E1056">
        <f t="shared" si="32"/>
        <v>-0.18922772000771193</v>
      </c>
      <c r="F1056">
        <f t="shared" si="33"/>
        <v>3.3958278885926063E-2</v>
      </c>
    </row>
    <row r="1057" spans="2:6" x14ac:dyDescent="0.45">
      <c r="B1057" s="132">
        <v>45700</v>
      </c>
      <c r="C1057">
        <v>406.04470825195313</v>
      </c>
      <c r="D1057">
        <v>6051.97021484375</v>
      </c>
      <c r="E1057">
        <f t="shared" si="32"/>
        <v>-0.58330734953362384</v>
      </c>
      <c r="F1057">
        <f t="shared" si="33"/>
        <v>-0.27238667143857365</v>
      </c>
    </row>
    <row r="1058" spans="2:6" x14ac:dyDescent="0.45">
      <c r="B1058" s="132">
        <v>45701</v>
      </c>
      <c r="C1058">
        <v>407.53369140625</v>
      </c>
      <c r="D1058">
        <v>6115.06982421875</v>
      </c>
      <c r="E1058">
        <f t="shared" si="32"/>
        <v>0.36670423823697007</v>
      </c>
      <c r="F1058">
        <f t="shared" si="33"/>
        <v>1.0426292122230674</v>
      </c>
    </row>
    <row r="1059" spans="2:6" x14ac:dyDescent="0.45">
      <c r="B1059" s="132">
        <v>45702</v>
      </c>
      <c r="C1059">
        <v>405.43914794921881</v>
      </c>
      <c r="D1059">
        <v>6114.6298828125</v>
      </c>
      <c r="E1059">
        <f t="shared" si="32"/>
        <v>-0.51395590136454894</v>
      </c>
      <c r="F1059">
        <f t="shared" si="33"/>
        <v>-7.1943807494645462E-3</v>
      </c>
    </row>
    <row r="1060" spans="2:6" x14ac:dyDescent="0.45">
      <c r="B1060" s="132">
        <v>45706</v>
      </c>
      <c r="C1060">
        <v>406.64031982421881</v>
      </c>
      <c r="D1060">
        <v>6129.580078125</v>
      </c>
      <c r="E1060">
        <f t="shared" si="32"/>
        <v>0.29626440393724085</v>
      </c>
      <c r="F1060">
        <f t="shared" si="33"/>
        <v>0.24449877750611915</v>
      </c>
    </row>
    <row r="1061" spans="2:6" x14ac:dyDescent="0.45">
      <c r="B1061" s="132">
        <v>45707</v>
      </c>
      <c r="C1061">
        <v>411.73269653320313</v>
      </c>
      <c r="D1061">
        <v>6144.14990234375</v>
      </c>
      <c r="E1061">
        <f t="shared" si="32"/>
        <v>1.2523049143738696</v>
      </c>
      <c r="F1061">
        <f t="shared" si="33"/>
        <v>0.23769693899173827</v>
      </c>
    </row>
    <row r="1062" spans="2:6" x14ac:dyDescent="0.45">
      <c r="B1062" s="132">
        <v>45708</v>
      </c>
      <c r="C1062">
        <v>413.91104125976563</v>
      </c>
      <c r="D1062">
        <v>6117.52001953125</v>
      </c>
      <c r="E1062">
        <f t="shared" si="32"/>
        <v>0.52906770458216457</v>
      </c>
      <c r="F1062">
        <f t="shared" si="33"/>
        <v>-0.43341850761716705</v>
      </c>
    </row>
    <row r="1063" spans="2:6" x14ac:dyDescent="0.45">
      <c r="B1063" s="132">
        <v>45709</v>
      </c>
      <c r="C1063">
        <v>406.03329467773438</v>
      </c>
      <c r="D1063">
        <v>6013.1298828125</v>
      </c>
      <c r="E1063">
        <f t="shared" si="32"/>
        <v>-1.9032463009575173</v>
      </c>
      <c r="F1063">
        <f t="shared" si="33"/>
        <v>-1.706412670256352</v>
      </c>
    </row>
    <row r="1064" spans="2:6" x14ac:dyDescent="0.45">
      <c r="B1064" s="132">
        <v>45712</v>
      </c>
      <c r="C1064">
        <v>401.84573364257813</v>
      </c>
      <c r="D1064">
        <v>5983.25</v>
      </c>
      <c r="E1064">
        <f t="shared" si="32"/>
        <v>-1.0313343979537204</v>
      </c>
      <c r="F1064">
        <f t="shared" si="33"/>
        <v>-0.49691065044024096</v>
      </c>
    </row>
    <row r="1065" spans="2:6" x14ac:dyDescent="0.45">
      <c r="B1065" s="132">
        <v>45713</v>
      </c>
      <c r="C1065">
        <v>395.77825927734381</v>
      </c>
      <c r="D1065">
        <v>5955.25</v>
      </c>
      <c r="E1065">
        <f t="shared" si="32"/>
        <v>-1.5099014017730061</v>
      </c>
      <c r="F1065">
        <f t="shared" si="33"/>
        <v>-0.46797309154723576</v>
      </c>
    </row>
    <row r="1066" spans="2:6" x14ac:dyDescent="0.45">
      <c r="B1066" s="132">
        <v>45714</v>
      </c>
      <c r="C1066">
        <v>397.59854125976563</v>
      </c>
      <c r="D1066">
        <v>5956.06005859375</v>
      </c>
      <c r="E1066">
        <f t="shared" si="32"/>
        <v>0.45992470272255837</v>
      </c>
      <c r="F1066">
        <f t="shared" si="33"/>
        <v>1.3602428004699796E-2</v>
      </c>
    </row>
    <row r="1067" spans="2:6" x14ac:dyDescent="0.45">
      <c r="B1067" s="132">
        <v>45715</v>
      </c>
      <c r="C1067">
        <v>390.4368896484375</v>
      </c>
      <c r="D1067">
        <v>5861.56982421875</v>
      </c>
      <c r="E1067">
        <f t="shared" si="32"/>
        <v>-1.8012268326329628</v>
      </c>
      <c r="F1067">
        <f t="shared" si="33"/>
        <v>-1.5864553655509872</v>
      </c>
    </row>
    <row r="1068" spans="2:6" x14ac:dyDescent="0.45">
      <c r="B1068" s="132">
        <v>45716</v>
      </c>
      <c r="C1068">
        <v>394.87310791015619</v>
      </c>
      <c r="D1068">
        <v>5954.5</v>
      </c>
      <c r="E1068">
        <f t="shared" si="32"/>
        <v>1.1362190354792689</v>
      </c>
      <c r="F1068">
        <f t="shared" si="33"/>
        <v>1.5854144634988909</v>
      </c>
    </row>
    <row r="1069" spans="2:6" x14ac:dyDescent="0.45">
      <c r="B1069" s="132">
        <v>45719</v>
      </c>
      <c r="C1069">
        <v>386.41842651367188</v>
      </c>
      <c r="D1069">
        <v>5849.72021484375</v>
      </c>
      <c r="E1069">
        <f t="shared" si="32"/>
        <v>-2.1411134937069365</v>
      </c>
      <c r="F1069">
        <f t="shared" si="33"/>
        <v>-1.75967394669998</v>
      </c>
    </row>
    <row r="1070" spans="2:6" x14ac:dyDescent="0.45">
      <c r="B1070" s="132">
        <v>45720</v>
      </c>
      <c r="C1070">
        <v>386.53778076171881</v>
      </c>
      <c r="D1070">
        <v>5778.14990234375</v>
      </c>
      <c r="E1070">
        <f t="shared" si="32"/>
        <v>3.088730760687497E-2</v>
      </c>
      <c r="F1070">
        <f t="shared" si="33"/>
        <v>-1.2234826602200433</v>
      </c>
    </row>
    <row r="1071" spans="2:6" x14ac:dyDescent="0.45">
      <c r="B1071" s="132">
        <v>45721</v>
      </c>
      <c r="C1071">
        <v>398.881591796875</v>
      </c>
      <c r="D1071">
        <v>5842.6298828125</v>
      </c>
      <c r="E1071">
        <f t="shared" si="32"/>
        <v>3.1934293746994857</v>
      </c>
      <c r="F1071">
        <f t="shared" si="33"/>
        <v>1.1159277893187936</v>
      </c>
    </row>
    <row r="1072" spans="2:6" x14ac:dyDescent="0.45">
      <c r="B1072" s="132">
        <v>45722</v>
      </c>
      <c r="C1072">
        <v>394.773681640625</v>
      </c>
      <c r="D1072">
        <v>5738.52001953125</v>
      </c>
      <c r="E1072">
        <f t="shared" si="32"/>
        <v>-1.0298570404677632</v>
      </c>
      <c r="F1072">
        <f t="shared" si="33"/>
        <v>-1.7819007085749905</v>
      </c>
    </row>
    <row r="1073" spans="2:6" x14ac:dyDescent="0.45">
      <c r="B1073" s="132">
        <v>45723</v>
      </c>
      <c r="C1073">
        <v>391.21273803710938</v>
      </c>
      <c r="D1073">
        <v>5770.2001953125</v>
      </c>
      <c r="E1073">
        <f t="shared" si="32"/>
        <v>-0.90202153008701602</v>
      </c>
      <c r="F1073">
        <f t="shared" si="33"/>
        <v>0.55206178027480401</v>
      </c>
    </row>
    <row r="1074" spans="2:6" x14ac:dyDescent="0.45">
      <c r="B1074" s="132">
        <v>45726</v>
      </c>
      <c r="C1074">
        <v>378.13287353515619</v>
      </c>
      <c r="D1074">
        <v>5614.56005859375</v>
      </c>
      <c r="E1074">
        <f t="shared" si="32"/>
        <v>-3.3434147792785973</v>
      </c>
      <c r="F1074">
        <f t="shared" si="33"/>
        <v>-2.69730913054258</v>
      </c>
    </row>
    <row r="1075" spans="2:6" x14ac:dyDescent="0.45">
      <c r="B1075" s="132">
        <v>45727</v>
      </c>
      <c r="C1075">
        <v>378.42132568359381</v>
      </c>
      <c r="D1075">
        <v>5572.06982421875</v>
      </c>
      <c r="E1075">
        <f t="shared" si="32"/>
        <v>7.6283277288458073E-2</v>
      </c>
      <c r="F1075">
        <f t="shared" si="33"/>
        <v>-0.75678653236531668</v>
      </c>
    </row>
    <row r="1076" spans="2:6" x14ac:dyDescent="0.45">
      <c r="B1076" s="132">
        <v>45728</v>
      </c>
      <c r="C1076">
        <v>381.22628784179688</v>
      </c>
      <c r="D1076">
        <v>5599.2998046875</v>
      </c>
      <c r="E1076">
        <f t="shared" si="32"/>
        <v>0.74122729556429512</v>
      </c>
      <c r="F1076">
        <f t="shared" si="33"/>
        <v>0.48868699294464246</v>
      </c>
    </row>
    <row r="1077" spans="2:6" x14ac:dyDescent="0.45">
      <c r="B1077" s="132">
        <v>45729</v>
      </c>
      <c r="C1077">
        <v>376.75027465820313</v>
      </c>
      <c r="D1077">
        <v>5521.52001953125</v>
      </c>
      <c r="E1077">
        <f t="shared" si="32"/>
        <v>-1.1741092695714661</v>
      </c>
      <c r="F1077">
        <f t="shared" si="33"/>
        <v>-1.3890984206835322</v>
      </c>
    </row>
    <row r="1078" spans="2:6" x14ac:dyDescent="0.45">
      <c r="B1078" s="132">
        <v>45730</v>
      </c>
      <c r="C1078">
        <v>386.48806762695313</v>
      </c>
      <c r="D1078">
        <v>5638.93994140625</v>
      </c>
      <c r="E1078">
        <f t="shared" si="32"/>
        <v>2.5846810536725773</v>
      </c>
      <c r="F1078">
        <f t="shared" si="33"/>
        <v>2.1265869083087807</v>
      </c>
    </row>
    <row r="1079" spans="2:6" x14ac:dyDescent="0.45">
      <c r="B1079" s="132">
        <v>45733</v>
      </c>
      <c r="C1079">
        <v>386.62734985351563</v>
      </c>
      <c r="D1079">
        <v>5675.1201171875</v>
      </c>
      <c r="E1079">
        <f t="shared" si="32"/>
        <v>3.6037911187714045E-2</v>
      </c>
      <c r="F1079">
        <f t="shared" si="33"/>
        <v>0.64161307191059613</v>
      </c>
    </row>
    <row r="1080" spans="2:6" x14ac:dyDescent="0.45">
      <c r="B1080" s="132">
        <v>45734</v>
      </c>
      <c r="C1080">
        <v>381.47494506835938</v>
      </c>
      <c r="D1080">
        <v>5614.66015625</v>
      </c>
      <c r="E1080">
        <f t="shared" si="32"/>
        <v>-1.3326539850603947</v>
      </c>
      <c r="F1080">
        <f t="shared" si="33"/>
        <v>-1.0653512117636543</v>
      </c>
    </row>
    <row r="1081" spans="2:6" x14ac:dyDescent="0.45">
      <c r="B1081" s="132">
        <v>45735</v>
      </c>
      <c r="C1081">
        <v>385.75201416015619</v>
      </c>
      <c r="D1081">
        <v>5675.2900390625</v>
      </c>
      <c r="E1081">
        <f t="shared" si="32"/>
        <v>1.1211926620843693</v>
      </c>
      <c r="F1081">
        <f t="shared" si="33"/>
        <v>1.0798495567894584</v>
      </c>
    </row>
    <row r="1082" spans="2:6" x14ac:dyDescent="0.45">
      <c r="B1082" s="132">
        <v>45736</v>
      </c>
      <c r="C1082">
        <v>384.77725219726563</v>
      </c>
      <c r="D1082">
        <v>5662.89013671875</v>
      </c>
      <c r="E1082">
        <f t="shared" si="32"/>
        <v>-0.2526913475779935</v>
      </c>
      <c r="F1082">
        <f t="shared" si="33"/>
        <v>-0.21848931523151816</v>
      </c>
    </row>
    <row r="1083" spans="2:6" x14ac:dyDescent="0.45">
      <c r="B1083" s="132">
        <v>45737</v>
      </c>
      <c r="C1083">
        <v>389.17364501953119</v>
      </c>
      <c r="D1083">
        <v>5667.56005859375</v>
      </c>
      <c r="E1083">
        <f t="shared" si="32"/>
        <v>1.1425812719333184</v>
      </c>
      <c r="F1083">
        <f t="shared" si="33"/>
        <v>8.2465344766613491E-2</v>
      </c>
    </row>
    <row r="1084" spans="2:6" x14ac:dyDescent="0.45">
      <c r="B1084" s="132">
        <v>45740</v>
      </c>
      <c r="C1084">
        <v>390.98394775390619</v>
      </c>
      <c r="D1084">
        <v>5767.56982421875</v>
      </c>
      <c r="E1084">
        <f t="shared" si="32"/>
        <v>0.46516580902700166</v>
      </c>
      <c r="F1084">
        <f t="shared" si="33"/>
        <v>1.7646000146633645</v>
      </c>
    </row>
    <row r="1085" spans="2:6" x14ac:dyDescent="0.45">
      <c r="B1085" s="132">
        <v>45741</v>
      </c>
      <c r="C1085">
        <v>393.05288696289063</v>
      </c>
      <c r="D1085">
        <v>5776.64990234375</v>
      </c>
      <c r="E1085">
        <f t="shared" si="32"/>
        <v>0.52916218705907347</v>
      </c>
      <c r="F1085">
        <f t="shared" si="33"/>
        <v>0.15743334544251475</v>
      </c>
    </row>
    <row r="1086" spans="2:6" x14ac:dyDescent="0.45">
      <c r="B1086" s="132">
        <v>45742</v>
      </c>
      <c r="C1086">
        <v>387.89056396484381</v>
      </c>
      <c r="D1086">
        <v>5712.2001953125</v>
      </c>
      <c r="E1086">
        <f t="shared" si="32"/>
        <v>-1.3133914466157304</v>
      </c>
      <c r="F1086">
        <f t="shared" si="33"/>
        <v>-1.1156934922627149</v>
      </c>
    </row>
    <row r="1087" spans="2:6" x14ac:dyDescent="0.45">
      <c r="B1087" s="132">
        <v>45743</v>
      </c>
      <c r="C1087">
        <v>388.49728393554688</v>
      </c>
      <c r="D1087">
        <v>5693.31005859375</v>
      </c>
      <c r="E1087">
        <f t="shared" si="32"/>
        <v>0.15641524364538029</v>
      </c>
      <c r="F1087">
        <f t="shared" si="33"/>
        <v>-0.3306980860763864</v>
      </c>
    </row>
    <row r="1088" spans="2:6" x14ac:dyDescent="0.45">
      <c r="B1088" s="132">
        <v>45744</v>
      </c>
      <c r="C1088">
        <v>376.78009033203119</v>
      </c>
      <c r="D1088">
        <v>5580.93994140625</v>
      </c>
      <c r="E1088">
        <f t="shared" si="32"/>
        <v>-3.016029735090664</v>
      </c>
      <c r="F1088">
        <f t="shared" si="33"/>
        <v>-1.973722070834405</v>
      </c>
    </row>
    <row r="1089" spans="2:6" x14ac:dyDescent="0.45">
      <c r="B1089" s="132">
        <v>45747</v>
      </c>
      <c r="C1089">
        <v>373.3883056640625</v>
      </c>
      <c r="D1089">
        <v>5611.85009765625</v>
      </c>
      <c r="E1089">
        <f t="shared" si="32"/>
        <v>-0.90020273230990711</v>
      </c>
      <c r="F1089">
        <f t="shared" si="33"/>
        <v>0.55385215706533764</v>
      </c>
    </row>
    <row r="1090" spans="2:6" x14ac:dyDescent="0.45">
      <c r="B1090" s="132">
        <v>45748</v>
      </c>
      <c r="C1090">
        <v>380.15203857421881</v>
      </c>
      <c r="D1090">
        <v>5633.06982421875</v>
      </c>
      <c r="E1090">
        <f t="shared" si="32"/>
        <v>1.811447441592251</v>
      </c>
      <c r="F1090">
        <f t="shared" si="33"/>
        <v>0.37812354559083605</v>
      </c>
    </row>
    <row r="1091" spans="2:6" x14ac:dyDescent="0.45">
      <c r="B1091" s="132">
        <v>45749</v>
      </c>
      <c r="C1091">
        <v>380.10232543945313</v>
      </c>
      <c r="D1091">
        <v>5670.97021484375</v>
      </c>
      <c r="E1091">
        <f t="shared" si="32"/>
        <v>-1.3077171689557243E-2</v>
      </c>
      <c r="F1091">
        <f t="shared" si="33"/>
        <v>0.6728194715792668</v>
      </c>
    </row>
    <row r="1092" spans="2:6" x14ac:dyDescent="0.45">
      <c r="B1092" s="132">
        <v>45750</v>
      </c>
      <c r="C1092">
        <v>371.12042236328119</v>
      </c>
      <c r="D1092">
        <v>5396.52001953125</v>
      </c>
      <c r="E1092">
        <f t="shared" si="32"/>
        <v>-2.3630223955582341</v>
      </c>
      <c r="F1092">
        <f t="shared" si="33"/>
        <v>-4.8395633359901495</v>
      </c>
    </row>
    <row r="1093" spans="2:6" x14ac:dyDescent="0.45">
      <c r="B1093" s="132">
        <v>45751</v>
      </c>
      <c r="C1093">
        <v>357.92120361328119</v>
      </c>
      <c r="D1093">
        <v>5074.080078125</v>
      </c>
      <c r="E1093">
        <f t="shared" si="32"/>
        <v>-3.5565864756102239</v>
      </c>
      <c r="F1093">
        <f t="shared" si="33"/>
        <v>-5.9749605345531087</v>
      </c>
    </row>
    <row r="1094" spans="2:6" x14ac:dyDescent="0.45">
      <c r="B1094" s="132">
        <v>45754</v>
      </c>
      <c r="C1094">
        <v>355.9517822265625</v>
      </c>
      <c r="D1094">
        <v>5062.25</v>
      </c>
      <c r="E1094">
        <f t="shared" si="32"/>
        <v>-0.55023881425213528</v>
      </c>
      <c r="F1094">
        <f t="shared" si="33"/>
        <v>-0.23314724921273955</v>
      </c>
    </row>
    <row r="1095" spans="2:6" x14ac:dyDescent="0.45">
      <c r="B1095" s="132">
        <v>45755</v>
      </c>
      <c r="C1095">
        <v>352.66934204101563</v>
      </c>
      <c r="D1095">
        <v>4982.77001953125</v>
      </c>
      <c r="E1095">
        <f t="shared" si="32"/>
        <v>-0.92215866008997782</v>
      </c>
      <c r="F1095">
        <f t="shared" si="33"/>
        <v>-1.5700524562941354</v>
      </c>
    </row>
    <row r="1096" spans="2:6" x14ac:dyDescent="0.45">
      <c r="B1096" s="132">
        <v>45756</v>
      </c>
      <c r="C1096">
        <v>388.40777587890619</v>
      </c>
      <c r="D1096">
        <v>5456.89990234375</v>
      </c>
      <c r="E1096">
        <f t="shared" ref="E1096:E1159" si="34">((C1096/C1095)-1)*100</f>
        <v>10.133694534109573</v>
      </c>
      <c r="F1096">
        <f t="shared" ref="F1096:F1159" si="35">((D1096/D1095)-1)*100</f>
        <v>9.5153876449048482</v>
      </c>
    </row>
    <row r="1097" spans="2:6" x14ac:dyDescent="0.45">
      <c r="B1097" s="132">
        <v>45757</v>
      </c>
      <c r="C1097">
        <v>379.31649780273438</v>
      </c>
      <c r="D1097">
        <v>5268.0498046875</v>
      </c>
      <c r="E1097">
        <f t="shared" si="34"/>
        <v>-2.340652953097988</v>
      </c>
      <c r="F1097">
        <f t="shared" si="35"/>
        <v>-3.4607579584726933</v>
      </c>
    </row>
    <row r="1098" spans="2:6" x14ac:dyDescent="0.45">
      <c r="B1098" s="132">
        <v>45758</v>
      </c>
      <c r="C1098">
        <v>386.378662109375</v>
      </c>
      <c r="D1098">
        <v>5363.35986328125</v>
      </c>
      <c r="E1098">
        <f t="shared" si="34"/>
        <v>1.8618131158411488</v>
      </c>
      <c r="F1098">
        <f t="shared" si="35"/>
        <v>1.8092095201708958</v>
      </c>
    </row>
    <row r="1099" spans="2:6" x14ac:dyDescent="0.45">
      <c r="B1099" s="132">
        <v>45761</v>
      </c>
      <c r="C1099">
        <v>385.7420654296875</v>
      </c>
      <c r="D1099">
        <v>5405.97021484375</v>
      </c>
      <c r="E1099">
        <f t="shared" si="34"/>
        <v>-0.16475979191296064</v>
      </c>
      <c r="F1099">
        <f t="shared" si="35"/>
        <v>0.79447123908689132</v>
      </c>
    </row>
    <row r="1100" spans="2:6" x14ac:dyDescent="0.45">
      <c r="B1100" s="132">
        <v>45762</v>
      </c>
      <c r="C1100">
        <v>383.67315673828119</v>
      </c>
      <c r="D1100">
        <v>5396.6298828125</v>
      </c>
      <c r="E1100">
        <f t="shared" si="34"/>
        <v>-0.53634510643834066</v>
      </c>
      <c r="F1100">
        <f t="shared" si="35"/>
        <v>-0.17277808903947145</v>
      </c>
    </row>
    <row r="1101" spans="2:6" x14ac:dyDescent="0.45">
      <c r="B1101" s="132">
        <v>45763</v>
      </c>
      <c r="C1101">
        <v>369.62841796875</v>
      </c>
      <c r="D1101">
        <v>5275.7001953125</v>
      </c>
      <c r="E1101">
        <f t="shared" si="34"/>
        <v>-3.6605997899174514</v>
      </c>
      <c r="F1101">
        <f t="shared" si="35"/>
        <v>-2.24083715440897</v>
      </c>
    </row>
    <row r="1102" spans="2:6" x14ac:dyDescent="0.45">
      <c r="B1102" s="132">
        <v>45764</v>
      </c>
      <c r="C1102">
        <v>365.81884765625</v>
      </c>
      <c r="D1102">
        <v>5282.7001953125</v>
      </c>
      <c r="E1102">
        <f t="shared" si="34"/>
        <v>-1.0306486534328307</v>
      </c>
      <c r="F1102">
        <f t="shared" si="35"/>
        <v>0.13268380955802073</v>
      </c>
    </row>
    <row r="1103" spans="2:6" x14ac:dyDescent="0.45">
      <c r="B1103" s="132">
        <v>45768</v>
      </c>
      <c r="C1103">
        <v>357.205078125</v>
      </c>
      <c r="D1103">
        <v>5158.2001953125</v>
      </c>
      <c r="E1103">
        <f t="shared" si="34"/>
        <v>-2.3546543832930422</v>
      </c>
      <c r="F1103">
        <f t="shared" si="35"/>
        <v>-2.3567493023827546</v>
      </c>
    </row>
    <row r="1104" spans="2:6" x14ac:dyDescent="0.45">
      <c r="B1104" s="132">
        <v>45769</v>
      </c>
      <c r="C1104">
        <v>364.864013671875</v>
      </c>
      <c r="D1104">
        <v>5287.759765625</v>
      </c>
      <c r="E1104">
        <f t="shared" si="34"/>
        <v>2.1441284057543086</v>
      </c>
      <c r="F1104">
        <f t="shared" si="35"/>
        <v>2.5117204723895226</v>
      </c>
    </row>
    <row r="1105" spans="2:6" x14ac:dyDescent="0.45">
      <c r="B1105" s="132">
        <v>45770</v>
      </c>
      <c r="C1105">
        <v>372.39364624023438</v>
      </c>
      <c r="D1105">
        <v>5375.85986328125</v>
      </c>
      <c r="E1105">
        <f t="shared" si="34"/>
        <v>2.063681888653135</v>
      </c>
      <c r="F1105">
        <f t="shared" si="35"/>
        <v>1.6661138470960069</v>
      </c>
    </row>
    <row r="1106" spans="2:6" x14ac:dyDescent="0.45">
      <c r="B1106" s="132">
        <v>45771</v>
      </c>
      <c r="C1106">
        <v>385.2347412109375</v>
      </c>
      <c r="D1106">
        <v>5484.77001953125</v>
      </c>
      <c r="E1106">
        <f t="shared" si="34"/>
        <v>3.448258341770738</v>
      </c>
      <c r="F1106">
        <f t="shared" si="35"/>
        <v>2.0259113708281262</v>
      </c>
    </row>
    <row r="1107" spans="2:6" x14ac:dyDescent="0.45">
      <c r="B1107" s="132">
        <v>45772</v>
      </c>
      <c r="C1107">
        <v>389.76052856445313</v>
      </c>
      <c r="D1107">
        <v>5525.2099609375</v>
      </c>
      <c r="E1107">
        <f t="shared" si="34"/>
        <v>1.1748128788409362</v>
      </c>
      <c r="F1107">
        <f t="shared" si="35"/>
        <v>0.73731334699984608</v>
      </c>
    </row>
    <row r="1108" spans="2:6" x14ac:dyDescent="0.45">
      <c r="B1108" s="132">
        <v>45775</v>
      </c>
      <c r="C1108">
        <v>389.07418823242188</v>
      </c>
      <c r="D1108">
        <v>5528.75</v>
      </c>
      <c r="E1108">
        <f t="shared" si="34"/>
        <v>-0.17609282667979675</v>
      </c>
      <c r="F1108">
        <f t="shared" si="35"/>
        <v>6.4070670391314088E-2</v>
      </c>
    </row>
    <row r="1109" spans="2:6" x14ac:dyDescent="0.45">
      <c r="B1109" s="132">
        <v>45776</v>
      </c>
      <c r="C1109">
        <v>391.9388427734375</v>
      </c>
      <c r="D1109">
        <v>5560.830078125</v>
      </c>
      <c r="E1109">
        <f t="shared" si="34"/>
        <v>0.73627463030376816</v>
      </c>
      <c r="F1109">
        <f t="shared" si="35"/>
        <v>0.58024106940990361</v>
      </c>
    </row>
    <row r="1110" spans="2:6" x14ac:dyDescent="0.45">
      <c r="B1110" s="132">
        <v>45777</v>
      </c>
      <c r="C1110">
        <v>393.15234375</v>
      </c>
      <c r="D1110">
        <v>5569.06005859375</v>
      </c>
      <c r="E1110">
        <f t="shared" si="34"/>
        <v>0.30961487970304624</v>
      </c>
      <c r="F1110">
        <f t="shared" si="35"/>
        <v>0.147999135976562</v>
      </c>
    </row>
    <row r="1111" spans="2:6" x14ac:dyDescent="0.45">
      <c r="B1111" s="132">
        <v>45778</v>
      </c>
      <c r="C1111">
        <v>423.13162231445313</v>
      </c>
      <c r="D1111">
        <v>5604.14013671875</v>
      </c>
      <c r="E1111">
        <f t="shared" si="34"/>
        <v>7.6253592382286683</v>
      </c>
      <c r="F1111">
        <f t="shared" si="35"/>
        <v>0.62991021385856438</v>
      </c>
    </row>
    <row r="1112" spans="2:6" x14ac:dyDescent="0.45">
      <c r="B1112" s="132">
        <v>45779</v>
      </c>
      <c r="C1112">
        <v>432.95892333984381</v>
      </c>
      <c r="D1112">
        <v>5686.669921875</v>
      </c>
      <c r="E1112">
        <f t="shared" si="34"/>
        <v>2.3225163299394058</v>
      </c>
      <c r="F1112">
        <f t="shared" si="35"/>
        <v>1.472657412963474</v>
      </c>
    </row>
    <row r="1113" spans="2:6" x14ac:dyDescent="0.45">
      <c r="B1113" s="132">
        <v>45782</v>
      </c>
      <c r="C1113">
        <v>433.84420776367188</v>
      </c>
      <c r="D1113">
        <v>5650.3798828125</v>
      </c>
      <c r="E1113">
        <f t="shared" si="34"/>
        <v>0.20447307495108369</v>
      </c>
      <c r="F1113">
        <f t="shared" si="35"/>
        <v>-0.63815975889338628</v>
      </c>
    </row>
    <row r="1114" spans="2:6" x14ac:dyDescent="0.45">
      <c r="B1114" s="132">
        <v>45783</v>
      </c>
      <c r="C1114">
        <v>430.99945068359381</v>
      </c>
      <c r="D1114">
        <v>5606.91015625</v>
      </c>
      <c r="E1114">
        <f t="shared" si="34"/>
        <v>-0.65570936045035166</v>
      </c>
      <c r="F1114">
        <f t="shared" si="35"/>
        <v>-0.76932396518555324</v>
      </c>
    </row>
    <row r="1115" spans="2:6" x14ac:dyDescent="0.45">
      <c r="B1115" s="132">
        <v>45784</v>
      </c>
      <c r="C1115">
        <v>431.03924560546881</v>
      </c>
      <c r="D1115">
        <v>5631.27978515625</v>
      </c>
      <c r="E1115">
        <f t="shared" si="34"/>
        <v>9.233172295664005E-3</v>
      </c>
      <c r="F1115">
        <f t="shared" si="35"/>
        <v>0.43463562331358396</v>
      </c>
    </row>
    <row r="1116" spans="2:6" x14ac:dyDescent="0.45">
      <c r="B1116" s="132">
        <v>45785</v>
      </c>
      <c r="C1116">
        <v>435.83358764648438</v>
      </c>
      <c r="D1116">
        <v>5663.93994140625</v>
      </c>
      <c r="E1116">
        <f t="shared" si="34"/>
        <v>1.1122750630934153</v>
      </c>
      <c r="F1116">
        <f t="shared" si="35"/>
        <v>0.57997750948355353</v>
      </c>
    </row>
    <row r="1117" spans="2:6" x14ac:dyDescent="0.45">
      <c r="B1117" s="132">
        <v>45786</v>
      </c>
      <c r="C1117">
        <v>436.39053344726563</v>
      </c>
      <c r="D1117">
        <v>5659.91015625</v>
      </c>
      <c r="E1117">
        <f t="shared" si="34"/>
        <v>0.12778863689435482</v>
      </c>
      <c r="F1117">
        <f t="shared" si="35"/>
        <v>-7.1148091221628906E-2</v>
      </c>
    </row>
    <row r="1118" spans="2:6" x14ac:dyDescent="0.45">
      <c r="B1118" s="132">
        <v>45789</v>
      </c>
      <c r="C1118">
        <v>446.86441040039063</v>
      </c>
      <c r="D1118">
        <v>5844.18994140625</v>
      </c>
      <c r="E1118">
        <f t="shared" si="34"/>
        <v>2.400115527343516</v>
      </c>
      <c r="F1118">
        <f t="shared" si="35"/>
        <v>3.2558782749008364</v>
      </c>
    </row>
    <row r="1119" spans="2:6" x14ac:dyDescent="0.45">
      <c r="B1119" s="132">
        <v>45790</v>
      </c>
      <c r="C1119">
        <v>446.74505615234381</v>
      </c>
      <c r="D1119">
        <v>5886.5498046875</v>
      </c>
      <c r="E1119">
        <f t="shared" si="34"/>
        <v>-2.6709275849445824E-2</v>
      </c>
      <c r="F1119">
        <f t="shared" si="35"/>
        <v>0.72482009835321826</v>
      </c>
    </row>
    <row r="1120" spans="2:6" x14ac:dyDescent="0.45">
      <c r="B1120" s="132">
        <v>45791</v>
      </c>
      <c r="C1120">
        <v>450.5247802734375</v>
      </c>
      <c r="D1120">
        <v>5892.580078125</v>
      </c>
      <c r="E1120">
        <f t="shared" si="34"/>
        <v>0.84605841050533481</v>
      </c>
      <c r="F1120">
        <f t="shared" si="35"/>
        <v>0.1024415597859818</v>
      </c>
    </row>
    <row r="1121" spans="2:6" x14ac:dyDescent="0.45">
      <c r="B1121" s="132">
        <v>45792</v>
      </c>
      <c r="C1121">
        <v>451.54119873046881</v>
      </c>
      <c r="D1121">
        <v>5916.93017578125</v>
      </c>
      <c r="E1121">
        <f t="shared" si="34"/>
        <v>0.22560766944148547</v>
      </c>
      <c r="F1121">
        <f t="shared" si="35"/>
        <v>0.41323320741357694</v>
      </c>
    </row>
    <row r="1122" spans="2:6" x14ac:dyDescent="0.45">
      <c r="B1122" s="132">
        <v>45793</v>
      </c>
      <c r="C1122">
        <v>452.67721557617188</v>
      </c>
      <c r="D1122">
        <v>5958.3798828125</v>
      </c>
      <c r="E1122">
        <f t="shared" si="34"/>
        <v>0.25158653272325804</v>
      </c>
      <c r="F1122">
        <f t="shared" si="35"/>
        <v>0.70052722948985569</v>
      </c>
    </row>
    <row r="1123" spans="2:6" x14ac:dyDescent="0.45">
      <c r="B1123" s="132">
        <v>45796</v>
      </c>
      <c r="C1123">
        <v>457.26104736328119</v>
      </c>
      <c r="D1123">
        <v>5963.60009765625</v>
      </c>
      <c r="E1123">
        <f t="shared" si="34"/>
        <v>1.0126049267301873</v>
      </c>
      <c r="F1123">
        <f t="shared" si="35"/>
        <v>8.7611312914237516E-2</v>
      </c>
    </row>
    <row r="1124" spans="2:6" x14ac:dyDescent="0.45">
      <c r="B1124" s="132">
        <v>45797</v>
      </c>
      <c r="C1124">
        <v>456.56353759765619</v>
      </c>
      <c r="D1124">
        <v>5940.4599609375</v>
      </c>
      <c r="E1124">
        <f t="shared" si="34"/>
        <v>-0.15254082315715456</v>
      </c>
      <c r="F1124">
        <f t="shared" si="35"/>
        <v>-0.38802294486252054</v>
      </c>
    </row>
    <row r="1125" spans="2:6" x14ac:dyDescent="0.45">
      <c r="B1125" s="132">
        <v>45798</v>
      </c>
      <c r="C1125">
        <v>450.983154296875</v>
      </c>
      <c r="D1125">
        <v>5844.60986328125</v>
      </c>
      <c r="E1125">
        <f t="shared" si="34"/>
        <v>-1.2222577672636792</v>
      </c>
      <c r="F1125">
        <f t="shared" si="35"/>
        <v>-1.6135130661014241</v>
      </c>
    </row>
    <row r="1126" spans="2:6" x14ac:dyDescent="0.45">
      <c r="B1126" s="132">
        <v>45799</v>
      </c>
      <c r="C1126">
        <v>453.26513671875</v>
      </c>
      <c r="D1126">
        <v>5842.009765625</v>
      </c>
      <c r="E1126">
        <f t="shared" si="34"/>
        <v>0.50600169876251488</v>
      </c>
      <c r="F1126">
        <f t="shared" si="35"/>
        <v>-4.4487103794299543E-2</v>
      </c>
    </row>
    <row r="1127" spans="2:6" x14ac:dyDescent="0.45">
      <c r="B1127" s="132">
        <v>45800</v>
      </c>
      <c r="C1127">
        <v>448.6015625</v>
      </c>
      <c r="D1127">
        <v>5802.81982421875</v>
      </c>
      <c r="E1127">
        <f t="shared" si="34"/>
        <v>-1.0288843859711516</v>
      </c>
      <c r="F1127">
        <f t="shared" si="35"/>
        <v>-0.67082978253216741</v>
      </c>
    </row>
    <row r="1128" spans="2:6" x14ac:dyDescent="0.45">
      <c r="B1128" s="132">
        <v>45804</v>
      </c>
      <c r="C1128">
        <v>459.07467651367188</v>
      </c>
      <c r="D1128">
        <v>5921.5400390625</v>
      </c>
      <c r="E1128">
        <f t="shared" si="34"/>
        <v>2.3346138063600419</v>
      </c>
      <c r="F1128">
        <f t="shared" si="35"/>
        <v>2.04590558452733</v>
      </c>
    </row>
    <row r="1129" spans="2:6" x14ac:dyDescent="0.45">
      <c r="B1129" s="132">
        <v>45805</v>
      </c>
      <c r="C1129">
        <v>455.75637817382813</v>
      </c>
      <c r="D1129">
        <v>5888.5498046875</v>
      </c>
      <c r="E1129">
        <f t="shared" si="34"/>
        <v>-0.72282321583140297</v>
      </c>
      <c r="F1129">
        <f t="shared" si="35"/>
        <v>-0.55712254172688436</v>
      </c>
    </row>
    <row r="1130" spans="2:6" x14ac:dyDescent="0.45">
      <c r="B1130" s="132">
        <v>45806</v>
      </c>
      <c r="C1130">
        <v>457.07174682617188</v>
      </c>
      <c r="D1130">
        <v>5912.169921875</v>
      </c>
      <c r="E1130">
        <f t="shared" si="34"/>
        <v>0.28861223130092206</v>
      </c>
      <c r="F1130">
        <f t="shared" si="35"/>
        <v>0.40111942619043273</v>
      </c>
    </row>
    <row r="1131" spans="2:6" x14ac:dyDescent="0.45">
      <c r="B1131" s="132">
        <v>45807</v>
      </c>
      <c r="C1131">
        <v>458.74581909179688</v>
      </c>
      <c r="D1131">
        <v>5911.68994140625</v>
      </c>
      <c r="E1131">
        <f t="shared" si="34"/>
        <v>0.36626028129052024</v>
      </c>
      <c r="F1131">
        <f t="shared" si="35"/>
        <v>-8.1185161301622344E-3</v>
      </c>
    </row>
    <row r="1132" spans="2:6" x14ac:dyDescent="0.45">
      <c r="B1132" s="132">
        <v>45810</v>
      </c>
      <c r="C1132">
        <v>460.3502197265625</v>
      </c>
      <c r="D1132">
        <v>5935.93994140625</v>
      </c>
      <c r="E1132">
        <f t="shared" si="34"/>
        <v>0.34973629578618493</v>
      </c>
      <c r="F1132">
        <f t="shared" si="35"/>
        <v>0.41020419271569075</v>
      </c>
    </row>
    <row r="1133" spans="2:6" x14ac:dyDescent="0.45">
      <c r="B1133" s="132">
        <v>45811</v>
      </c>
      <c r="C1133">
        <v>461.34671020507813</v>
      </c>
      <c r="D1133">
        <v>5970.3701171875</v>
      </c>
      <c r="E1133">
        <f t="shared" si="34"/>
        <v>0.21646356096181041</v>
      </c>
      <c r="F1133">
        <f t="shared" si="35"/>
        <v>0.58002904546055056</v>
      </c>
    </row>
    <row r="1134" spans="2:6" x14ac:dyDescent="0.45">
      <c r="B1134" s="132">
        <v>45812</v>
      </c>
      <c r="C1134">
        <v>462.2435302734375</v>
      </c>
      <c r="D1134">
        <v>5970.81005859375</v>
      </c>
      <c r="E1134">
        <f t="shared" si="34"/>
        <v>0.19439177705651289</v>
      </c>
      <c r="F1134">
        <f t="shared" si="35"/>
        <v>7.3687459506643904E-3</v>
      </c>
    </row>
    <row r="1135" spans="2:6" x14ac:dyDescent="0.45">
      <c r="B1135" s="132">
        <v>45813</v>
      </c>
      <c r="C1135">
        <v>466.0401611328125</v>
      </c>
      <c r="D1135">
        <v>5939.2998046875</v>
      </c>
      <c r="E1135">
        <f t="shared" si="34"/>
        <v>0.82134862052674062</v>
      </c>
      <c r="F1135">
        <f t="shared" si="35"/>
        <v>-0.5277383403094138</v>
      </c>
    </row>
    <row r="1136" spans="2:6" x14ac:dyDescent="0.45">
      <c r="B1136" s="132">
        <v>45814</v>
      </c>
      <c r="C1136">
        <v>468.730712890625</v>
      </c>
      <c r="D1136">
        <v>6000.35986328125</v>
      </c>
      <c r="E1136">
        <f t="shared" si="34"/>
        <v>0.57732186669761099</v>
      </c>
      <c r="F1136">
        <f t="shared" si="35"/>
        <v>1.0280683010067904</v>
      </c>
    </row>
    <row r="1137" spans="2:6" x14ac:dyDescent="0.45">
      <c r="B1137" s="132">
        <v>45817</v>
      </c>
      <c r="C1137">
        <v>471.0924072265625</v>
      </c>
      <c r="D1137">
        <v>6005.8798828125</v>
      </c>
      <c r="E1137">
        <f t="shared" si="34"/>
        <v>0.50384885628107501</v>
      </c>
      <c r="F1137">
        <f t="shared" si="35"/>
        <v>9.1994807928585942E-2</v>
      </c>
    </row>
    <row r="1138" spans="2:6" x14ac:dyDescent="0.45">
      <c r="B1138" s="132">
        <v>45818</v>
      </c>
      <c r="C1138">
        <v>469.26882934570313</v>
      </c>
      <c r="D1138">
        <v>6038.81005859375</v>
      </c>
      <c r="E1138">
        <f t="shared" si="34"/>
        <v>-0.38709557888976232</v>
      </c>
      <c r="F1138">
        <f t="shared" si="35"/>
        <v>0.54829894076784402</v>
      </c>
    </row>
    <row r="1139" spans="2:6" x14ac:dyDescent="0.45">
      <c r="B1139" s="132">
        <v>45819</v>
      </c>
      <c r="C1139">
        <v>470.96286010742188</v>
      </c>
      <c r="D1139">
        <v>6022.240234375</v>
      </c>
      <c r="E1139">
        <f t="shared" si="34"/>
        <v>0.36099366840127711</v>
      </c>
      <c r="F1139">
        <f t="shared" si="35"/>
        <v>-0.27438889546078649</v>
      </c>
    </row>
    <row r="1140" spans="2:6" x14ac:dyDescent="0.45">
      <c r="B1140" s="132">
        <v>45820</v>
      </c>
      <c r="C1140">
        <v>477.19094848632813</v>
      </c>
      <c r="D1140">
        <v>6045.259765625</v>
      </c>
      <c r="E1140">
        <f t="shared" si="34"/>
        <v>1.3224160345649549</v>
      </c>
      <c r="F1140">
        <f t="shared" si="35"/>
        <v>0.38224199557175265</v>
      </c>
    </row>
    <row r="1141" spans="2:6" x14ac:dyDescent="0.45">
      <c r="B1141" s="132">
        <v>45821</v>
      </c>
      <c r="C1141">
        <v>473.29464721679688</v>
      </c>
      <c r="D1141">
        <v>5976.97021484375</v>
      </c>
      <c r="E1141">
        <f t="shared" si="34"/>
        <v>-0.81650779041189114</v>
      </c>
      <c r="F1141">
        <f t="shared" si="35"/>
        <v>-1.1296379879250695</v>
      </c>
    </row>
    <row r="1142" spans="2:6" x14ac:dyDescent="0.45">
      <c r="B1142" s="132">
        <v>45824</v>
      </c>
      <c r="C1142">
        <v>477.46002197265619</v>
      </c>
      <c r="D1142">
        <v>6033.10986328125</v>
      </c>
      <c r="E1142">
        <f t="shared" si="34"/>
        <v>0.88008068131633088</v>
      </c>
      <c r="F1142">
        <f t="shared" si="35"/>
        <v>0.93926598961591168</v>
      </c>
    </row>
    <row r="1143" spans="2:6" x14ac:dyDescent="0.45">
      <c r="B1143" s="132">
        <v>45825</v>
      </c>
      <c r="C1143">
        <v>476.36386108398438</v>
      </c>
      <c r="D1143">
        <v>5982.72021484375</v>
      </c>
      <c r="E1143">
        <f t="shared" si="34"/>
        <v>-0.22958171118556692</v>
      </c>
      <c r="F1143">
        <f t="shared" si="35"/>
        <v>-0.8352184790166306</v>
      </c>
    </row>
    <row r="1144" spans="2:6" x14ac:dyDescent="0.45">
      <c r="B1144" s="132">
        <v>45826</v>
      </c>
      <c r="C1144">
        <v>478.55612182617188</v>
      </c>
      <c r="D1144">
        <v>5980.8701171875</v>
      </c>
      <c r="E1144">
        <f t="shared" si="34"/>
        <v>0.46020719061243831</v>
      </c>
      <c r="F1144">
        <f t="shared" si="35"/>
        <v>-3.0924021010703129E-2</v>
      </c>
    </row>
    <row r="1145" spans="2:6" x14ac:dyDescent="0.45">
      <c r="B1145" s="132">
        <v>45828</v>
      </c>
      <c r="C1145">
        <v>475.72610473632813</v>
      </c>
      <c r="D1145">
        <v>5967.83984375</v>
      </c>
      <c r="E1145">
        <f t="shared" si="34"/>
        <v>-0.59136576898115578</v>
      </c>
      <c r="F1145">
        <f t="shared" si="35"/>
        <v>-0.21786584865058911</v>
      </c>
    </row>
    <row r="1146" spans="2:6" x14ac:dyDescent="0.45">
      <c r="B1146" s="132">
        <v>45831</v>
      </c>
      <c r="C1146">
        <v>484.29592895507813</v>
      </c>
      <c r="D1146">
        <v>6025.169921875</v>
      </c>
      <c r="E1146">
        <f t="shared" si="34"/>
        <v>1.8014197945895427</v>
      </c>
      <c r="F1146">
        <f t="shared" si="35"/>
        <v>0.9606504133156335</v>
      </c>
    </row>
    <row r="1147" spans="2:6" x14ac:dyDescent="0.45">
      <c r="B1147" s="132">
        <v>45832</v>
      </c>
      <c r="C1147">
        <v>488.39151000976563</v>
      </c>
      <c r="D1147">
        <v>6092.18017578125</v>
      </c>
      <c r="E1147">
        <f t="shared" si="34"/>
        <v>0.84567736580485331</v>
      </c>
      <c r="F1147">
        <f t="shared" si="35"/>
        <v>1.1121720179701811</v>
      </c>
    </row>
    <row r="1148" spans="2:6" x14ac:dyDescent="0.45">
      <c r="B1148" s="132">
        <v>45833</v>
      </c>
      <c r="C1148">
        <v>490.5439453125</v>
      </c>
      <c r="D1148">
        <v>6092.16015625</v>
      </c>
      <c r="E1148">
        <f t="shared" si="34"/>
        <v>0.4407192300888596</v>
      </c>
      <c r="F1148">
        <f t="shared" si="35"/>
        <v>-3.2861029504172024E-4</v>
      </c>
    </row>
    <row r="1149" spans="2:6" x14ac:dyDescent="0.45">
      <c r="B1149" s="132">
        <v>45834</v>
      </c>
      <c r="C1149">
        <v>495.705810546875</v>
      </c>
      <c r="D1149">
        <v>6141.02001953125</v>
      </c>
      <c r="E1149">
        <f t="shared" si="34"/>
        <v>1.0522737633804846</v>
      </c>
      <c r="F1149">
        <f t="shared" si="35"/>
        <v>0.80201212752302187</v>
      </c>
    </row>
    <row r="1150" spans="2:6" x14ac:dyDescent="0.45">
      <c r="B1150" s="132">
        <v>45835</v>
      </c>
      <c r="C1150">
        <v>494.20111083984381</v>
      </c>
      <c r="D1150">
        <v>6173.06982421875</v>
      </c>
      <c r="E1150">
        <f t="shared" si="34"/>
        <v>-0.3035469173482519</v>
      </c>
      <c r="F1150">
        <f t="shared" si="35"/>
        <v>0.52189708852221628</v>
      </c>
    </row>
    <row r="1151" spans="2:6" x14ac:dyDescent="0.45">
      <c r="B1151" s="132">
        <v>45838</v>
      </c>
      <c r="C1151">
        <v>495.66595458984381</v>
      </c>
      <c r="D1151">
        <v>6204.9501953125</v>
      </c>
      <c r="E1151">
        <f t="shared" si="34"/>
        <v>0.29640640578703081</v>
      </c>
      <c r="F1151">
        <f t="shared" si="35"/>
        <v>0.51644274245326027</v>
      </c>
    </row>
    <row r="1152" spans="2:6" x14ac:dyDescent="0.45">
      <c r="B1152" s="132">
        <v>45839</v>
      </c>
      <c r="C1152">
        <v>490.32473754882813</v>
      </c>
      <c r="D1152">
        <v>6198.009765625</v>
      </c>
      <c r="E1152">
        <f t="shared" si="34"/>
        <v>-1.0775840042182128</v>
      </c>
      <c r="F1152">
        <f t="shared" si="35"/>
        <v>-0.1118531087121899</v>
      </c>
    </row>
    <row r="1153" spans="2:6" x14ac:dyDescent="0.45">
      <c r="B1153" s="132">
        <v>45840</v>
      </c>
      <c r="C1153">
        <v>489.36810302734381</v>
      </c>
      <c r="D1153">
        <v>6227.419921875</v>
      </c>
      <c r="E1153">
        <f t="shared" si="34"/>
        <v>-0.19510223495282641</v>
      </c>
      <c r="F1153">
        <f t="shared" si="35"/>
        <v>0.47450967910880326</v>
      </c>
    </row>
    <row r="1154" spans="2:6" x14ac:dyDescent="0.45">
      <c r="B1154" s="132">
        <v>45841</v>
      </c>
      <c r="C1154">
        <v>497.0909423828125</v>
      </c>
      <c r="D1154">
        <v>6279.35009765625</v>
      </c>
      <c r="E1154">
        <f t="shared" si="34"/>
        <v>1.5781247914797625</v>
      </c>
      <c r="F1154">
        <f t="shared" si="35"/>
        <v>0.83389552066073236</v>
      </c>
    </row>
    <row r="1155" spans="2:6" x14ac:dyDescent="0.45">
      <c r="B1155" s="132">
        <v>45845</v>
      </c>
      <c r="C1155">
        <v>495.974853515625</v>
      </c>
      <c r="D1155">
        <v>6229.97998046875</v>
      </c>
      <c r="E1155">
        <f t="shared" si="34"/>
        <v>-0.22452408041021554</v>
      </c>
      <c r="F1155">
        <f t="shared" si="35"/>
        <v>-0.78622972791287937</v>
      </c>
    </row>
    <row r="1156" spans="2:6" x14ac:dyDescent="0.45">
      <c r="B1156" s="132">
        <v>45846</v>
      </c>
      <c r="C1156">
        <v>494.87869262695313</v>
      </c>
      <c r="D1156">
        <v>6225.52001953125</v>
      </c>
      <c r="E1156">
        <f t="shared" si="34"/>
        <v>-0.22101138412601307</v>
      </c>
      <c r="F1156">
        <f t="shared" si="35"/>
        <v>-7.1588688109469611E-2</v>
      </c>
    </row>
    <row r="1157" spans="2:6" x14ac:dyDescent="0.45">
      <c r="B1157" s="132">
        <v>45847</v>
      </c>
      <c r="C1157">
        <v>501.74456787109381</v>
      </c>
      <c r="D1157">
        <v>6263.259765625</v>
      </c>
      <c r="E1157">
        <f t="shared" si="34"/>
        <v>1.3873855040504424</v>
      </c>
      <c r="F1157">
        <f t="shared" si="35"/>
        <v>0.60621034026635545</v>
      </c>
    </row>
    <row r="1158" spans="2:6" x14ac:dyDescent="0.45">
      <c r="B1158" s="132">
        <v>45848</v>
      </c>
      <c r="C1158">
        <v>499.7216796875</v>
      </c>
      <c r="D1158">
        <v>6280.4599609375</v>
      </c>
      <c r="E1158">
        <f t="shared" si="34"/>
        <v>-0.40317091865627042</v>
      </c>
      <c r="F1158">
        <f t="shared" si="35"/>
        <v>0.27462050044453346</v>
      </c>
    </row>
    <row r="1159" spans="2:6" x14ac:dyDescent="0.45">
      <c r="B1159" s="132">
        <v>45849</v>
      </c>
      <c r="C1159">
        <v>501.55523681640619</v>
      </c>
      <c r="D1159">
        <v>6259.75</v>
      </c>
      <c r="E1159">
        <f t="shared" si="34"/>
        <v>0.36691566594684311</v>
      </c>
      <c r="F1159">
        <f t="shared" si="35"/>
        <v>-0.32975229626984737</v>
      </c>
    </row>
    <row r="1160" spans="2:6" x14ac:dyDescent="0.45">
      <c r="B1160" s="132">
        <v>45852</v>
      </c>
      <c r="C1160">
        <v>501.25625610351563</v>
      </c>
      <c r="D1160">
        <v>6268.56005859375</v>
      </c>
      <c r="E1160">
        <f t="shared" ref="E1160:E1223" si="36">((C1160/C1159)-1)*100</f>
        <v>-5.9610724989800357E-2</v>
      </c>
      <c r="F1160">
        <f t="shared" ref="F1160:F1223" si="37">((D1160/D1159)-1)*100</f>
        <v>0.1407413809457303</v>
      </c>
    </row>
    <row r="1161" spans="2:6" x14ac:dyDescent="0.45">
      <c r="B1161" s="132">
        <v>45853</v>
      </c>
      <c r="C1161">
        <v>504.04644775390619</v>
      </c>
      <c r="D1161">
        <v>6243.759765625</v>
      </c>
      <c r="E1161">
        <f t="shared" si="36"/>
        <v>0.55663976587143615</v>
      </c>
      <c r="F1161">
        <f t="shared" si="37"/>
        <v>-0.3956298214731202</v>
      </c>
    </row>
    <row r="1162" spans="2:6" x14ac:dyDescent="0.45">
      <c r="B1162" s="132">
        <v>45854</v>
      </c>
      <c r="C1162">
        <v>503.84713745117188</v>
      </c>
      <c r="D1162">
        <v>6263.7001953125</v>
      </c>
      <c r="E1162">
        <f t="shared" si="36"/>
        <v>-3.9542050861085531E-2</v>
      </c>
      <c r="F1162">
        <f t="shared" si="37"/>
        <v>0.31936574173276888</v>
      </c>
    </row>
    <row r="1163" spans="2:6" x14ac:dyDescent="0.45">
      <c r="B1163" s="132">
        <v>45855</v>
      </c>
      <c r="C1163">
        <v>509.90585327148438</v>
      </c>
      <c r="D1163">
        <v>6297.35986328125</v>
      </c>
      <c r="E1163">
        <f t="shared" si="36"/>
        <v>1.2024908687507718</v>
      </c>
      <c r="F1163">
        <f t="shared" si="37"/>
        <v>0.53737674089093801</v>
      </c>
    </row>
    <row r="1164" spans="2:6" x14ac:dyDescent="0.45">
      <c r="B1164" s="132">
        <v>45856</v>
      </c>
      <c r="C1164">
        <v>508.26162719726563</v>
      </c>
      <c r="D1164">
        <v>6296.7900390625</v>
      </c>
      <c r="E1164">
        <f t="shared" si="36"/>
        <v>-0.32245679543970729</v>
      </c>
      <c r="F1164">
        <f t="shared" si="37"/>
        <v>-9.0486208684459335E-3</v>
      </c>
    </row>
    <row r="1165" spans="2:6" x14ac:dyDescent="0.45">
      <c r="B1165" s="132">
        <v>45859</v>
      </c>
      <c r="C1165">
        <v>508.27157592773438</v>
      </c>
      <c r="D1165">
        <v>6305.60009765625</v>
      </c>
      <c r="E1165">
        <f t="shared" si="36"/>
        <v>1.9574034191061074E-3</v>
      </c>
      <c r="F1165">
        <f t="shared" si="37"/>
        <v>0.13991348828683581</v>
      </c>
    </row>
    <row r="1166" spans="2:6" x14ac:dyDescent="0.45">
      <c r="B1166" s="132">
        <v>45860</v>
      </c>
      <c r="C1166">
        <v>503.49838256835938</v>
      </c>
      <c r="D1166">
        <v>6309.6201171875</v>
      </c>
      <c r="E1166">
        <f t="shared" si="36"/>
        <v>-0.93910294917881609</v>
      </c>
      <c r="F1166">
        <f t="shared" si="37"/>
        <v>6.3753163362578746E-2</v>
      </c>
    </row>
    <row r="1167" spans="2:6" x14ac:dyDescent="0.45">
      <c r="B1167" s="132">
        <v>45861</v>
      </c>
      <c r="C1167">
        <v>504.09628295898438</v>
      </c>
      <c r="D1167">
        <v>6358.91015625</v>
      </c>
      <c r="E1167">
        <f t="shared" si="36"/>
        <v>0.11874921773831204</v>
      </c>
      <c r="F1167">
        <f t="shared" si="37"/>
        <v>0.78118869515191314</v>
      </c>
    </row>
    <row r="1168" spans="2:6" x14ac:dyDescent="0.45">
      <c r="B1168" s="132">
        <v>45862</v>
      </c>
      <c r="C1168">
        <v>509.08871459960938</v>
      </c>
      <c r="D1168">
        <v>6363.35009765625</v>
      </c>
      <c r="E1168">
        <f t="shared" si="36"/>
        <v>0.99037263502916861</v>
      </c>
      <c r="F1168">
        <f t="shared" si="37"/>
        <v>6.982236416543941E-2</v>
      </c>
    </row>
    <row r="1169" spans="2:6" x14ac:dyDescent="0.45">
      <c r="B1169" s="132">
        <v>45863</v>
      </c>
      <c r="C1169">
        <v>511.90884399414063</v>
      </c>
      <c r="D1169">
        <v>6388.64013671875</v>
      </c>
      <c r="E1169">
        <f t="shared" si="36"/>
        <v>0.55395637610022863</v>
      </c>
      <c r="F1169">
        <f t="shared" si="37"/>
        <v>0.39743277792958498</v>
      </c>
    </row>
    <row r="1170" spans="2:6" x14ac:dyDescent="0.45">
      <c r="B1170" s="132">
        <v>45866</v>
      </c>
      <c r="C1170">
        <v>510.70303344726563</v>
      </c>
      <c r="D1170">
        <v>6389.77001953125</v>
      </c>
      <c r="E1170">
        <f t="shared" si="36"/>
        <v>-0.23555180986262192</v>
      </c>
      <c r="F1170">
        <f t="shared" si="37"/>
        <v>1.7685810881817865E-2</v>
      </c>
    </row>
    <row r="1171" spans="2:6" x14ac:dyDescent="0.45">
      <c r="B1171" s="132">
        <v>45867</v>
      </c>
      <c r="C1171">
        <v>510.77279663085938</v>
      </c>
      <c r="D1171">
        <v>6370.85986328125</v>
      </c>
      <c r="E1171">
        <f t="shared" si="36"/>
        <v>1.3660225028000461E-2</v>
      </c>
      <c r="F1171">
        <f t="shared" si="37"/>
        <v>-0.29594423887242538</v>
      </c>
    </row>
    <row r="1172" spans="2:6" x14ac:dyDescent="0.45">
      <c r="B1172" s="132">
        <v>45868</v>
      </c>
      <c r="C1172">
        <v>511.4404296875</v>
      </c>
      <c r="D1172">
        <v>6362.89990234375</v>
      </c>
      <c r="E1172">
        <f t="shared" si="36"/>
        <v>0.13071037867413704</v>
      </c>
      <c r="F1172">
        <f t="shared" si="37"/>
        <v>-0.12494327466496813</v>
      </c>
    </row>
    <row r="1173" spans="2:6" x14ac:dyDescent="0.45">
      <c r="B1173" s="132">
        <v>45869</v>
      </c>
      <c r="C1173">
        <v>531.62939453125</v>
      </c>
      <c r="D1173">
        <v>6339.39013671875</v>
      </c>
      <c r="E1173">
        <f t="shared" si="36"/>
        <v>3.9474714300717029</v>
      </c>
      <c r="F1173">
        <f t="shared" si="37"/>
        <v>-0.36948193411530106</v>
      </c>
    </row>
    <row r="1174" spans="2:6" x14ac:dyDescent="0.45">
      <c r="B1174" s="132">
        <v>45870</v>
      </c>
      <c r="C1174">
        <v>522.2723388671875</v>
      </c>
      <c r="D1174">
        <v>6238.009765625</v>
      </c>
      <c r="E1174">
        <f t="shared" si="36"/>
        <v>-1.760071162414345</v>
      </c>
      <c r="F1174">
        <f t="shared" si="37"/>
        <v>-1.5992133140148468</v>
      </c>
    </row>
    <row r="1175" spans="2:6" x14ac:dyDescent="0.45">
      <c r="B1175" s="132">
        <v>45873</v>
      </c>
      <c r="C1175">
        <v>533.76190185546875</v>
      </c>
      <c r="D1175">
        <v>6329.93994140625</v>
      </c>
      <c r="E1175">
        <f t="shared" si="36"/>
        <v>2.1999179610396657</v>
      </c>
      <c r="F1175">
        <f t="shared" si="37"/>
        <v>1.473710033091602</v>
      </c>
    </row>
    <row r="1176" spans="2:6" x14ac:dyDescent="0.45">
      <c r="B1176" s="132">
        <v>45874</v>
      </c>
      <c r="C1176">
        <v>525.8995361328125</v>
      </c>
      <c r="D1176">
        <v>6299.18994140625</v>
      </c>
      <c r="E1176">
        <f t="shared" si="36"/>
        <v>-1.4730099123457463</v>
      </c>
      <c r="F1176">
        <f t="shared" si="37"/>
        <v>-0.48578659963033344</v>
      </c>
    </row>
    <row r="1177" spans="2:6" x14ac:dyDescent="0.45">
      <c r="B1177" s="132">
        <v>45875</v>
      </c>
      <c r="C1177">
        <v>523.09942626953125</v>
      </c>
      <c r="D1177">
        <v>6345.06005859375</v>
      </c>
      <c r="E1177">
        <f t="shared" si="36"/>
        <v>-0.53244197244816105</v>
      </c>
      <c r="F1177">
        <f t="shared" si="37"/>
        <v>0.72819072950924824</v>
      </c>
    </row>
    <row r="1178" spans="2:6" x14ac:dyDescent="0.45">
      <c r="B1178" s="132">
        <v>45876</v>
      </c>
      <c r="C1178">
        <v>519.01385498046875</v>
      </c>
      <c r="D1178">
        <v>6340</v>
      </c>
      <c r="E1178">
        <f t="shared" si="36"/>
        <v>-0.78103149877235545</v>
      </c>
      <c r="F1178">
        <f t="shared" si="37"/>
        <v>-7.9748001548018976E-2</v>
      </c>
    </row>
    <row r="1179" spans="2:6" x14ac:dyDescent="0.45">
      <c r="B1179" s="132">
        <v>45877</v>
      </c>
      <c r="C1179">
        <v>520.2095947265625</v>
      </c>
      <c r="D1179">
        <v>6389.4501953125</v>
      </c>
      <c r="E1179">
        <f t="shared" si="36"/>
        <v>0.23038686436198663</v>
      </c>
      <c r="F1179">
        <f t="shared" si="37"/>
        <v>0.77997153489748339</v>
      </c>
    </row>
    <row r="1180" spans="2:6" x14ac:dyDescent="0.45">
      <c r="B1180" s="132">
        <v>45880</v>
      </c>
      <c r="C1180">
        <v>519.9405517578125</v>
      </c>
      <c r="D1180">
        <v>6373.4501953125</v>
      </c>
      <c r="E1180">
        <f t="shared" si="36"/>
        <v>-5.1718186568894264E-2</v>
      </c>
      <c r="F1180">
        <f t="shared" si="37"/>
        <v>-0.25041278217863283</v>
      </c>
    </row>
    <row r="1181" spans="2:6" x14ac:dyDescent="0.45">
      <c r="B1181" s="132">
        <v>45881</v>
      </c>
      <c r="C1181">
        <v>527.38433837890625</v>
      </c>
      <c r="D1181">
        <v>6445.759765625</v>
      </c>
      <c r="E1181">
        <f t="shared" si="36"/>
        <v>1.4316610997022305</v>
      </c>
      <c r="F1181">
        <f t="shared" si="37"/>
        <v>1.1345435846612739</v>
      </c>
    </row>
    <row r="1182" spans="2:6" x14ac:dyDescent="0.45">
      <c r="B1182" s="132">
        <v>45882</v>
      </c>
      <c r="C1182">
        <v>518.7547607421875</v>
      </c>
      <c r="D1182">
        <v>6466.580078125</v>
      </c>
      <c r="E1182">
        <f t="shared" si="36"/>
        <v>-1.6362976692187448</v>
      </c>
      <c r="F1182">
        <f t="shared" si="37"/>
        <v>0.32300788824048965</v>
      </c>
    </row>
    <row r="1183" spans="2:6" x14ac:dyDescent="0.45">
      <c r="B1183" s="132">
        <v>45883</v>
      </c>
      <c r="C1183">
        <v>520.64801025390625</v>
      </c>
      <c r="D1183">
        <v>6468.5400390625</v>
      </c>
      <c r="E1183">
        <f t="shared" si="36"/>
        <v>0.36496041193145867</v>
      </c>
      <c r="F1183">
        <f t="shared" si="37"/>
        <v>3.0309080129242716E-2</v>
      </c>
    </row>
    <row r="1184" spans="2:6" x14ac:dyDescent="0.45">
      <c r="B1184" s="132">
        <v>45884</v>
      </c>
      <c r="C1184">
        <v>518.34613037109375</v>
      </c>
      <c r="D1184">
        <v>6449.7998046875</v>
      </c>
      <c r="E1184">
        <f t="shared" si="36"/>
        <v>-0.44211825215464406</v>
      </c>
      <c r="F1184">
        <f t="shared" si="37"/>
        <v>-0.28971350972291088</v>
      </c>
    </row>
    <row r="1185" spans="2:6" x14ac:dyDescent="0.45">
      <c r="B1185" s="132">
        <v>45887</v>
      </c>
      <c r="C1185">
        <v>515.286865234375</v>
      </c>
      <c r="D1185">
        <v>6449.14990234375</v>
      </c>
      <c r="E1185">
        <f t="shared" si="36"/>
        <v>-0.59019735220721126</v>
      </c>
      <c r="F1185">
        <f t="shared" si="37"/>
        <v>-1.0076318078544588E-2</v>
      </c>
    </row>
    <row r="1186" spans="2:6" x14ac:dyDescent="0.45">
      <c r="B1186" s="132">
        <v>45888</v>
      </c>
      <c r="C1186">
        <v>507.98260498046881</v>
      </c>
      <c r="D1186">
        <v>6411.3701171875</v>
      </c>
      <c r="E1186">
        <f t="shared" si="36"/>
        <v>-1.4175133788019045</v>
      </c>
      <c r="F1186">
        <f t="shared" si="37"/>
        <v>-0.58581031187567856</v>
      </c>
    </row>
    <row r="1187" spans="2:6" x14ac:dyDescent="0.45">
      <c r="B1187" s="132">
        <v>45889</v>
      </c>
      <c r="C1187">
        <v>503.94680786132813</v>
      </c>
      <c r="D1187">
        <v>6395.77978515625</v>
      </c>
      <c r="E1187">
        <f t="shared" si="36"/>
        <v>-0.79447545635855654</v>
      </c>
      <c r="F1187">
        <f t="shared" si="37"/>
        <v>-0.24316693228262354</v>
      </c>
    </row>
    <row r="1188" spans="2:6" x14ac:dyDescent="0.45">
      <c r="B1188" s="132">
        <v>45890</v>
      </c>
      <c r="C1188">
        <v>503.29800415039063</v>
      </c>
      <c r="D1188">
        <v>6370.169921875</v>
      </c>
      <c r="E1188">
        <f t="shared" si="36"/>
        <v>-0.12874448271453787</v>
      </c>
      <c r="F1188">
        <f t="shared" si="37"/>
        <v>-0.40041815293089256</v>
      </c>
    </row>
    <row r="1189" spans="2:6" x14ac:dyDescent="0.45">
      <c r="B1189" s="132">
        <v>45891</v>
      </c>
      <c r="C1189">
        <v>506.28244018554688</v>
      </c>
      <c r="D1189">
        <v>6466.91015625</v>
      </c>
      <c r="E1189">
        <f t="shared" si="36"/>
        <v>0.59297593285596584</v>
      </c>
      <c r="F1189">
        <f t="shared" si="37"/>
        <v>1.5186444876893468</v>
      </c>
    </row>
    <row r="1190" spans="2:6" x14ac:dyDescent="0.45">
      <c r="B1190" s="132">
        <v>45894</v>
      </c>
      <c r="C1190">
        <v>503.3179931640625</v>
      </c>
      <c r="D1190">
        <v>6439.31982421875</v>
      </c>
      <c r="E1190">
        <f t="shared" si="36"/>
        <v>-0.58553226147798343</v>
      </c>
      <c r="F1190">
        <f t="shared" si="37"/>
        <v>-0.42663855480634671</v>
      </c>
    </row>
    <row r="1191" spans="2:6" x14ac:dyDescent="0.45">
      <c r="B1191" s="132">
        <v>45895</v>
      </c>
      <c r="C1191">
        <v>501.10214233398438</v>
      </c>
      <c r="D1191">
        <v>6465.93994140625</v>
      </c>
      <c r="E1191">
        <f t="shared" si="36"/>
        <v>-0.44024868178234033</v>
      </c>
      <c r="F1191">
        <f t="shared" si="37"/>
        <v>0.41339951911349981</v>
      </c>
    </row>
    <row r="1192" spans="2:6" x14ac:dyDescent="0.45">
      <c r="B1192" s="132">
        <v>45896</v>
      </c>
      <c r="C1192">
        <v>505.7933349609375</v>
      </c>
      <c r="D1192">
        <v>6481.39990234375</v>
      </c>
      <c r="E1192">
        <f t="shared" si="36"/>
        <v>0.93617492934732205</v>
      </c>
      <c r="F1192">
        <f t="shared" si="37"/>
        <v>0.23909843081744153</v>
      </c>
    </row>
    <row r="1193" spans="2:6" x14ac:dyDescent="0.45">
      <c r="B1193" s="132">
        <v>45897</v>
      </c>
      <c r="C1193">
        <v>508.68792724609381</v>
      </c>
      <c r="D1193">
        <v>6501.85986328125</v>
      </c>
      <c r="E1193">
        <f t="shared" si="36"/>
        <v>0.57228755008800203</v>
      </c>
      <c r="F1193">
        <f t="shared" si="37"/>
        <v>0.31567194195349924</v>
      </c>
    </row>
    <row r="1194" spans="2:6" x14ac:dyDescent="0.45">
      <c r="B1194" s="132">
        <v>45898</v>
      </c>
      <c r="C1194">
        <v>505.74343872070313</v>
      </c>
      <c r="D1194">
        <v>6460.259765625</v>
      </c>
      <c r="E1194">
        <f t="shared" si="36"/>
        <v>-0.57883986776163798</v>
      </c>
      <c r="F1194">
        <f t="shared" si="37"/>
        <v>-0.63981842935716404</v>
      </c>
    </row>
    <row r="1195" spans="2:6" x14ac:dyDescent="0.45">
      <c r="B1195" s="132">
        <v>45902</v>
      </c>
      <c r="C1195">
        <v>504.17636108398438</v>
      </c>
      <c r="D1195">
        <v>6415.5400390625</v>
      </c>
      <c r="E1195">
        <f t="shared" si="36"/>
        <v>-0.30985624661443723</v>
      </c>
      <c r="F1195">
        <f t="shared" si="37"/>
        <v>-0.6922279936861564</v>
      </c>
    </row>
    <row r="1196" spans="2:6" x14ac:dyDescent="0.45">
      <c r="B1196" s="132">
        <v>45903</v>
      </c>
      <c r="C1196">
        <v>504.40594482421881</v>
      </c>
      <c r="D1196">
        <v>6448.259765625</v>
      </c>
      <c r="E1196">
        <f t="shared" si="36"/>
        <v>4.5536395189338386E-2</v>
      </c>
      <c r="F1196">
        <f t="shared" si="37"/>
        <v>0.51000736279842585</v>
      </c>
    </row>
    <row r="1197" spans="2:6" x14ac:dyDescent="0.45">
      <c r="B1197" s="132">
        <v>45904</v>
      </c>
      <c r="C1197">
        <v>507.02105712890619</v>
      </c>
      <c r="D1197">
        <v>6502.080078125</v>
      </c>
      <c r="E1197">
        <f t="shared" si="36"/>
        <v>0.51845390236207045</v>
      </c>
      <c r="F1197">
        <f t="shared" si="37"/>
        <v>0.83464864096993718</v>
      </c>
    </row>
    <row r="1198" spans="2:6" x14ac:dyDescent="0.45">
      <c r="B1198" s="132">
        <v>45905</v>
      </c>
      <c r="C1198">
        <v>494.07528686523438</v>
      </c>
      <c r="D1198">
        <v>6481.5</v>
      </c>
      <c r="E1198">
        <f t="shared" si="36"/>
        <v>-2.553300317935403</v>
      </c>
      <c r="F1198">
        <f t="shared" si="37"/>
        <v>-0.31651529783888188</v>
      </c>
    </row>
    <row r="1199" spans="2:6" x14ac:dyDescent="0.45">
      <c r="B1199" s="132">
        <v>45908</v>
      </c>
      <c r="C1199">
        <v>497.26931762695313</v>
      </c>
      <c r="D1199">
        <v>6495.14990234375</v>
      </c>
      <c r="E1199">
        <f t="shared" si="36"/>
        <v>0.64646640838563751</v>
      </c>
      <c r="F1199">
        <f t="shared" si="37"/>
        <v>0.21059789159529885</v>
      </c>
    </row>
    <row r="1200" spans="2:6" x14ac:dyDescent="0.45">
      <c r="B1200" s="132">
        <v>45909</v>
      </c>
      <c r="C1200">
        <v>497.47891235351563</v>
      </c>
      <c r="D1200">
        <v>6512.60986328125</v>
      </c>
      <c r="E1200">
        <f t="shared" si="36"/>
        <v>4.2149137124058988E-2</v>
      </c>
      <c r="F1200">
        <f t="shared" si="37"/>
        <v>0.26881536531127015</v>
      </c>
    </row>
    <row r="1201" spans="2:6" x14ac:dyDescent="0.45">
      <c r="B1201" s="132">
        <v>45910</v>
      </c>
      <c r="C1201">
        <v>499.43524169921881</v>
      </c>
      <c r="D1201">
        <v>6532.0400390625</v>
      </c>
      <c r="E1201">
        <f t="shared" si="36"/>
        <v>0.39324869800974049</v>
      </c>
      <c r="F1201">
        <f t="shared" si="37"/>
        <v>0.29834699435626888</v>
      </c>
    </row>
    <row r="1202" spans="2:6" x14ac:dyDescent="0.45">
      <c r="B1202" s="132">
        <v>45911</v>
      </c>
      <c r="C1202">
        <v>500.07406616210938</v>
      </c>
      <c r="D1202">
        <v>6587.47021484375</v>
      </c>
      <c r="E1202">
        <f t="shared" si="36"/>
        <v>0.12790936833313449</v>
      </c>
      <c r="F1202">
        <f t="shared" si="37"/>
        <v>0.84858903879598824</v>
      </c>
    </row>
    <row r="1203" spans="2:6" x14ac:dyDescent="0.45">
      <c r="B1203" s="132">
        <v>45912</v>
      </c>
      <c r="C1203">
        <v>508.94744873046881</v>
      </c>
      <c r="D1203">
        <v>6584.2900390625</v>
      </c>
      <c r="E1203">
        <f t="shared" si="36"/>
        <v>1.7744136656514753</v>
      </c>
      <c r="F1203">
        <f t="shared" si="37"/>
        <v>-4.8276131466740146E-2</v>
      </c>
    </row>
    <row r="1204" spans="2:6" x14ac:dyDescent="0.45">
      <c r="B1204" s="132">
        <v>45915</v>
      </c>
      <c r="C1204">
        <v>514.397216796875</v>
      </c>
      <c r="D1204">
        <v>6615.27978515625</v>
      </c>
      <c r="E1204">
        <f t="shared" si="36"/>
        <v>1.0707919019930623</v>
      </c>
      <c r="F1204">
        <f t="shared" si="37"/>
        <v>0.47066192269626939</v>
      </c>
    </row>
    <row r="1205" spans="2:6" x14ac:dyDescent="0.45">
      <c r="B1205" s="132">
        <v>45916</v>
      </c>
      <c r="C1205">
        <v>508.08905029296881</v>
      </c>
      <c r="D1205">
        <v>6606.759765625</v>
      </c>
      <c r="E1205">
        <f t="shared" si="36"/>
        <v>-1.226322051893447</v>
      </c>
      <c r="F1205">
        <f t="shared" si="37"/>
        <v>-0.12879303382402618</v>
      </c>
    </row>
    <row r="1206" spans="2:6" x14ac:dyDescent="0.45">
      <c r="B1206" s="132">
        <v>45917</v>
      </c>
      <c r="C1206">
        <v>509.06719970703119</v>
      </c>
      <c r="D1206">
        <v>6600.35009765625</v>
      </c>
      <c r="E1206">
        <f t="shared" si="36"/>
        <v>0.19251535011399756</v>
      </c>
      <c r="F1206">
        <f t="shared" si="37"/>
        <v>-9.7016816051032073E-2</v>
      </c>
    </row>
    <row r="1207" spans="2:6" x14ac:dyDescent="0.45">
      <c r="B1207" s="132">
        <v>45918</v>
      </c>
      <c r="C1207">
        <v>507.50015258789063</v>
      </c>
      <c r="D1207">
        <v>6631.9599609375</v>
      </c>
      <c r="E1207">
        <f t="shared" si="36"/>
        <v>-0.30782716310192582</v>
      </c>
      <c r="F1207">
        <f t="shared" si="37"/>
        <v>0.47891191851283654</v>
      </c>
    </row>
    <row r="1208" spans="2:6" x14ac:dyDescent="0.45">
      <c r="B1208" s="132">
        <v>45919</v>
      </c>
      <c r="C1208">
        <v>516.96240234375</v>
      </c>
      <c r="D1208">
        <v>6664.35986328125</v>
      </c>
      <c r="E1208">
        <f t="shared" si="36"/>
        <v>1.8644821499281594</v>
      </c>
      <c r="F1208">
        <f t="shared" si="37"/>
        <v>0.48854188708296054</v>
      </c>
    </row>
    <row r="1209" spans="2:6" x14ac:dyDescent="0.45">
      <c r="B1209" s="132">
        <v>45922</v>
      </c>
      <c r="C1209">
        <v>513.48895263671875</v>
      </c>
      <c r="D1209">
        <v>6693.75</v>
      </c>
      <c r="E1209">
        <f t="shared" si="36"/>
        <v>-0.67189600080851397</v>
      </c>
      <c r="F1209">
        <f t="shared" si="37"/>
        <v>0.44100464743330736</v>
      </c>
    </row>
    <row r="1210" spans="2:6" x14ac:dyDescent="0.45">
      <c r="B1210" s="132">
        <v>45923</v>
      </c>
      <c r="C1210">
        <v>508.27871704101563</v>
      </c>
      <c r="D1210">
        <v>6656.919921875</v>
      </c>
      <c r="E1210">
        <f t="shared" si="36"/>
        <v>-1.0146733574206479</v>
      </c>
      <c r="F1210">
        <f t="shared" si="37"/>
        <v>-0.55021591970121353</v>
      </c>
    </row>
    <row r="1211" spans="2:6" x14ac:dyDescent="0.45">
      <c r="B1211" s="132">
        <v>45924</v>
      </c>
      <c r="C1211">
        <v>509.19696044921881</v>
      </c>
      <c r="D1211">
        <v>6637.97021484375</v>
      </c>
      <c r="E1211">
        <f t="shared" si="36"/>
        <v>0.18065745769344499</v>
      </c>
      <c r="F1211">
        <f t="shared" si="37"/>
        <v>-0.28466178433332878</v>
      </c>
    </row>
    <row r="1212" spans="2:6" x14ac:dyDescent="0.45">
      <c r="B1212" s="132">
        <v>45925</v>
      </c>
      <c r="C1212">
        <v>506.08279418945313</v>
      </c>
      <c r="D1212">
        <v>6604.72021484375</v>
      </c>
      <c r="E1212">
        <f t="shared" si="36"/>
        <v>-0.6115838274090124</v>
      </c>
      <c r="F1212">
        <f t="shared" si="37"/>
        <v>-0.50090613431266195</v>
      </c>
    </row>
    <row r="1213" spans="2:6" x14ac:dyDescent="0.45">
      <c r="B1213" s="132">
        <v>45926</v>
      </c>
      <c r="C1213">
        <v>510.5045166015625</v>
      </c>
      <c r="D1213">
        <v>6643.7001953125</v>
      </c>
      <c r="E1213">
        <f t="shared" si="36"/>
        <v>0.8737152226625744</v>
      </c>
      <c r="F1213">
        <f t="shared" si="37"/>
        <v>0.59018367471712629</v>
      </c>
    </row>
    <row r="1214" spans="2:6" x14ac:dyDescent="0.45">
      <c r="B1214" s="132">
        <v>45929</v>
      </c>
      <c r="C1214">
        <v>513.63861083984375</v>
      </c>
      <c r="D1214">
        <v>6661.2099609375</v>
      </c>
      <c r="E1214">
        <f t="shared" si="36"/>
        <v>0.61392096178598532</v>
      </c>
      <c r="F1214">
        <f t="shared" si="37"/>
        <v>0.26355442163621401</v>
      </c>
    </row>
    <row r="1215" spans="2:6" x14ac:dyDescent="0.45">
      <c r="B1215" s="132">
        <v>45930</v>
      </c>
      <c r="C1215">
        <v>516.982421875</v>
      </c>
      <c r="D1215">
        <v>6688.4599609375</v>
      </c>
      <c r="E1215">
        <f t="shared" si="36"/>
        <v>0.65100460997058462</v>
      </c>
      <c r="F1215">
        <f t="shared" si="37"/>
        <v>0.40908483833717035</v>
      </c>
    </row>
    <row r="1216" spans="2:6" x14ac:dyDescent="0.45">
      <c r="B1216" s="132">
        <v>45931</v>
      </c>
      <c r="C1216">
        <v>518.7391357421875</v>
      </c>
      <c r="D1216">
        <v>6711.2001953125</v>
      </c>
      <c r="E1216">
        <f t="shared" si="36"/>
        <v>0.33980146961596347</v>
      </c>
      <c r="F1216">
        <f t="shared" si="37"/>
        <v>0.33999208349619892</v>
      </c>
    </row>
    <row r="1217" spans="2:6" x14ac:dyDescent="0.45">
      <c r="B1217" s="132">
        <v>45932</v>
      </c>
      <c r="C1217">
        <v>514.77655029296875</v>
      </c>
      <c r="D1217">
        <v>6715.35009765625</v>
      </c>
      <c r="E1217">
        <f t="shared" si="36"/>
        <v>-0.76388789204216989</v>
      </c>
      <c r="F1217">
        <f t="shared" si="37"/>
        <v>6.1835472389115687E-2</v>
      </c>
    </row>
    <row r="1218" spans="2:6" x14ac:dyDescent="0.45">
      <c r="B1218" s="132">
        <v>45933</v>
      </c>
      <c r="C1218">
        <v>516.38348388671875</v>
      </c>
      <c r="D1218">
        <v>6715.7900390625</v>
      </c>
      <c r="E1218">
        <f t="shared" si="36"/>
        <v>0.31216138202787569</v>
      </c>
      <c r="F1218">
        <f t="shared" si="37"/>
        <v>6.5512802735812059E-3</v>
      </c>
    </row>
    <row r="1219" spans="2:6" x14ac:dyDescent="0.45">
      <c r="B1219" s="132">
        <v>45936</v>
      </c>
      <c r="C1219">
        <v>527.58258056640625</v>
      </c>
      <c r="D1219">
        <v>6740.27978515625</v>
      </c>
      <c r="E1219">
        <f t="shared" si="36"/>
        <v>2.168755785021248</v>
      </c>
      <c r="F1219">
        <f t="shared" si="37"/>
        <v>0.36465919796933033</v>
      </c>
    </row>
    <row r="1220" spans="2:6" x14ac:dyDescent="0.45">
      <c r="B1220" s="132">
        <v>45937</v>
      </c>
      <c r="C1220">
        <v>523.0010986328125</v>
      </c>
      <c r="D1220">
        <v>6714.58984375</v>
      </c>
      <c r="E1220">
        <f t="shared" si="36"/>
        <v>-0.86839143337050784</v>
      </c>
      <c r="F1220">
        <f t="shared" si="37"/>
        <v>-0.38114057910215715</v>
      </c>
    </row>
    <row r="1221" spans="2:6" x14ac:dyDescent="0.45">
      <c r="B1221" s="132">
        <v>45938</v>
      </c>
      <c r="C1221">
        <v>523.8695068359375</v>
      </c>
      <c r="D1221">
        <v>6753.72021484375</v>
      </c>
      <c r="E1221">
        <f t="shared" si="36"/>
        <v>0.16604328468814433</v>
      </c>
      <c r="F1221">
        <f t="shared" si="37"/>
        <v>0.58276636405680815</v>
      </c>
    </row>
    <row r="1222" spans="2:6" x14ac:dyDescent="0.45">
      <c r="B1222" s="132">
        <v>45939</v>
      </c>
      <c r="C1222">
        <v>521.42413330078125</v>
      </c>
      <c r="D1222">
        <v>6735.10986328125</v>
      </c>
      <c r="E1222">
        <f t="shared" si="36"/>
        <v>-0.46679058491604364</v>
      </c>
      <c r="F1222">
        <f t="shared" si="37"/>
        <v>-0.2755570407195318</v>
      </c>
    </row>
    <row r="1223" spans="2:6" x14ac:dyDescent="0.45">
      <c r="B1223" s="132">
        <v>45940</v>
      </c>
      <c r="C1223">
        <v>510.00546264648438</v>
      </c>
      <c r="D1223">
        <v>6552.509765625</v>
      </c>
      <c r="E1223">
        <f t="shared" si="36"/>
        <v>-2.1899006825811917</v>
      </c>
      <c r="F1223">
        <f t="shared" si="37"/>
        <v>-2.7111673211413612</v>
      </c>
    </row>
    <row r="1224" spans="2:6" x14ac:dyDescent="0.45">
      <c r="B1224" s="132">
        <v>45943</v>
      </c>
      <c r="C1224">
        <v>513.08966064453125</v>
      </c>
      <c r="D1224">
        <v>6654.72021484375</v>
      </c>
      <c r="E1224">
        <f t="shared" ref="E1224:E1260" si="38">((C1224/C1223)-1)*100</f>
        <v>0.60473822810496181</v>
      </c>
      <c r="F1224">
        <f t="shared" ref="F1224:F1260" si="39">((D1224/D1223)-1)*100</f>
        <v>1.5598671787557583</v>
      </c>
    </row>
    <row r="1225" spans="2:6" x14ac:dyDescent="0.45">
      <c r="B1225" s="132">
        <v>45944</v>
      </c>
      <c r="C1225">
        <v>512.610595703125</v>
      </c>
      <c r="D1225">
        <v>6644.31005859375</v>
      </c>
      <c r="E1225">
        <f t="shared" si="38"/>
        <v>-9.3368660129389269E-2</v>
      </c>
      <c r="F1225">
        <f t="shared" si="39"/>
        <v>-0.15643266604626893</v>
      </c>
    </row>
    <row r="1226" spans="2:6" x14ac:dyDescent="0.45">
      <c r="B1226" s="132">
        <v>45945</v>
      </c>
      <c r="C1226">
        <v>512.4708251953125</v>
      </c>
      <c r="D1226">
        <v>6671.06005859375</v>
      </c>
      <c r="E1226">
        <f t="shared" si="38"/>
        <v>-2.7266410211590486E-2</v>
      </c>
      <c r="F1226">
        <f t="shared" si="39"/>
        <v>0.40260011595036893</v>
      </c>
    </row>
    <row r="1227" spans="2:6" x14ac:dyDescent="0.45">
      <c r="B1227" s="132">
        <v>45946</v>
      </c>
      <c r="C1227">
        <v>510.65423583984381</v>
      </c>
      <c r="D1227">
        <v>6629.06982421875</v>
      </c>
      <c r="E1227">
        <f t="shared" si="38"/>
        <v>-0.35447663869965229</v>
      </c>
      <c r="F1227">
        <f t="shared" si="39"/>
        <v>-0.62943870998294349</v>
      </c>
    </row>
    <row r="1228" spans="2:6" x14ac:dyDescent="0.45">
      <c r="B1228" s="132">
        <v>45947</v>
      </c>
      <c r="C1228">
        <v>512.62060546875</v>
      </c>
      <c r="D1228">
        <v>6664.009765625</v>
      </c>
      <c r="E1228">
        <f t="shared" si="38"/>
        <v>0.38506870028645057</v>
      </c>
      <c r="F1228">
        <f t="shared" si="39"/>
        <v>0.52707155502571545</v>
      </c>
    </row>
    <row r="1229" spans="2:6" x14ac:dyDescent="0.45">
      <c r="B1229" s="132">
        <v>45950</v>
      </c>
      <c r="C1229">
        <v>515.82452392578125</v>
      </c>
      <c r="D1229">
        <v>6735.1298828125</v>
      </c>
      <c r="E1229">
        <f t="shared" si="38"/>
        <v>0.62500773922296027</v>
      </c>
      <c r="F1229">
        <f t="shared" si="39"/>
        <v>1.0672270853256949</v>
      </c>
    </row>
    <row r="1230" spans="2:6" x14ac:dyDescent="0.45">
      <c r="B1230" s="132">
        <v>45951</v>
      </c>
      <c r="C1230">
        <v>516.69293212890625</v>
      </c>
      <c r="D1230">
        <v>6735.35009765625</v>
      </c>
      <c r="E1230">
        <f t="shared" si="38"/>
        <v>0.16835341532732695</v>
      </c>
      <c r="F1230">
        <f t="shared" si="39"/>
        <v>3.2696450934288634E-3</v>
      </c>
    </row>
    <row r="1231" spans="2:6" x14ac:dyDescent="0.45">
      <c r="B1231" s="132">
        <v>45952</v>
      </c>
      <c r="C1231">
        <v>519.56756591796875</v>
      </c>
      <c r="D1231">
        <v>6699.39990234375</v>
      </c>
      <c r="E1231">
        <f t="shared" si="38"/>
        <v>0.55635245042318093</v>
      </c>
      <c r="F1231">
        <f t="shared" si="39"/>
        <v>-0.53375392208654393</v>
      </c>
    </row>
    <row r="1232" spans="2:6" x14ac:dyDescent="0.45">
      <c r="B1232" s="132">
        <v>45953</v>
      </c>
      <c r="C1232">
        <v>519.5875244140625</v>
      </c>
      <c r="D1232">
        <v>6738.43994140625</v>
      </c>
      <c r="E1232">
        <f t="shared" si="38"/>
        <v>3.8413668217440744E-3</v>
      </c>
      <c r="F1232">
        <f t="shared" si="39"/>
        <v>0.58273934429324825</v>
      </c>
    </row>
    <row r="1233" spans="2:6" x14ac:dyDescent="0.45">
      <c r="B1233" s="132">
        <v>45954</v>
      </c>
      <c r="C1233">
        <v>522.6318359375</v>
      </c>
      <c r="D1233">
        <v>6791.68994140625</v>
      </c>
      <c r="E1233">
        <f t="shared" si="38"/>
        <v>0.58590928003334763</v>
      </c>
      <c r="F1233">
        <f t="shared" si="39"/>
        <v>0.79024225878738807</v>
      </c>
    </row>
    <row r="1234" spans="2:6" x14ac:dyDescent="0.45">
      <c r="B1234" s="132">
        <v>45957</v>
      </c>
      <c r="C1234">
        <v>530.527099609375</v>
      </c>
      <c r="D1234">
        <v>6875.16015625</v>
      </c>
      <c r="E1234">
        <f t="shared" si="38"/>
        <v>1.5106740785724382</v>
      </c>
      <c r="F1234">
        <f t="shared" si="39"/>
        <v>1.2290050865671143</v>
      </c>
    </row>
    <row r="1235" spans="2:6" x14ac:dyDescent="0.45">
      <c r="B1235" s="132">
        <v>45958</v>
      </c>
      <c r="C1235">
        <v>541.057373046875</v>
      </c>
      <c r="D1235">
        <v>6890.89013671875</v>
      </c>
      <c r="E1235">
        <f t="shared" si="38"/>
        <v>1.9848700368470196</v>
      </c>
      <c r="F1235">
        <f t="shared" si="39"/>
        <v>0.22879438603986557</v>
      </c>
    </row>
    <row r="1236" spans="2:6" x14ac:dyDescent="0.45">
      <c r="B1236" s="132">
        <v>45959</v>
      </c>
      <c r="C1236">
        <v>540.538330078125</v>
      </c>
      <c r="D1236">
        <v>6890.58984375</v>
      </c>
      <c r="E1236">
        <f t="shared" si="38"/>
        <v>-9.5931225523659958E-2</v>
      </c>
      <c r="F1236">
        <f t="shared" si="39"/>
        <v>-4.3578255173426506E-3</v>
      </c>
    </row>
    <row r="1237" spans="2:6" x14ac:dyDescent="0.45">
      <c r="B1237" s="132">
        <v>45960</v>
      </c>
      <c r="C1237">
        <v>524.77783203125</v>
      </c>
      <c r="D1237">
        <v>6822.33984375</v>
      </c>
      <c r="E1237">
        <f t="shared" si="38"/>
        <v>-2.9157040620222285</v>
      </c>
      <c r="F1237">
        <f t="shared" si="39"/>
        <v>-0.99048124395192394</v>
      </c>
    </row>
    <row r="1238" spans="2:6" x14ac:dyDescent="0.45">
      <c r="B1238" s="132">
        <v>45961</v>
      </c>
      <c r="C1238">
        <v>516.8426513671875</v>
      </c>
      <c r="D1238">
        <v>6840.2001953125</v>
      </c>
      <c r="E1238">
        <f t="shared" si="38"/>
        <v>-1.5121028709135675</v>
      </c>
      <c r="F1238">
        <f t="shared" si="39"/>
        <v>0.26179217059763005</v>
      </c>
    </row>
    <row r="1239" spans="2:6" x14ac:dyDescent="0.45">
      <c r="B1239" s="132">
        <v>45964</v>
      </c>
      <c r="C1239">
        <v>516.06414794921875</v>
      </c>
      <c r="D1239">
        <v>6851.97021484375</v>
      </c>
      <c r="E1239">
        <f t="shared" si="38"/>
        <v>-0.15062677507543532</v>
      </c>
      <c r="F1239">
        <f t="shared" si="39"/>
        <v>0.17207127269924793</v>
      </c>
    </row>
    <row r="1240" spans="2:6" x14ac:dyDescent="0.45">
      <c r="B1240" s="132">
        <v>45965</v>
      </c>
      <c r="C1240">
        <v>513.36920166015625</v>
      </c>
      <c r="D1240">
        <v>6771.5498046875</v>
      </c>
      <c r="E1240">
        <f t="shared" si="38"/>
        <v>-0.52221149246114429</v>
      </c>
      <c r="F1240">
        <f t="shared" si="39"/>
        <v>-1.1736830084583816</v>
      </c>
    </row>
    <row r="1241" spans="2:6" x14ac:dyDescent="0.45">
      <c r="B1241" s="132">
        <v>45966</v>
      </c>
      <c r="C1241">
        <v>506.21255493164063</v>
      </c>
      <c r="D1241">
        <v>6796.2900390625</v>
      </c>
      <c r="E1241">
        <f t="shared" si="38"/>
        <v>-1.3940545528193238</v>
      </c>
      <c r="F1241">
        <f t="shared" si="39"/>
        <v>0.36535556982648654</v>
      </c>
    </row>
    <row r="1242" spans="2:6" x14ac:dyDescent="0.45">
      <c r="B1242" s="132">
        <v>45967</v>
      </c>
      <c r="C1242">
        <v>496.17135620117188</v>
      </c>
      <c r="D1242">
        <v>6720.31982421875</v>
      </c>
      <c r="E1242">
        <f t="shared" si="38"/>
        <v>-1.9835933804179806</v>
      </c>
      <c r="F1242">
        <f t="shared" si="39"/>
        <v>-1.1178189042419073</v>
      </c>
    </row>
    <row r="1243" spans="2:6" x14ac:dyDescent="0.45">
      <c r="B1243" s="132">
        <v>45968</v>
      </c>
      <c r="C1243">
        <v>495.89187622070313</v>
      </c>
      <c r="D1243">
        <v>6728.7998046875</v>
      </c>
      <c r="E1243">
        <f t="shared" si="38"/>
        <v>-5.632731050992934E-2</v>
      </c>
      <c r="F1243">
        <f t="shared" si="39"/>
        <v>0.12618418007710464</v>
      </c>
    </row>
    <row r="1244" spans="2:6" x14ac:dyDescent="0.45">
      <c r="B1244" s="132">
        <v>45971</v>
      </c>
      <c r="C1244">
        <v>505.05471801757813</v>
      </c>
      <c r="D1244">
        <v>6832.43017578125</v>
      </c>
      <c r="E1244">
        <f t="shared" si="38"/>
        <v>1.8477499302281375</v>
      </c>
      <c r="F1244">
        <f t="shared" si="39"/>
        <v>1.540101862170995</v>
      </c>
    </row>
    <row r="1245" spans="2:6" x14ac:dyDescent="0.45">
      <c r="B1245" s="132">
        <v>45972</v>
      </c>
      <c r="C1245">
        <v>507.72970581054688</v>
      </c>
      <c r="D1245">
        <v>6846.60986328125</v>
      </c>
      <c r="E1245">
        <f t="shared" si="38"/>
        <v>0.52964316489676477</v>
      </c>
      <c r="F1245">
        <f t="shared" si="39"/>
        <v>0.20753505173405351</v>
      </c>
    </row>
    <row r="1246" spans="2:6" x14ac:dyDescent="0.45">
      <c r="B1246" s="132">
        <v>45973</v>
      </c>
      <c r="C1246">
        <v>510.18515014648438</v>
      </c>
      <c r="D1246">
        <v>6850.919921875</v>
      </c>
      <c r="E1246">
        <f t="shared" si="38"/>
        <v>0.48361250244706167</v>
      </c>
      <c r="F1246">
        <f t="shared" si="39"/>
        <v>6.2951718877179985E-2</v>
      </c>
    </row>
    <row r="1247" spans="2:6" x14ac:dyDescent="0.45">
      <c r="B1247" s="132">
        <v>45974</v>
      </c>
      <c r="C1247">
        <v>502.34979248046881</v>
      </c>
      <c r="D1247">
        <v>6737.490234375</v>
      </c>
      <c r="E1247">
        <f t="shared" si="38"/>
        <v>-1.5357870890138403</v>
      </c>
      <c r="F1247">
        <f t="shared" si="39"/>
        <v>-1.6556854961596978</v>
      </c>
    </row>
    <row r="1248" spans="2:6" x14ac:dyDescent="0.45">
      <c r="B1248" s="132">
        <v>45975</v>
      </c>
      <c r="C1248">
        <v>509.22689819335938</v>
      </c>
      <c r="D1248">
        <v>6734.10986328125</v>
      </c>
      <c r="E1248">
        <f t="shared" si="38"/>
        <v>1.368987469654015</v>
      </c>
      <c r="F1248">
        <f t="shared" si="39"/>
        <v>-5.0172556488514708E-2</v>
      </c>
    </row>
    <row r="1249" spans="2:6" x14ac:dyDescent="0.45">
      <c r="B1249" s="132">
        <v>45978</v>
      </c>
      <c r="C1249">
        <v>506.54193115234381</v>
      </c>
      <c r="D1249">
        <v>6672.41015625</v>
      </c>
      <c r="E1249">
        <f t="shared" si="38"/>
        <v>-0.52726339683574208</v>
      </c>
      <c r="F1249">
        <f t="shared" si="39"/>
        <v>-0.91622661768078206</v>
      </c>
    </row>
    <row r="1250" spans="2:6" x14ac:dyDescent="0.45">
      <c r="B1250" s="132">
        <v>45979</v>
      </c>
      <c r="C1250">
        <v>492.8675537109375</v>
      </c>
      <c r="D1250">
        <v>6617.31982421875</v>
      </c>
      <c r="E1250">
        <f t="shared" si="38"/>
        <v>-2.6995548838964156</v>
      </c>
      <c r="F1250">
        <f t="shared" si="39"/>
        <v>-0.82564366909679832</v>
      </c>
    </row>
    <row r="1251" spans="2:6" x14ac:dyDescent="0.45">
      <c r="B1251" s="132">
        <v>45980</v>
      </c>
      <c r="C1251">
        <v>486.20999145507813</v>
      </c>
      <c r="D1251">
        <v>6642.16015625</v>
      </c>
      <c r="E1251">
        <f t="shared" si="38"/>
        <v>-1.3507811998847874</v>
      </c>
      <c r="F1251">
        <f t="shared" si="39"/>
        <v>0.37538357962292324</v>
      </c>
    </row>
    <row r="1252" spans="2:6" x14ac:dyDescent="0.45">
      <c r="B1252" s="132">
        <v>45981</v>
      </c>
      <c r="C1252">
        <v>478.42999267578119</v>
      </c>
      <c r="D1252">
        <v>6538.759765625</v>
      </c>
      <c r="E1252">
        <f t="shared" si="38"/>
        <v>-1.6001314074220785</v>
      </c>
      <c r="F1252">
        <f t="shared" si="39"/>
        <v>-1.5567283563270418</v>
      </c>
    </row>
    <row r="1253" spans="2:6" x14ac:dyDescent="0.45">
      <c r="B1253" s="132">
        <v>45982</v>
      </c>
      <c r="C1253">
        <v>472.1199951171875</v>
      </c>
      <c r="D1253">
        <v>6602.990234375</v>
      </c>
      <c r="E1253">
        <f t="shared" si="38"/>
        <v>-1.3188967362399051</v>
      </c>
      <c r="F1253">
        <f t="shared" si="39"/>
        <v>0.9823035415319481</v>
      </c>
    </row>
    <row r="1254" spans="2:6" x14ac:dyDescent="0.45">
      <c r="B1254" s="132">
        <v>45985</v>
      </c>
      <c r="C1254">
        <v>474</v>
      </c>
      <c r="D1254">
        <v>6705.1201171875</v>
      </c>
      <c r="E1254">
        <f t="shared" si="38"/>
        <v>0.39820488482931182</v>
      </c>
      <c r="F1254">
        <f t="shared" si="39"/>
        <v>1.5467217001293498</v>
      </c>
    </row>
    <row r="1255" spans="2:6" x14ac:dyDescent="0.45">
      <c r="B1255" s="132">
        <v>45986</v>
      </c>
      <c r="C1255">
        <v>476.989990234375</v>
      </c>
      <c r="D1255">
        <v>6765.8798828125</v>
      </c>
      <c r="E1255">
        <f t="shared" si="38"/>
        <v>0.63079962750527407</v>
      </c>
      <c r="F1255">
        <f t="shared" si="39"/>
        <v>0.9061696817220577</v>
      </c>
    </row>
    <row r="1256" spans="2:6" x14ac:dyDescent="0.45">
      <c r="B1256" s="132">
        <v>45987</v>
      </c>
      <c r="C1256">
        <v>485.5</v>
      </c>
      <c r="D1256">
        <v>6812.60986328125</v>
      </c>
      <c r="E1256">
        <f t="shared" si="38"/>
        <v>1.7841065724342631</v>
      </c>
      <c r="F1256">
        <f t="shared" si="39"/>
        <v>0.69067115110126309</v>
      </c>
    </row>
    <row r="1257" spans="2:6" x14ac:dyDescent="0.45">
      <c r="B1257" s="132">
        <v>45989</v>
      </c>
      <c r="C1257">
        <v>492.010009765625</v>
      </c>
      <c r="D1257">
        <v>6849.08984375</v>
      </c>
      <c r="E1257">
        <f t="shared" si="38"/>
        <v>1.3408876963182381</v>
      </c>
      <c r="F1257">
        <f t="shared" si="39"/>
        <v>0.53547731634202567</v>
      </c>
    </row>
    <row r="1258" spans="2:6" x14ac:dyDescent="0.45">
      <c r="B1258" s="132">
        <v>45992</v>
      </c>
      <c r="C1258">
        <v>486.739990234375</v>
      </c>
      <c r="D1258">
        <v>6812.6298828125</v>
      </c>
      <c r="E1258">
        <f t="shared" si="38"/>
        <v>-1.0711203891482723</v>
      </c>
      <c r="F1258">
        <f t="shared" si="39"/>
        <v>-0.53233293429156836</v>
      </c>
    </row>
    <row r="1259" spans="2:6" x14ac:dyDescent="0.45">
      <c r="B1259" s="132">
        <v>45993</v>
      </c>
      <c r="C1259">
        <v>490</v>
      </c>
      <c r="D1259">
        <v>6829.3701171875</v>
      </c>
      <c r="E1259">
        <f t="shared" si="38"/>
        <v>0.66976411041452799</v>
      </c>
      <c r="F1259">
        <f t="shared" si="39"/>
        <v>0.24572352619998128</v>
      </c>
    </row>
    <row r="1260" spans="2:6" x14ac:dyDescent="0.45">
      <c r="B1260" s="132">
        <v>45994</v>
      </c>
      <c r="C1260">
        <v>477.73001098632813</v>
      </c>
      <c r="D1260">
        <v>6849.72021484375</v>
      </c>
      <c r="E1260">
        <f t="shared" si="38"/>
        <v>-2.5040793905452774</v>
      </c>
      <c r="F1260">
        <f t="shared" si="39"/>
        <v>0.29797912994984355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B2:N49"/>
  <sheetViews>
    <sheetView showGridLines="0" workbookViewId="0">
      <selection activeCell="L32" sqref="L32"/>
    </sheetView>
  </sheetViews>
  <sheetFormatPr defaultColWidth="12.86328125" defaultRowHeight="14.25" x14ac:dyDescent="0.45"/>
  <cols>
    <col min="1" max="1" width="2.86328125" customWidth="1"/>
    <col min="2" max="2" width="21.1328125" customWidth="1"/>
    <col min="3" max="3" width="2.86328125" customWidth="1"/>
  </cols>
  <sheetData>
    <row r="2" spans="2:14" ht="21" customHeight="1" x14ac:dyDescent="0.45">
      <c r="B2" s="15" t="s">
        <v>243</v>
      </c>
      <c r="C2" s="14"/>
      <c r="D2" s="14"/>
      <c r="E2" s="14"/>
      <c r="F2" s="14"/>
      <c r="G2" s="14"/>
      <c r="H2" s="14"/>
      <c r="I2" s="14"/>
      <c r="J2" s="14"/>
    </row>
    <row r="3" spans="2:14" ht="16.5" customHeight="1" x14ac:dyDescent="0.6">
      <c r="B3" s="1"/>
      <c r="C3" s="1"/>
      <c r="D3" s="1"/>
      <c r="E3" s="1"/>
      <c r="F3" s="1"/>
      <c r="G3" s="2"/>
      <c r="H3" s="1"/>
      <c r="I3" s="1"/>
      <c r="J3" s="1"/>
    </row>
    <row r="4" spans="2:14" ht="16.5" customHeight="1" x14ac:dyDescent="0.6">
      <c r="B4" s="17" t="s">
        <v>23</v>
      </c>
      <c r="C4" s="16"/>
      <c r="D4" s="16"/>
      <c r="E4" s="16"/>
      <c r="F4" s="1"/>
      <c r="G4" s="17" t="s">
        <v>24</v>
      </c>
      <c r="H4" s="16"/>
      <c r="I4" s="16"/>
      <c r="J4" s="16"/>
    </row>
    <row r="5" spans="2:14" ht="16.5" customHeight="1" x14ac:dyDescent="0.6">
      <c r="B5" s="3" t="s">
        <v>25</v>
      </c>
      <c r="C5" s="1"/>
      <c r="D5" s="1"/>
      <c r="E5" s="30" t="s">
        <v>82</v>
      </c>
      <c r="F5" s="1"/>
      <c r="G5" s="1" t="s">
        <v>26</v>
      </c>
      <c r="H5" s="1"/>
      <c r="I5" s="1"/>
      <c r="J5" s="28">
        <v>46022</v>
      </c>
    </row>
    <row r="6" spans="2:14" ht="16.5" customHeight="1" x14ac:dyDescent="0.6">
      <c r="B6" s="3" t="s">
        <v>27</v>
      </c>
      <c r="C6" s="1"/>
      <c r="D6" s="1"/>
      <c r="E6" s="31" t="s">
        <v>82</v>
      </c>
      <c r="F6" s="1"/>
      <c r="G6" s="3" t="s">
        <v>28</v>
      </c>
      <c r="H6" s="1"/>
      <c r="I6" s="1"/>
      <c r="J6" s="24">
        <v>0.02</v>
      </c>
    </row>
    <row r="7" spans="2:14" ht="16.5" customHeight="1" x14ac:dyDescent="0.6">
      <c r="B7" s="3" t="s">
        <v>29</v>
      </c>
      <c r="C7" s="1"/>
      <c r="D7" s="1"/>
      <c r="E7" s="31" t="s">
        <v>82</v>
      </c>
      <c r="F7" s="1"/>
      <c r="G7" s="3" t="s">
        <v>30</v>
      </c>
      <c r="H7" s="1"/>
      <c r="I7" s="1"/>
      <c r="J7" s="25" t="s">
        <v>82</v>
      </c>
      <c r="L7" s="53" t="s">
        <v>244</v>
      </c>
      <c r="M7" s="54"/>
      <c r="N7" s="54"/>
    </row>
    <row r="8" spans="2:14" ht="16.5" customHeight="1" x14ac:dyDescent="0.6">
      <c r="B8" s="3" t="s">
        <v>31</v>
      </c>
      <c r="C8" s="1"/>
      <c r="D8" s="1"/>
      <c r="E8" s="32" t="e">
        <f>E7+(E5*E6)</f>
        <v>#VALUE!</v>
      </c>
      <c r="F8" s="1"/>
      <c r="G8" s="3" t="s">
        <v>80</v>
      </c>
      <c r="H8" s="1"/>
      <c r="I8" s="1"/>
      <c r="J8" s="26" t="s">
        <v>82</v>
      </c>
    </row>
    <row r="9" spans="2:14" ht="16.5" customHeight="1" x14ac:dyDescent="0.6">
      <c r="B9" s="3" t="s">
        <v>33</v>
      </c>
      <c r="C9" s="1"/>
      <c r="D9" s="1"/>
      <c r="E9" s="32" t="e">
        <f>J10/SUM(J10:J11)</f>
        <v>#VALUE!</v>
      </c>
      <c r="F9" s="1"/>
      <c r="G9" s="3" t="s">
        <v>34</v>
      </c>
      <c r="H9" s="1"/>
      <c r="I9" s="1"/>
      <c r="J9" s="27" t="s">
        <v>82</v>
      </c>
    </row>
    <row r="10" spans="2:14" ht="16.5" customHeight="1" x14ac:dyDescent="0.6">
      <c r="B10" s="3" t="s">
        <v>35</v>
      </c>
      <c r="C10" s="1"/>
      <c r="D10" s="1"/>
      <c r="E10" s="33" t="s">
        <v>82</v>
      </c>
      <c r="F10" s="1"/>
      <c r="G10" s="3" t="s">
        <v>36</v>
      </c>
      <c r="H10" s="1"/>
      <c r="I10" s="1"/>
      <c r="J10" s="29" t="e">
        <f>J8*J9</f>
        <v>#VALUE!</v>
      </c>
    </row>
    <row r="11" spans="2:14" ht="16.5" customHeight="1" x14ac:dyDescent="0.6">
      <c r="B11" s="5" t="s">
        <v>37</v>
      </c>
      <c r="C11" s="1"/>
      <c r="D11" s="1"/>
      <c r="E11" s="32" t="e">
        <f>E10*(1-E13)</f>
        <v>#VALUE!</v>
      </c>
      <c r="F11" s="1"/>
      <c r="G11" s="3" t="s">
        <v>245</v>
      </c>
      <c r="H11" s="1"/>
      <c r="I11" s="1"/>
      <c r="J11" s="26"/>
    </row>
    <row r="12" spans="2:14" ht="16.5" customHeight="1" x14ac:dyDescent="0.6">
      <c r="B12" s="3" t="s">
        <v>39</v>
      </c>
      <c r="C12" s="1"/>
      <c r="D12" s="1"/>
      <c r="E12" s="34" t="e">
        <f>1-E9</f>
        <v>#VALUE!</v>
      </c>
      <c r="F12" s="1"/>
      <c r="G12" s="1" t="s">
        <v>40</v>
      </c>
      <c r="H12" s="1"/>
      <c r="I12" s="1"/>
      <c r="J12" s="44"/>
    </row>
    <row r="13" spans="2:14" ht="16.5" customHeight="1" x14ac:dyDescent="0.6">
      <c r="B13" s="3" t="s">
        <v>42</v>
      </c>
      <c r="C13" s="1"/>
      <c r="D13" s="1"/>
      <c r="E13" s="35" t="s">
        <v>82</v>
      </c>
      <c r="F13" s="1"/>
      <c r="G13" s="1"/>
      <c r="H13" s="1"/>
      <c r="I13" s="1"/>
      <c r="J13" s="1"/>
    </row>
    <row r="14" spans="2:14" ht="16.899999999999999" customHeight="1" thickBot="1" x14ac:dyDescent="0.65">
      <c r="B14" s="6" t="s">
        <v>43</v>
      </c>
      <c r="C14" s="6"/>
      <c r="D14" s="6"/>
      <c r="E14" s="46" t="e">
        <f>(E9*E8)+(E11*E12)</f>
        <v>#VALUE!</v>
      </c>
      <c r="F14" s="1"/>
      <c r="G14" s="1"/>
      <c r="H14" s="1"/>
      <c r="I14" s="1"/>
      <c r="J14" s="1"/>
    </row>
    <row r="15" spans="2:14" ht="14.65" customHeight="1" thickTop="1" x14ac:dyDescent="0.45"/>
    <row r="16" spans="2:14" ht="16.5" customHeight="1" x14ac:dyDescent="0.6">
      <c r="B16" s="18" t="s">
        <v>44</v>
      </c>
      <c r="C16" s="19"/>
      <c r="D16" s="19" t="s">
        <v>246</v>
      </c>
      <c r="E16" s="19" t="s">
        <v>247</v>
      </c>
      <c r="F16" s="19" t="s">
        <v>248</v>
      </c>
      <c r="G16" s="19" t="s">
        <v>249</v>
      </c>
      <c r="H16" s="19" t="s">
        <v>250</v>
      </c>
      <c r="I16" s="19" t="s">
        <v>251</v>
      </c>
      <c r="J16" s="19" t="s">
        <v>252</v>
      </c>
      <c r="K16" s="19" t="s">
        <v>253</v>
      </c>
      <c r="L16" s="19" t="s">
        <v>254</v>
      </c>
      <c r="M16" s="19" t="s">
        <v>255</v>
      </c>
    </row>
    <row r="17" spans="2:13" ht="16.5" customHeight="1" x14ac:dyDescent="0.6">
      <c r="B17" s="3" t="s">
        <v>52</v>
      </c>
      <c r="C17" s="1"/>
      <c r="D17" s="1" t="s">
        <v>256</v>
      </c>
      <c r="E17" s="1" t="s">
        <v>256</v>
      </c>
      <c r="F17" s="1" t="s">
        <v>256</v>
      </c>
      <c r="G17" s="1" t="s">
        <v>256</v>
      </c>
      <c r="H17" s="1">
        <f>SUM(D17:G17)</f>
        <v>0</v>
      </c>
      <c r="I17" s="1" t="s">
        <v>257</v>
      </c>
      <c r="J17" s="1" t="s">
        <v>257</v>
      </c>
      <c r="K17" s="1" t="s">
        <v>257</v>
      </c>
      <c r="L17" s="1" t="s">
        <v>257</v>
      </c>
      <c r="M17" s="1">
        <f>SUM(I17:L17)</f>
        <v>0</v>
      </c>
    </row>
    <row r="18" spans="2:13" ht="16.5" customHeight="1" x14ac:dyDescent="0.6">
      <c r="B18" s="37" t="s">
        <v>53</v>
      </c>
      <c r="C18" s="1"/>
      <c r="D18" s="1"/>
      <c r="E18" s="52" t="str">
        <f>IFERROR(E17/D17-1,"")</f>
        <v/>
      </c>
      <c r="F18" s="52" t="str">
        <f>IFERROR(F17/E17-1,"")</f>
        <v/>
      </c>
      <c r="G18" s="52" t="str">
        <f>IFERROR(G17/F17-1,"")</f>
        <v/>
      </c>
      <c r="H18" s="1"/>
      <c r="I18" s="1" t="e">
        <f>I17/H17-1</f>
        <v>#VALUE!</v>
      </c>
      <c r="J18" s="1" t="e">
        <f>J17/I17-1</f>
        <v>#VALUE!</v>
      </c>
      <c r="K18" s="1" t="e">
        <f>K17/J17-1</f>
        <v>#VALUE!</v>
      </c>
      <c r="L18" s="1" t="e">
        <f>L17/K17-1</f>
        <v>#VALUE!</v>
      </c>
      <c r="M18" s="1"/>
    </row>
    <row r="19" spans="2:13" ht="16.5" customHeight="1" x14ac:dyDescent="0.6">
      <c r="B19" s="3" t="s">
        <v>54</v>
      </c>
      <c r="C19" s="1"/>
      <c r="D19" s="1" t="s">
        <v>256</v>
      </c>
      <c r="E19" s="1" t="s">
        <v>256</v>
      </c>
      <c r="F19" s="1" t="s">
        <v>256</v>
      </c>
      <c r="G19" s="1" t="s">
        <v>256</v>
      </c>
      <c r="H19" s="1">
        <f>SUM(D19:G19)</f>
        <v>0</v>
      </c>
      <c r="I19" s="1"/>
      <c r="J19" s="1"/>
      <c r="K19" s="1"/>
      <c r="L19" s="1"/>
      <c r="M19" s="1">
        <f>SUM(I19:L19)</f>
        <v>0</v>
      </c>
    </row>
    <row r="20" spans="2:13" ht="16.5" customHeight="1" x14ac:dyDescent="0.6">
      <c r="B20" s="8" t="s">
        <v>55</v>
      </c>
      <c r="C20" s="22"/>
      <c r="D20" s="22" t="e">
        <f t="shared" ref="D20:M20" si="0">D17+D19</f>
        <v>#VALUE!</v>
      </c>
      <c r="E20" s="22" t="e">
        <f t="shared" si="0"/>
        <v>#VALUE!</v>
      </c>
      <c r="F20" s="22" t="e">
        <f t="shared" si="0"/>
        <v>#VALUE!</v>
      </c>
      <c r="G20" s="22" t="e">
        <f t="shared" si="0"/>
        <v>#VALUE!</v>
      </c>
      <c r="H20" s="22">
        <f t="shared" si="0"/>
        <v>0</v>
      </c>
      <c r="I20" s="22" t="e">
        <f t="shared" si="0"/>
        <v>#VALUE!</v>
      </c>
      <c r="J20" s="22" t="e">
        <f t="shared" si="0"/>
        <v>#VALUE!</v>
      </c>
      <c r="K20" s="22" t="e">
        <f t="shared" si="0"/>
        <v>#VALUE!</v>
      </c>
      <c r="L20" s="22" t="e">
        <f t="shared" si="0"/>
        <v>#VALUE!</v>
      </c>
      <c r="M20" s="22">
        <f t="shared" si="0"/>
        <v>0</v>
      </c>
    </row>
    <row r="21" spans="2:13" ht="16.5" customHeight="1" x14ac:dyDescent="0.6">
      <c r="B21" s="37" t="s">
        <v>56</v>
      </c>
      <c r="C21" s="1"/>
      <c r="D21" s="20" t="e">
        <f t="shared" ref="D21:M21" si="1">D19/D17</f>
        <v>#VALUE!</v>
      </c>
      <c r="E21" s="20" t="e">
        <f t="shared" si="1"/>
        <v>#VALUE!</v>
      </c>
      <c r="F21" s="20" t="e">
        <f t="shared" si="1"/>
        <v>#VALUE!</v>
      </c>
      <c r="G21" s="20" t="e">
        <f t="shared" si="1"/>
        <v>#VALUE!</v>
      </c>
      <c r="H21" s="20" t="e">
        <f t="shared" si="1"/>
        <v>#DIV/0!</v>
      </c>
      <c r="I21" s="20" t="e">
        <f t="shared" si="1"/>
        <v>#VALUE!</v>
      </c>
      <c r="J21" s="20" t="e">
        <f t="shared" si="1"/>
        <v>#VALUE!</v>
      </c>
      <c r="K21" s="20" t="e">
        <f t="shared" si="1"/>
        <v>#VALUE!</v>
      </c>
      <c r="L21" s="20" t="e">
        <f t="shared" si="1"/>
        <v>#VALUE!</v>
      </c>
      <c r="M21" s="20" t="e">
        <f t="shared" si="1"/>
        <v>#DIV/0!</v>
      </c>
    </row>
    <row r="22" spans="2:13" ht="16.5" customHeight="1" x14ac:dyDescent="0.6">
      <c r="B22" s="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2:13" ht="16.5" customHeight="1" x14ac:dyDescent="0.6">
      <c r="B23" s="3" t="s">
        <v>57</v>
      </c>
      <c r="C23" s="1"/>
      <c r="D23" s="1" t="s">
        <v>256</v>
      </c>
      <c r="E23" s="1" t="s">
        <v>256</v>
      </c>
      <c r="F23" s="1" t="s">
        <v>256</v>
      </c>
      <c r="G23" s="1" t="s">
        <v>256</v>
      </c>
      <c r="H23" s="1">
        <f>SUM(D23:G23)</f>
        <v>0</v>
      </c>
      <c r="I23" s="1" t="s">
        <v>257</v>
      </c>
      <c r="J23" s="1" t="s">
        <v>257</v>
      </c>
      <c r="K23" s="1" t="s">
        <v>257</v>
      </c>
      <c r="L23" s="1" t="s">
        <v>257</v>
      </c>
      <c r="M23" s="1">
        <f>SUM(I23:L23)</f>
        <v>0</v>
      </c>
    </row>
    <row r="24" spans="2:13" ht="16.5" customHeight="1" x14ac:dyDescent="0.6">
      <c r="B24" s="9" t="s">
        <v>58</v>
      </c>
      <c r="C24" s="22"/>
      <c r="D24" s="22" t="e">
        <f t="shared" ref="D24:M24" si="2">D20+D23</f>
        <v>#VALUE!</v>
      </c>
      <c r="E24" s="22" t="e">
        <f t="shared" si="2"/>
        <v>#VALUE!</v>
      </c>
      <c r="F24" s="22" t="e">
        <f t="shared" si="2"/>
        <v>#VALUE!</v>
      </c>
      <c r="G24" s="22" t="e">
        <f t="shared" si="2"/>
        <v>#VALUE!</v>
      </c>
      <c r="H24" s="22">
        <f t="shared" si="2"/>
        <v>0</v>
      </c>
      <c r="I24" s="22" t="e">
        <f t="shared" si="2"/>
        <v>#VALUE!</v>
      </c>
      <c r="J24" s="22" t="e">
        <f t="shared" si="2"/>
        <v>#VALUE!</v>
      </c>
      <c r="K24" s="22" t="e">
        <f t="shared" si="2"/>
        <v>#VALUE!</v>
      </c>
      <c r="L24" s="22" t="e">
        <f t="shared" si="2"/>
        <v>#VALUE!</v>
      </c>
      <c r="M24" s="22">
        <f t="shared" si="2"/>
        <v>0</v>
      </c>
    </row>
    <row r="25" spans="2:13" ht="16.5" customHeight="1" x14ac:dyDescent="0.6">
      <c r="B25" s="7" t="s">
        <v>59</v>
      </c>
      <c r="C25" s="1"/>
      <c r="D25" s="52" t="e">
        <f>D24/D17</f>
        <v>#VALUE!</v>
      </c>
      <c r="E25" s="52" t="e">
        <f>E24/E17</f>
        <v>#VALUE!</v>
      </c>
      <c r="F25" s="52" t="e">
        <f>F24/F17</f>
        <v>#VALUE!</v>
      </c>
      <c r="G25" s="52" t="e">
        <f>G24/G17</f>
        <v>#VALUE!</v>
      </c>
      <c r="H25" s="20" t="e">
        <f t="shared" ref="H25:M25" si="3">H23/H17</f>
        <v>#DIV/0!</v>
      </c>
      <c r="I25" s="20" t="e">
        <f t="shared" si="3"/>
        <v>#VALUE!</v>
      </c>
      <c r="J25" s="20" t="e">
        <f t="shared" si="3"/>
        <v>#VALUE!</v>
      </c>
      <c r="K25" s="20" t="e">
        <f t="shared" si="3"/>
        <v>#VALUE!</v>
      </c>
      <c r="L25" s="20" t="e">
        <f t="shared" si="3"/>
        <v>#VALUE!</v>
      </c>
      <c r="M25" s="20" t="e">
        <f t="shared" si="3"/>
        <v>#DIV/0!</v>
      </c>
    </row>
    <row r="26" spans="2:13" ht="16.5" customHeight="1" x14ac:dyDescent="0.6"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3" ht="16.5" customHeight="1" x14ac:dyDescent="0.6">
      <c r="B27" s="10" t="s">
        <v>60</v>
      </c>
      <c r="C27" s="1"/>
      <c r="D27" s="47" t="e">
        <f t="shared" ref="D27:M27" si="4">D24*(1-$E$13)</f>
        <v>#VALUE!</v>
      </c>
      <c r="E27" s="47" t="e">
        <f t="shared" si="4"/>
        <v>#VALUE!</v>
      </c>
      <c r="F27" s="47" t="e">
        <f t="shared" si="4"/>
        <v>#VALUE!</v>
      </c>
      <c r="G27" s="47" t="e">
        <f t="shared" si="4"/>
        <v>#VALUE!</v>
      </c>
      <c r="H27" s="47" t="e">
        <f t="shared" si="4"/>
        <v>#VALUE!</v>
      </c>
      <c r="I27" s="47" t="e">
        <f t="shared" si="4"/>
        <v>#VALUE!</v>
      </c>
      <c r="J27" s="47" t="e">
        <f t="shared" si="4"/>
        <v>#VALUE!</v>
      </c>
      <c r="K27" s="47" t="e">
        <f t="shared" si="4"/>
        <v>#VALUE!</v>
      </c>
      <c r="L27" s="47" t="e">
        <f t="shared" si="4"/>
        <v>#VALUE!</v>
      </c>
      <c r="M27" s="47" t="e">
        <f t="shared" si="4"/>
        <v>#VALUE!</v>
      </c>
    </row>
    <row r="28" spans="2:13" ht="16.5" customHeight="1" x14ac:dyDescent="0.6">
      <c r="B28" s="3" t="s">
        <v>61</v>
      </c>
      <c r="C28" s="1"/>
      <c r="D28" s="1" t="s">
        <v>256</v>
      </c>
      <c r="E28" s="1" t="s">
        <v>256</v>
      </c>
      <c r="F28" s="1" t="s">
        <v>256</v>
      </c>
      <c r="G28" s="1" t="s">
        <v>256</v>
      </c>
      <c r="H28" s="1">
        <f>SUM(D28:G28)</f>
        <v>0</v>
      </c>
      <c r="I28" s="1" t="s">
        <v>257</v>
      </c>
      <c r="J28" s="1" t="s">
        <v>257</v>
      </c>
      <c r="K28" s="1" t="s">
        <v>257</v>
      </c>
      <c r="L28" s="1" t="s">
        <v>257</v>
      </c>
      <c r="M28" s="1">
        <f>SUM(I28:L28)</f>
        <v>0</v>
      </c>
    </row>
    <row r="29" spans="2:13" ht="16.5" customHeight="1" x14ac:dyDescent="0.6">
      <c r="B29" s="3" t="s">
        <v>62</v>
      </c>
      <c r="C29" s="1"/>
      <c r="D29" s="1" t="s">
        <v>256</v>
      </c>
      <c r="E29" s="1" t="s">
        <v>256</v>
      </c>
      <c r="F29" s="1" t="s">
        <v>256</v>
      </c>
      <c r="G29" s="1" t="s">
        <v>256</v>
      </c>
      <c r="H29" s="1">
        <f>SUM(D29:G29)</f>
        <v>0</v>
      </c>
      <c r="I29" s="1" t="s">
        <v>257</v>
      </c>
      <c r="J29" s="1" t="s">
        <v>257</v>
      </c>
      <c r="K29" s="1" t="s">
        <v>257</v>
      </c>
      <c r="L29" s="1" t="s">
        <v>257</v>
      </c>
      <c r="M29" s="1">
        <f>SUM(I29:L29)</f>
        <v>0</v>
      </c>
    </row>
    <row r="30" spans="2:13" ht="16.5" customHeight="1" x14ac:dyDescent="0.6">
      <c r="B30" s="3" t="s">
        <v>63</v>
      </c>
      <c r="C30" s="1"/>
      <c r="D30" s="1" t="s">
        <v>256</v>
      </c>
      <c r="E30" s="1" t="s">
        <v>256</v>
      </c>
      <c r="F30" s="1" t="s">
        <v>256</v>
      </c>
      <c r="G30" s="1" t="s">
        <v>256</v>
      </c>
      <c r="H30" s="1">
        <f>SUM(D30:G30)</f>
        <v>0</v>
      </c>
      <c r="I30" s="1" t="s">
        <v>257</v>
      </c>
      <c r="J30" s="1" t="s">
        <v>257</v>
      </c>
      <c r="K30" s="1" t="s">
        <v>257</v>
      </c>
      <c r="L30" s="1" t="s">
        <v>257</v>
      </c>
      <c r="M30" s="1">
        <f>SUM(I30:L30)</f>
        <v>0</v>
      </c>
    </row>
    <row r="31" spans="2:13" ht="16.5" customHeight="1" x14ac:dyDescent="0.6">
      <c r="B31" s="9" t="s">
        <v>64</v>
      </c>
      <c r="C31" s="22"/>
      <c r="D31" s="23" t="e">
        <f t="shared" ref="D31:M31" si="5">D27+D28+D29+D30</f>
        <v>#VALUE!</v>
      </c>
      <c r="E31" s="23" t="e">
        <f t="shared" si="5"/>
        <v>#VALUE!</v>
      </c>
      <c r="F31" s="23" t="e">
        <f t="shared" si="5"/>
        <v>#VALUE!</v>
      </c>
      <c r="G31" s="23" t="e">
        <f t="shared" si="5"/>
        <v>#VALUE!</v>
      </c>
      <c r="H31" s="23" t="e">
        <f t="shared" si="5"/>
        <v>#VALUE!</v>
      </c>
      <c r="I31" s="23" t="e">
        <f t="shared" si="5"/>
        <v>#VALUE!</v>
      </c>
      <c r="J31" s="23" t="e">
        <f t="shared" si="5"/>
        <v>#VALUE!</v>
      </c>
      <c r="K31" s="23" t="e">
        <f t="shared" si="5"/>
        <v>#VALUE!</v>
      </c>
      <c r="L31" s="23" t="e">
        <f t="shared" si="5"/>
        <v>#VALUE!</v>
      </c>
      <c r="M31" s="23" t="e">
        <f t="shared" si="5"/>
        <v>#VALUE!</v>
      </c>
    </row>
    <row r="32" spans="2:13" ht="16.5" customHeight="1" x14ac:dyDescent="0.6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ht="16.5" customHeight="1" x14ac:dyDescent="0.6">
      <c r="B33" s="17" t="s">
        <v>65</v>
      </c>
      <c r="C33" s="19"/>
      <c r="D33" s="19"/>
      <c r="E33" s="19"/>
      <c r="F33" s="19"/>
      <c r="G33" s="19"/>
      <c r="H33" s="19"/>
      <c r="I33" s="19" t="s">
        <v>51</v>
      </c>
      <c r="J33" s="19" t="s">
        <v>51</v>
      </c>
      <c r="K33" s="19" t="s">
        <v>51</v>
      </c>
      <c r="L33" s="19" t="s">
        <v>51</v>
      </c>
      <c r="M33" s="19" t="s">
        <v>51</v>
      </c>
    </row>
    <row r="34" spans="2:13" ht="16.5" customHeight="1" x14ac:dyDescent="0.6">
      <c r="B34" s="3" t="s">
        <v>66</v>
      </c>
      <c r="C34" s="1"/>
      <c r="D34" s="1"/>
      <c r="E34" s="1"/>
      <c r="F34" s="1"/>
      <c r="G34" s="1"/>
      <c r="H34" s="1"/>
      <c r="I34" s="48">
        <f ca="1">YEARFRAC(TODAY(),$J$5)</f>
        <v>7.4999999999999997E-2</v>
      </c>
      <c r="J34" s="48">
        <f ca="1">I34+0.25</f>
        <v>0.32500000000000001</v>
      </c>
      <c r="K34" s="48">
        <f ca="1">J34+0.25</f>
        <v>0.57499999999999996</v>
      </c>
      <c r="L34" s="48">
        <f ca="1">K34+0.25</f>
        <v>0.82499999999999996</v>
      </c>
      <c r="M34" s="48"/>
    </row>
    <row r="35" spans="2:13" ht="16.5" customHeight="1" x14ac:dyDescent="0.6">
      <c r="B35" s="3" t="s">
        <v>67</v>
      </c>
      <c r="C35" s="1"/>
      <c r="D35" s="1"/>
      <c r="E35" s="1"/>
      <c r="F35" s="1"/>
      <c r="G35" s="1"/>
      <c r="H35" s="1"/>
      <c r="I35" s="49" t="e">
        <f ca="1">(1/(1+$E$14))^I34</f>
        <v>#VALUE!</v>
      </c>
      <c r="J35" s="49" t="e">
        <f ca="1">(1/(1+$E$14))^J34</f>
        <v>#VALUE!</v>
      </c>
      <c r="K35" s="49" t="e">
        <f ca="1">(1/(1+$E$14))^K34</f>
        <v>#VALUE!</v>
      </c>
      <c r="L35" s="49" t="e">
        <f ca="1">(1/(1+$E$14))^L34</f>
        <v>#VALUE!</v>
      </c>
      <c r="M35" s="49"/>
    </row>
    <row r="36" spans="2:13" ht="16.5" customHeight="1" x14ac:dyDescent="0.6"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ht="16.5" customHeight="1" x14ac:dyDescent="0.6">
      <c r="B37" s="11" t="s">
        <v>68</v>
      </c>
      <c r="C37" s="1"/>
      <c r="D37" s="1"/>
      <c r="E37" s="1"/>
      <c r="F37" s="1"/>
      <c r="G37" s="1"/>
      <c r="H37" s="1"/>
      <c r="I37" s="1" t="e">
        <f ca="1">I31*I35</f>
        <v>#VALUE!</v>
      </c>
      <c r="J37" s="1" t="e">
        <f ca="1">J31*J35</f>
        <v>#VALUE!</v>
      </c>
      <c r="K37" s="1" t="e">
        <f ca="1">K31*K35</f>
        <v>#VALUE!</v>
      </c>
      <c r="L37" s="1" t="e">
        <f ca="1">L31*L35</f>
        <v>#VALUE!</v>
      </c>
      <c r="M37" s="1" t="e">
        <f ca="1">SUM(I37:L37)</f>
        <v>#VALUE!</v>
      </c>
    </row>
    <row r="38" spans="2:13" ht="16.5" customHeight="1" x14ac:dyDescent="0.6">
      <c r="B38" s="12" t="s">
        <v>69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21" t="e">
        <f ca="1">SUM(M37)</f>
        <v>#VALUE!</v>
      </c>
    </row>
    <row r="39" spans="2:13" ht="16.5" customHeight="1" x14ac:dyDescent="0.6">
      <c r="B39" s="1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ht="16.5" customHeight="1" x14ac:dyDescent="0.6">
      <c r="B40" s="11" t="s">
        <v>70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50" t="e">
        <f>(M31*(1+J6))/(E14-F2)</f>
        <v>#VALUE!</v>
      </c>
    </row>
    <row r="41" spans="2:13" ht="16.5" customHeight="1" x14ac:dyDescent="0.6">
      <c r="B41" s="12" t="s">
        <v>71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39" t="e">
        <f>M40*M35</f>
        <v>#VALUE!</v>
      </c>
    </row>
    <row r="42" spans="2:13" ht="16.5" customHeight="1" x14ac:dyDescent="0.6">
      <c r="B42" s="12"/>
      <c r="C42" s="1"/>
      <c r="D42" s="1"/>
      <c r="E42" s="1"/>
      <c r="F42" s="1"/>
      <c r="G42" s="1"/>
      <c r="H42" s="1"/>
      <c r="I42" s="1"/>
      <c r="J42" s="1"/>
      <c r="K42" s="1"/>
      <c r="L42" s="1"/>
      <c r="M42" s="40"/>
    </row>
    <row r="43" spans="2:13" ht="16.5" customHeight="1" x14ac:dyDescent="0.6">
      <c r="B43" s="12" t="s">
        <v>72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40" t="e">
        <f ca="1">M38+M41</f>
        <v>#VALUE!</v>
      </c>
    </row>
    <row r="44" spans="2:13" ht="16.5" customHeight="1" x14ac:dyDescent="0.6">
      <c r="B44" s="11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51" t="e">
        <f>-($J$11-$J$7)</f>
        <v>#VALUE!</v>
      </c>
    </row>
    <row r="45" spans="2:13" ht="16.5" customHeight="1" x14ac:dyDescent="0.6">
      <c r="B45" s="13" t="s">
        <v>74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41" t="e">
        <f ca="1">M43+M44</f>
        <v>#VALUE!</v>
      </c>
    </row>
    <row r="46" spans="2:13" ht="16.5" customHeight="1" x14ac:dyDescent="0.6">
      <c r="B46" s="12"/>
      <c r="C46" s="1"/>
      <c r="D46" s="1"/>
      <c r="E46" s="1"/>
      <c r="F46" s="1"/>
      <c r="G46" s="1"/>
      <c r="H46" s="1"/>
      <c r="I46" s="1"/>
      <c r="J46" s="1"/>
      <c r="K46" s="1"/>
      <c r="L46" s="1"/>
      <c r="M46" s="40"/>
    </row>
    <row r="47" spans="2:13" ht="16.5" customHeight="1" x14ac:dyDescent="0.6">
      <c r="B47" s="11" t="s">
        <v>75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42" t="str">
        <f>J8</f>
        <v>#</v>
      </c>
    </row>
    <row r="48" spans="2:13" ht="16.5" customHeight="1" x14ac:dyDescent="0.6">
      <c r="B48" s="36" t="s">
        <v>76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43" t="e">
        <f ca="1">M45/M47</f>
        <v>#VALUE!</v>
      </c>
    </row>
    <row r="49" spans="2:13" ht="16.5" customHeight="1" x14ac:dyDescent="0.6">
      <c r="B49" s="38" t="s">
        <v>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40" t="e">
        <f ca="1">M48/J9-1</f>
        <v>#VALUE!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2:T84"/>
  <sheetViews>
    <sheetView showGridLines="0" topLeftCell="D1" workbookViewId="0">
      <selection activeCell="C7" sqref="C7"/>
    </sheetView>
  </sheetViews>
  <sheetFormatPr defaultRowHeight="14.25" x14ac:dyDescent="0.45"/>
  <cols>
    <col min="1" max="1" width="2.86328125" customWidth="1"/>
    <col min="2" max="2" width="51.6640625" bestFit="1" customWidth="1"/>
    <col min="3" max="3" width="2.86328125" customWidth="1"/>
    <col min="4" max="12" width="12.86328125" customWidth="1"/>
    <col min="15" max="15" width="17.6640625" bestFit="1" customWidth="1"/>
  </cols>
  <sheetData>
    <row r="2" spans="1:20" ht="21.6" customHeight="1" x14ac:dyDescent="0.6">
      <c r="A2" s="1"/>
      <c r="B2" s="15" t="s">
        <v>258</v>
      </c>
      <c r="C2" s="14"/>
      <c r="D2" s="14"/>
      <c r="E2" s="14"/>
      <c r="F2" s="14"/>
      <c r="G2" s="14"/>
      <c r="H2" s="14"/>
      <c r="I2" s="14"/>
      <c r="J2" s="14"/>
      <c r="K2" s="19"/>
      <c r="L2" s="19"/>
      <c r="M2" s="56"/>
    </row>
    <row r="4" spans="1:20" ht="21" customHeight="1" x14ac:dyDescent="0.75">
      <c r="B4" s="60" t="s">
        <v>85</v>
      </c>
      <c r="C4" s="60"/>
      <c r="D4" s="60"/>
      <c r="E4" s="60"/>
      <c r="F4" s="60"/>
      <c r="G4" s="60"/>
      <c r="H4" s="60"/>
      <c r="I4" s="60"/>
      <c r="J4" s="60"/>
      <c r="K4" s="61"/>
      <c r="L4" s="62"/>
      <c r="M4" s="62"/>
    </row>
    <row r="5" spans="1:20" ht="16.5" customHeight="1" x14ac:dyDescent="0.6">
      <c r="B5" s="17"/>
      <c r="C5" s="16"/>
      <c r="D5" s="19" t="s">
        <v>246</v>
      </c>
      <c r="E5" s="19" t="s">
        <v>247</v>
      </c>
      <c r="F5" s="19" t="s">
        <v>248</v>
      </c>
      <c r="G5" s="19" t="s">
        <v>249</v>
      </c>
      <c r="H5" s="19" t="s">
        <v>250</v>
      </c>
      <c r="I5" s="19" t="s">
        <v>251</v>
      </c>
      <c r="J5" s="19" t="s">
        <v>252</v>
      </c>
      <c r="K5" s="19" t="s">
        <v>253</v>
      </c>
      <c r="L5" s="19" t="s">
        <v>254</v>
      </c>
      <c r="M5" s="19" t="s">
        <v>255</v>
      </c>
      <c r="O5" s="57" t="s">
        <v>88</v>
      </c>
      <c r="P5" s="57" t="s">
        <v>89</v>
      </c>
      <c r="Q5" s="57" t="s">
        <v>90</v>
      </c>
    </row>
    <row r="6" spans="1:20" x14ac:dyDescent="0.45">
      <c r="B6" t="s">
        <v>259</v>
      </c>
      <c r="O6" t="s">
        <v>52</v>
      </c>
      <c r="P6" t="s">
        <v>260</v>
      </c>
      <c r="Q6" s="65">
        <v>0.02</v>
      </c>
      <c r="R6" s="66">
        <v>0.04</v>
      </c>
      <c r="S6" s="66">
        <v>0.03</v>
      </c>
    </row>
    <row r="7" spans="1:20" x14ac:dyDescent="0.45">
      <c r="B7" t="s">
        <v>259</v>
      </c>
      <c r="O7" t="s">
        <v>95</v>
      </c>
      <c r="P7" t="s">
        <v>261</v>
      </c>
      <c r="Q7" s="67">
        <v>5.0000000000000001E-3</v>
      </c>
    </row>
    <row r="8" spans="1:20" x14ac:dyDescent="0.45">
      <c r="B8" t="s">
        <v>262</v>
      </c>
      <c r="O8" t="s">
        <v>263</v>
      </c>
      <c r="P8" t="s">
        <v>261</v>
      </c>
      <c r="Q8" s="67">
        <v>7.4999999999999997E-3</v>
      </c>
    </row>
    <row r="9" spans="1:20" x14ac:dyDescent="0.45">
      <c r="B9" s="58" t="s">
        <v>102</v>
      </c>
      <c r="O9" t="s">
        <v>264</v>
      </c>
      <c r="P9" t="s">
        <v>260</v>
      </c>
      <c r="R9" t="s">
        <v>265</v>
      </c>
    </row>
    <row r="10" spans="1:20" x14ac:dyDescent="0.45">
      <c r="B10" t="s">
        <v>259</v>
      </c>
      <c r="O10" t="s">
        <v>42</v>
      </c>
      <c r="P10" t="s">
        <v>266</v>
      </c>
      <c r="Q10" s="66">
        <v>0.21</v>
      </c>
      <c r="R10" s="66"/>
      <c r="S10" s="66"/>
    </row>
    <row r="11" spans="1:20" x14ac:dyDescent="0.45">
      <c r="B11" t="s">
        <v>259</v>
      </c>
      <c r="O11" t="s">
        <v>106</v>
      </c>
      <c r="P11" t="s">
        <v>260</v>
      </c>
      <c r="Q11" s="66">
        <v>0.06</v>
      </c>
      <c r="R11" s="66">
        <v>0.05</v>
      </c>
      <c r="S11" s="66">
        <v>0.04</v>
      </c>
      <c r="T11" s="66">
        <v>7.0000000000000007E-2</v>
      </c>
    </row>
    <row r="12" spans="1:20" x14ac:dyDescent="0.45">
      <c r="B12" t="s">
        <v>267</v>
      </c>
    </row>
    <row r="13" spans="1:20" x14ac:dyDescent="0.45">
      <c r="B13" s="58" t="s">
        <v>115</v>
      </c>
    </row>
    <row r="14" spans="1:20" x14ac:dyDescent="0.45">
      <c r="B14" t="s">
        <v>259</v>
      </c>
    </row>
    <row r="15" spans="1:20" x14ac:dyDescent="0.45">
      <c r="B15" t="s">
        <v>268</v>
      </c>
    </row>
    <row r="16" spans="1:20" x14ac:dyDescent="0.45">
      <c r="B16" t="s">
        <v>120</v>
      </c>
    </row>
    <row r="17" spans="2:13" x14ac:dyDescent="0.45">
      <c r="B17" t="s">
        <v>122</v>
      </c>
    </row>
    <row r="18" spans="2:13" x14ac:dyDescent="0.45">
      <c r="B18" s="58" t="s">
        <v>124</v>
      </c>
    </row>
    <row r="19" spans="2:13" x14ac:dyDescent="0.45">
      <c r="B19" t="s">
        <v>125</v>
      </c>
    </row>
    <row r="21" spans="2:13" ht="21" customHeight="1" x14ac:dyDescent="0.75">
      <c r="B21" s="60" t="s">
        <v>127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</row>
    <row r="22" spans="2:13" ht="16.5" customHeight="1" x14ac:dyDescent="0.6">
      <c r="B22" s="17" t="s">
        <v>269</v>
      </c>
      <c r="C22" s="16"/>
      <c r="D22" s="19" t="s">
        <v>246</v>
      </c>
      <c r="E22" s="19" t="s">
        <v>247</v>
      </c>
      <c r="F22" s="19" t="s">
        <v>248</v>
      </c>
      <c r="G22" s="19" t="s">
        <v>249</v>
      </c>
      <c r="H22" s="19" t="s">
        <v>250</v>
      </c>
      <c r="I22" s="19" t="s">
        <v>251</v>
      </c>
      <c r="J22" s="19" t="s">
        <v>252</v>
      </c>
      <c r="K22" s="19" t="s">
        <v>253</v>
      </c>
      <c r="L22" s="19" t="s">
        <v>254</v>
      </c>
      <c r="M22" s="19" t="s">
        <v>255</v>
      </c>
    </row>
    <row r="23" spans="2:13" x14ac:dyDescent="0.45">
      <c r="B23" t="s">
        <v>259</v>
      </c>
    </row>
    <row r="24" spans="2:13" x14ac:dyDescent="0.45">
      <c r="B24" t="s">
        <v>270</v>
      </c>
    </row>
    <row r="25" spans="2:13" x14ac:dyDescent="0.45">
      <c r="B25" s="58" t="s">
        <v>140</v>
      </c>
    </row>
    <row r="26" spans="2:13" x14ac:dyDescent="0.45">
      <c r="B26" t="s">
        <v>259</v>
      </c>
    </row>
    <row r="27" spans="2:13" x14ac:dyDescent="0.45">
      <c r="B27" t="s">
        <v>259</v>
      </c>
    </row>
    <row r="28" spans="2:13" x14ac:dyDescent="0.45">
      <c r="B28" t="s">
        <v>259</v>
      </c>
    </row>
    <row r="29" spans="2:13" x14ac:dyDescent="0.45">
      <c r="B29" t="s">
        <v>270</v>
      </c>
    </row>
    <row r="30" spans="2:13" x14ac:dyDescent="0.45">
      <c r="B30" s="58" t="s">
        <v>149</v>
      </c>
    </row>
    <row r="32" spans="2:13" ht="16.5" customHeight="1" x14ac:dyDescent="0.6">
      <c r="B32" s="17" t="s">
        <v>271</v>
      </c>
      <c r="C32" s="16"/>
      <c r="D32" s="16"/>
      <c r="E32" s="16"/>
      <c r="F32" s="56"/>
      <c r="G32" s="56"/>
      <c r="H32" s="56"/>
      <c r="I32" s="56"/>
      <c r="J32" s="56"/>
      <c r="K32" s="56"/>
      <c r="L32" s="56"/>
      <c r="M32" s="56"/>
    </row>
    <row r="33" spans="2:13" x14ac:dyDescent="0.45">
      <c r="B33" t="s">
        <v>259</v>
      </c>
    </row>
    <row r="34" spans="2:13" x14ac:dyDescent="0.45">
      <c r="B34" t="s">
        <v>259</v>
      </c>
    </row>
    <row r="35" spans="2:13" x14ac:dyDescent="0.45">
      <c r="B35" t="s">
        <v>259</v>
      </c>
    </row>
    <row r="36" spans="2:13" x14ac:dyDescent="0.45">
      <c r="B36" t="s">
        <v>259</v>
      </c>
    </row>
    <row r="37" spans="2:13" x14ac:dyDescent="0.45">
      <c r="B37" s="58" t="s">
        <v>272</v>
      </c>
    </row>
    <row r="38" spans="2:13" x14ac:dyDescent="0.45">
      <c r="B38" t="s">
        <v>259</v>
      </c>
    </row>
    <row r="39" spans="2:13" x14ac:dyDescent="0.45">
      <c r="B39" t="s">
        <v>259</v>
      </c>
    </row>
    <row r="40" spans="2:13" x14ac:dyDescent="0.45">
      <c r="B40" s="58" t="s">
        <v>273</v>
      </c>
    </row>
    <row r="42" spans="2:13" ht="16.5" customHeight="1" x14ac:dyDescent="0.6">
      <c r="B42" s="17" t="s">
        <v>274</v>
      </c>
      <c r="C42" s="16"/>
      <c r="D42" s="16"/>
      <c r="E42" s="16"/>
      <c r="F42" s="56"/>
      <c r="G42" s="56"/>
      <c r="H42" s="56"/>
      <c r="I42" s="56"/>
      <c r="J42" s="56"/>
      <c r="K42" s="56"/>
      <c r="L42" s="56"/>
      <c r="M42" s="56"/>
    </row>
    <row r="43" spans="2:13" x14ac:dyDescent="0.45">
      <c r="B43" t="s">
        <v>259</v>
      </c>
    </row>
    <row r="44" spans="2:13" x14ac:dyDescent="0.45">
      <c r="B44" t="s">
        <v>259</v>
      </c>
    </row>
    <row r="45" spans="2:13" x14ac:dyDescent="0.45">
      <c r="B45" t="s">
        <v>259</v>
      </c>
    </row>
    <row r="46" spans="2:13" x14ac:dyDescent="0.45">
      <c r="B46" t="s">
        <v>259</v>
      </c>
    </row>
    <row r="47" spans="2:13" x14ac:dyDescent="0.45">
      <c r="B47" t="s">
        <v>259</v>
      </c>
    </row>
    <row r="48" spans="2:13" x14ac:dyDescent="0.45">
      <c r="B48" s="58" t="s">
        <v>275</v>
      </c>
    </row>
    <row r="49" spans="2:13" x14ac:dyDescent="0.45">
      <c r="B49" s="58" t="s">
        <v>276</v>
      </c>
    </row>
    <row r="51" spans="2:13" ht="21" customHeight="1" x14ac:dyDescent="0.75">
      <c r="B51" s="60" t="s">
        <v>178</v>
      </c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</row>
    <row r="52" spans="2:13" ht="16.5" customHeight="1" x14ac:dyDescent="0.6">
      <c r="B52" s="17" t="s">
        <v>277</v>
      </c>
      <c r="C52" s="16"/>
      <c r="D52" s="19" t="s">
        <v>246</v>
      </c>
      <c r="E52" s="19" t="s">
        <v>247</v>
      </c>
      <c r="F52" s="19" t="s">
        <v>248</v>
      </c>
      <c r="G52" s="19" t="s">
        <v>249</v>
      </c>
      <c r="H52" s="19" t="s">
        <v>250</v>
      </c>
      <c r="I52" s="19" t="s">
        <v>251</v>
      </c>
      <c r="J52" s="19" t="s">
        <v>252</v>
      </c>
      <c r="K52" s="19" t="s">
        <v>253</v>
      </c>
      <c r="L52" s="19" t="s">
        <v>254</v>
      </c>
      <c r="M52" s="19" t="s">
        <v>255</v>
      </c>
    </row>
    <row r="53" spans="2:13" x14ac:dyDescent="0.45">
      <c r="B53" t="s">
        <v>259</v>
      </c>
    </row>
    <row r="54" spans="2:13" x14ac:dyDescent="0.45">
      <c r="B54" t="s">
        <v>270</v>
      </c>
    </row>
    <row r="55" spans="2:13" x14ac:dyDescent="0.45">
      <c r="B55" t="s">
        <v>140</v>
      </c>
    </row>
    <row r="56" spans="2:13" x14ac:dyDescent="0.45">
      <c r="B56" t="s">
        <v>259</v>
      </c>
    </row>
    <row r="57" spans="2:13" x14ac:dyDescent="0.45">
      <c r="B57" t="s">
        <v>259</v>
      </c>
    </row>
    <row r="58" spans="2:13" x14ac:dyDescent="0.45">
      <c r="B58" t="s">
        <v>259</v>
      </c>
    </row>
    <row r="59" spans="2:13" x14ac:dyDescent="0.45">
      <c r="B59" t="s">
        <v>270</v>
      </c>
    </row>
    <row r="60" spans="2:13" x14ac:dyDescent="0.45">
      <c r="B60" s="58" t="s">
        <v>278</v>
      </c>
    </row>
    <row r="62" spans="2:13" ht="16.5" customHeight="1" x14ac:dyDescent="0.6">
      <c r="B62" s="17" t="s">
        <v>279</v>
      </c>
      <c r="C62" s="16"/>
      <c r="D62" s="16"/>
      <c r="E62" s="16"/>
      <c r="F62" s="56"/>
      <c r="G62" s="56"/>
      <c r="H62" s="56"/>
      <c r="I62" s="56"/>
      <c r="J62" s="56"/>
      <c r="K62" s="56"/>
      <c r="L62" s="56"/>
      <c r="M62" s="56"/>
    </row>
    <row r="63" spans="2:13" x14ac:dyDescent="0.45">
      <c r="B63" t="s">
        <v>259</v>
      </c>
    </row>
    <row r="64" spans="2:13" x14ac:dyDescent="0.45">
      <c r="B64" t="s">
        <v>259</v>
      </c>
    </row>
    <row r="65" spans="2:13" x14ac:dyDescent="0.45">
      <c r="B65" t="s">
        <v>259</v>
      </c>
    </row>
    <row r="66" spans="2:13" x14ac:dyDescent="0.45">
      <c r="B66" t="s">
        <v>259</v>
      </c>
    </row>
    <row r="67" spans="2:13" x14ac:dyDescent="0.45">
      <c r="B67" t="s">
        <v>272</v>
      </c>
    </row>
    <row r="68" spans="2:13" x14ac:dyDescent="0.45">
      <c r="B68" t="s">
        <v>259</v>
      </c>
    </row>
    <row r="69" spans="2:13" x14ac:dyDescent="0.45">
      <c r="B69" t="s">
        <v>259</v>
      </c>
    </row>
    <row r="70" spans="2:13" x14ac:dyDescent="0.45">
      <c r="B70" s="58" t="s">
        <v>280</v>
      </c>
    </row>
    <row r="72" spans="2:13" ht="16.5" customHeight="1" x14ac:dyDescent="0.6">
      <c r="B72" s="17" t="s">
        <v>281</v>
      </c>
      <c r="C72" s="16"/>
      <c r="D72" s="16"/>
      <c r="E72" s="16"/>
      <c r="F72" s="56"/>
      <c r="G72" s="56"/>
      <c r="H72" s="56"/>
      <c r="I72" s="56"/>
      <c r="J72" s="56"/>
      <c r="K72" s="56"/>
      <c r="L72" s="56"/>
      <c r="M72" s="56"/>
    </row>
    <row r="73" spans="2:13" x14ac:dyDescent="0.45">
      <c r="B73" t="s">
        <v>259</v>
      </c>
    </row>
    <row r="74" spans="2:13" x14ac:dyDescent="0.45">
      <c r="B74" t="s">
        <v>259</v>
      </c>
    </row>
    <row r="75" spans="2:13" x14ac:dyDescent="0.45">
      <c r="B75" t="s">
        <v>259</v>
      </c>
    </row>
    <row r="76" spans="2:13" x14ac:dyDescent="0.45">
      <c r="B76" t="s">
        <v>259</v>
      </c>
    </row>
    <row r="77" spans="2:13" x14ac:dyDescent="0.45">
      <c r="B77" t="s">
        <v>259</v>
      </c>
    </row>
    <row r="78" spans="2:13" x14ac:dyDescent="0.45">
      <c r="B78" s="58" t="s">
        <v>282</v>
      </c>
    </row>
    <row r="79" spans="2:13" x14ac:dyDescent="0.45">
      <c r="B79" t="s">
        <v>283</v>
      </c>
    </row>
    <row r="80" spans="2:13" x14ac:dyDescent="0.45">
      <c r="B80" s="58" t="s">
        <v>284</v>
      </c>
    </row>
    <row r="82" spans="2:2" x14ac:dyDescent="0.45">
      <c r="B82" s="59" t="s">
        <v>285</v>
      </c>
    </row>
    <row r="83" spans="2:2" x14ac:dyDescent="0.45">
      <c r="B83" t="s">
        <v>284</v>
      </c>
    </row>
    <row r="84" spans="2:2" x14ac:dyDescent="0.45">
      <c r="B84" s="57" t="s">
        <v>286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M31"/>
  <sheetViews>
    <sheetView showGridLines="0" workbookViewId="0">
      <selection activeCell="D4" sqref="D4:M4"/>
    </sheetView>
  </sheetViews>
  <sheetFormatPr defaultRowHeight="14.25" x14ac:dyDescent="0.45"/>
  <cols>
    <col min="1" max="1" width="2.86328125" customWidth="1"/>
    <col min="2" max="2" width="51.6640625" bestFit="1" customWidth="1"/>
    <col min="3" max="3" width="2.86328125" customWidth="1"/>
    <col min="4" max="13" width="12.86328125" customWidth="1"/>
  </cols>
  <sheetData>
    <row r="2" spans="1:13" ht="17.100000000000001" customHeight="1" x14ac:dyDescent="0.6">
      <c r="A2" s="1"/>
      <c r="B2" s="15" t="s">
        <v>287</v>
      </c>
      <c r="C2" s="14"/>
      <c r="D2" s="14"/>
      <c r="E2" s="14"/>
      <c r="F2" s="14"/>
      <c r="G2" s="14"/>
      <c r="H2" s="14"/>
      <c r="I2" s="14"/>
      <c r="J2" s="14"/>
      <c r="K2" s="19"/>
      <c r="L2" s="19"/>
      <c r="M2" s="56"/>
    </row>
    <row r="4" spans="1:13" ht="16.5" customHeight="1" x14ac:dyDescent="0.6">
      <c r="B4" s="17" t="s">
        <v>288</v>
      </c>
      <c r="C4" s="16"/>
      <c r="D4" s="19" t="s">
        <v>246</v>
      </c>
      <c r="E4" s="19" t="s">
        <v>247</v>
      </c>
      <c r="F4" s="19" t="s">
        <v>248</v>
      </c>
      <c r="G4" s="19" t="s">
        <v>249</v>
      </c>
      <c r="H4" s="19" t="s">
        <v>250</v>
      </c>
      <c r="I4" s="19" t="s">
        <v>251</v>
      </c>
      <c r="J4" s="19" t="s">
        <v>252</v>
      </c>
      <c r="K4" s="19" t="s">
        <v>253</v>
      </c>
      <c r="L4" s="19" t="s">
        <v>254</v>
      </c>
      <c r="M4" s="19" t="s">
        <v>255</v>
      </c>
    </row>
    <row r="5" spans="1:13" x14ac:dyDescent="0.45">
      <c r="B5" t="s">
        <v>259</v>
      </c>
    </row>
    <row r="6" spans="1:13" x14ac:dyDescent="0.45">
      <c r="B6" t="s">
        <v>270</v>
      </c>
    </row>
    <row r="7" spans="1:13" x14ac:dyDescent="0.45">
      <c r="B7" s="58" t="s">
        <v>140</v>
      </c>
    </row>
    <row r="8" spans="1:13" x14ac:dyDescent="0.45">
      <c r="B8" t="s">
        <v>259</v>
      </c>
    </row>
    <row r="9" spans="1:13" x14ac:dyDescent="0.45">
      <c r="B9" t="s">
        <v>259</v>
      </c>
    </row>
    <row r="10" spans="1:13" x14ac:dyDescent="0.45">
      <c r="B10" t="s">
        <v>259</v>
      </c>
    </row>
    <row r="11" spans="1:13" x14ac:dyDescent="0.45">
      <c r="B11" t="s">
        <v>270</v>
      </c>
    </row>
    <row r="12" spans="1:13" x14ac:dyDescent="0.45">
      <c r="B12" s="58" t="s">
        <v>149</v>
      </c>
    </row>
    <row r="14" spans="1:13" ht="16.5" customHeight="1" x14ac:dyDescent="0.6">
      <c r="B14" s="17" t="s">
        <v>289</v>
      </c>
      <c r="C14" s="16"/>
      <c r="D14" s="16"/>
      <c r="E14" s="16"/>
      <c r="F14" s="56"/>
      <c r="G14" s="56"/>
      <c r="H14" s="56"/>
      <c r="I14" s="56"/>
      <c r="J14" s="56"/>
      <c r="K14" s="56"/>
      <c r="L14" s="56"/>
      <c r="M14" s="56"/>
    </row>
    <row r="15" spans="1:13" x14ac:dyDescent="0.45">
      <c r="B15" t="s">
        <v>259</v>
      </c>
    </row>
    <row r="16" spans="1:13" x14ac:dyDescent="0.45">
      <c r="B16" t="s">
        <v>259</v>
      </c>
    </row>
    <row r="17" spans="2:13" x14ac:dyDescent="0.45">
      <c r="B17" t="s">
        <v>259</v>
      </c>
    </row>
    <row r="18" spans="2:13" x14ac:dyDescent="0.45">
      <c r="B18" t="s">
        <v>259</v>
      </c>
    </row>
    <row r="19" spans="2:13" x14ac:dyDescent="0.45">
      <c r="B19" s="58" t="s">
        <v>272</v>
      </c>
    </row>
    <row r="20" spans="2:13" x14ac:dyDescent="0.45">
      <c r="B20" t="s">
        <v>259</v>
      </c>
    </row>
    <row r="21" spans="2:13" x14ac:dyDescent="0.45">
      <c r="B21" t="s">
        <v>259</v>
      </c>
    </row>
    <row r="22" spans="2:13" x14ac:dyDescent="0.45">
      <c r="B22" s="58" t="s">
        <v>273</v>
      </c>
    </row>
    <row r="24" spans="2:13" ht="16.5" customHeight="1" x14ac:dyDescent="0.6">
      <c r="B24" s="17" t="s">
        <v>290</v>
      </c>
      <c r="C24" s="16"/>
      <c r="D24" s="16"/>
      <c r="E24" s="16"/>
      <c r="F24" s="56"/>
      <c r="G24" s="56"/>
      <c r="H24" s="56"/>
      <c r="I24" s="56"/>
      <c r="J24" s="56"/>
      <c r="K24" s="56"/>
      <c r="L24" s="56"/>
      <c r="M24" s="56"/>
    </row>
    <row r="25" spans="2:13" x14ac:dyDescent="0.45">
      <c r="B25" t="s">
        <v>259</v>
      </c>
    </row>
    <row r="26" spans="2:13" x14ac:dyDescent="0.45">
      <c r="B26" t="s">
        <v>259</v>
      </c>
    </row>
    <row r="27" spans="2:13" x14ac:dyDescent="0.45">
      <c r="B27" t="s">
        <v>259</v>
      </c>
    </row>
    <row r="28" spans="2:13" x14ac:dyDescent="0.45">
      <c r="B28" t="s">
        <v>259</v>
      </c>
    </row>
    <row r="29" spans="2:13" x14ac:dyDescent="0.45">
      <c r="B29" t="s">
        <v>259</v>
      </c>
    </row>
    <row r="30" spans="2:13" x14ac:dyDescent="0.45">
      <c r="B30" s="58" t="s">
        <v>275</v>
      </c>
    </row>
    <row r="31" spans="2:13" x14ac:dyDescent="0.45">
      <c r="B31" s="58" t="s">
        <v>276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L36"/>
  <sheetViews>
    <sheetView showGridLines="0" workbookViewId="0">
      <selection activeCell="B14" sqref="B14"/>
    </sheetView>
  </sheetViews>
  <sheetFormatPr defaultRowHeight="14.25" x14ac:dyDescent="0.45"/>
  <cols>
    <col min="1" max="1" width="2.86328125" customWidth="1"/>
    <col min="2" max="2" width="66" bestFit="1" customWidth="1"/>
    <col min="3" max="3" width="2.86328125" customWidth="1"/>
    <col min="4" max="12" width="12.86328125" customWidth="1"/>
  </cols>
  <sheetData>
    <row r="2" spans="1:12" ht="17.100000000000001" customHeight="1" x14ac:dyDescent="0.6">
      <c r="A2" s="1"/>
      <c r="B2" s="15" t="s">
        <v>291</v>
      </c>
      <c r="C2" s="14"/>
      <c r="D2" s="14"/>
      <c r="E2" s="14"/>
      <c r="F2" s="14"/>
      <c r="G2" s="14"/>
      <c r="H2" s="14"/>
      <c r="I2" s="14"/>
      <c r="J2" s="14"/>
      <c r="K2" s="1"/>
      <c r="L2" s="1"/>
    </row>
    <row r="4" spans="1:12" ht="16.5" customHeight="1" x14ac:dyDescent="0.6">
      <c r="B4" s="17" t="s">
        <v>277</v>
      </c>
      <c r="C4" s="16"/>
      <c r="D4" s="19" t="s">
        <v>292</v>
      </c>
      <c r="E4" s="19" t="s">
        <v>292</v>
      </c>
      <c r="F4" s="19" t="s">
        <v>292</v>
      </c>
      <c r="G4" s="19" t="s">
        <v>292</v>
      </c>
      <c r="H4" s="19" t="s">
        <v>292</v>
      </c>
      <c r="I4" s="19" t="s">
        <v>51</v>
      </c>
      <c r="J4" s="19" t="s">
        <v>51</v>
      </c>
    </row>
    <row r="5" spans="1:12" x14ac:dyDescent="0.45">
      <c r="B5" t="s">
        <v>259</v>
      </c>
    </row>
    <row r="6" spans="1:12" x14ac:dyDescent="0.45">
      <c r="B6" t="s">
        <v>270</v>
      </c>
    </row>
    <row r="7" spans="1:12" x14ac:dyDescent="0.45">
      <c r="B7" t="s">
        <v>140</v>
      </c>
    </row>
    <row r="8" spans="1:12" x14ac:dyDescent="0.45">
      <c r="B8" t="s">
        <v>259</v>
      </c>
    </row>
    <row r="9" spans="1:12" x14ac:dyDescent="0.45">
      <c r="B9" t="s">
        <v>259</v>
      </c>
    </row>
    <row r="10" spans="1:12" x14ac:dyDescent="0.45">
      <c r="B10" t="s">
        <v>259</v>
      </c>
    </row>
    <row r="11" spans="1:12" x14ac:dyDescent="0.45">
      <c r="B11" t="s">
        <v>270</v>
      </c>
    </row>
    <row r="12" spans="1:12" x14ac:dyDescent="0.45">
      <c r="B12" s="58" t="s">
        <v>278</v>
      </c>
    </row>
    <row r="14" spans="1:12" ht="16.5" customHeight="1" x14ac:dyDescent="0.6">
      <c r="B14" s="17" t="s">
        <v>279</v>
      </c>
      <c r="C14" s="16"/>
      <c r="D14" s="16"/>
      <c r="E14" s="16"/>
      <c r="F14" s="56"/>
      <c r="G14" s="56"/>
      <c r="H14" s="56"/>
      <c r="I14" s="56"/>
      <c r="J14" s="56"/>
    </row>
    <row r="15" spans="1:12" x14ac:dyDescent="0.45">
      <c r="B15" t="s">
        <v>259</v>
      </c>
    </row>
    <row r="16" spans="1:12" x14ac:dyDescent="0.45">
      <c r="B16" t="s">
        <v>259</v>
      </c>
    </row>
    <row r="17" spans="2:10" x14ac:dyDescent="0.45">
      <c r="B17" t="s">
        <v>259</v>
      </c>
    </row>
    <row r="18" spans="2:10" x14ac:dyDescent="0.45">
      <c r="B18" t="s">
        <v>259</v>
      </c>
    </row>
    <row r="19" spans="2:10" x14ac:dyDescent="0.45">
      <c r="B19" t="s">
        <v>272</v>
      </c>
    </row>
    <row r="20" spans="2:10" x14ac:dyDescent="0.45">
      <c r="B20" t="s">
        <v>259</v>
      </c>
    </row>
    <row r="21" spans="2:10" x14ac:dyDescent="0.45">
      <c r="B21" t="s">
        <v>259</v>
      </c>
    </row>
    <row r="22" spans="2:10" x14ac:dyDescent="0.45">
      <c r="B22" s="58" t="s">
        <v>280</v>
      </c>
    </row>
    <row r="24" spans="2:10" ht="16.5" customHeight="1" x14ac:dyDescent="0.6">
      <c r="B24" s="17" t="s">
        <v>281</v>
      </c>
      <c r="C24" s="16"/>
      <c r="D24" s="16"/>
      <c r="E24" s="16"/>
      <c r="F24" s="56"/>
      <c r="G24" s="56"/>
      <c r="H24" s="56"/>
      <c r="I24" s="56"/>
      <c r="J24" s="56"/>
    </row>
    <row r="25" spans="2:10" x14ac:dyDescent="0.45">
      <c r="B25" t="s">
        <v>259</v>
      </c>
    </row>
    <row r="26" spans="2:10" x14ac:dyDescent="0.45">
      <c r="B26" t="s">
        <v>259</v>
      </c>
    </row>
    <row r="27" spans="2:10" x14ac:dyDescent="0.45">
      <c r="B27" t="s">
        <v>259</v>
      </c>
    </row>
    <row r="28" spans="2:10" x14ac:dyDescent="0.45">
      <c r="B28" t="s">
        <v>259</v>
      </c>
    </row>
    <row r="29" spans="2:10" x14ac:dyDescent="0.45">
      <c r="B29" t="s">
        <v>259</v>
      </c>
    </row>
    <row r="30" spans="2:10" x14ac:dyDescent="0.45">
      <c r="B30" s="58" t="s">
        <v>282</v>
      </c>
    </row>
    <row r="31" spans="2:10" x14ac:dyDescent="0.45">
      <c r="B31" t="s">
        <v>283</v>
      </c>
    </row>
    <row r="32" spans="2:10" x14ac:dyDescent="0.45">
      <c r="B32" s="58" t="s">
        <v>284</v>
      </c>
    </row>
    <row r="34" spans="2:2" x14ac:dyDescent="0.45">
      <c r="B34" s="59" t="s">
        <v>285</v>
      </c>
    </row>
    <row r="35" spans="2:2" x14ac:dyDescent="0.45">
      <c r="B35" t="s">
        <v>284</v>
      </c>
    </row>
    <row r="36" spans="2:2" x14ac:dyDescent="0.45">
      <c r="B36" s="57" t="s">
        <v>286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M36"/>
  <sheetViews>
    <sheetView showGridLines="0" workbookViewId="0">
      <selection activeCell="D32" sqref="D32"/>
    </sheetView>
  </sheetViews>
  <sheetFormatPr defaultRowHeight="14.25" x14ac:dyDescent="0.45"/>
  <cols>
    <col min="1" max="1" width="2.86328125" customWidth="1"/>
    <col min="2" max="2" width="66" bestFit="1" customWidth="1"/>
    <col min="3" max="3" width="2.86328125" customWidth="1"/>
    <col min="4" max="12" width="12.86328125" customWidth="1"/>
  </cols>
  <sheetData>
    <row r="2" spans="1:13" ht="17.100000000000001" customHeight="1" x14ac:dyDescent="0.6">
      <c r="A2" s="1"/>
      <c r="B2" s="15" t="s">
        <v>291</v>
      </c>
      <c r="C2" s="14"/>
      <c r="D2" s="14"/>
      <c r="E2" s="14"/>
      <c r="F2" s="14"/>
      <c r="G2" s="14"/>
      <c r="H2" s="14"/>
      <c r="I2" s="14"/>
      <c r="J2" s="14"/>
      <c r="K2" s="19"/>
      <c r="L2" s="19"/>
      <c r="M2" s="56"/>
    </row>
    <row r="4" spans="1:13" ht="16.5" customHeight="1" x14ac:dyDescent="0.6">
      <c r="B4" s="17" t="s">
        <v>277</v>
      </c>
      <c r="C4" s="16"/>
      <c r="D4" s="19" t="s">
        <v>246</v>
      </c>
      <c r="E4" s="19" t="s">
        <v>247</v>
      </c>
      <c r="F4" s="19" t="s">
        <v>248</v>
      </c>
      <c r="G4" s="19" t="s">
        <v>249</v>
      </c>
      <c r="H4" s="19" t="s">
        <v>250</v>
      </c>
      <c r="I4" s="19" t="s">
        <v>251</v>
      </c>
      <c r="J4" s="19" t="s">
        <v>252</v>
      </c>
      <c r="K4" s="19" t="s">
        <v>253</v>
      </c>
      <c r="L4" s="19" t="s">
        <v>254</v>
      </c>
      <c r="M4" s="19" t="s">
        <v>255</v>
      </c>
    </row>
    <row r="5" spans="1:13" x14ac:dyDescent="0.45">
      <c r="B5" t="s">
        <v>259</v>
      </c>
    </row>
    <row r="6" spans="1:13" x14ac:dyDescent="0.45">
      <c r="B6" t="s">
        <v>270</v>
      </c>
    </row>
    <row r="7" spans="1:13" x14ac:dyDescent="0.45">
      <c r="B7" t="s">
        <v>140</v>
      </c>
    </row>
    <row r="8" spans="1:13" x14ac:dyDescent="0.45">
      <c r="B8" t="s">
        <v>259</v>
      </c>
    </row>
    <row r="9" spans="1:13" x14ac:dyDescent="0.45">
      <c r="B9" t="s">
        <v>259</v>
      </c>
    </row>
    <row r="10" spans="1:13" x14ac:dyDescent="0.45">
      <c r="B10" t="s">
        <v>259</v>
      </c>
    </row>
    <row r="11" spans="1:13" x14ac:dyDescent="0.45">
      <c r="B11" t="s">
        <v>270</v>
      </c>
    </row>
    <row r="12" spans="1:13" x14ac:dyDescent="0.45">
      <c r="B12" s="58" t="s">
        <v>278</v>
      </c>
    </row>
    <row r="14" spans="1:13" ht="16.5" customHeight="1" x14ac:dyDescent="0.6">
      <c r="B14" s="17" t="s">
        <v>279</v>
      </c>
      <c r="C14" s="16"/>
      <c r="D14" s="16"/>
      <c r="E14" s="16"/>
      <c r="F14" s="56"/>
      <c r="G14" s="56"/>
      <c r="H14" s="56"/>
      <c r="I14" s="56"/>
      <c r="J14" s="56"/>
      <c r="K14" s="56"/>
      <c r="L14" s="56"/>
      <c r="M14" s="56"/>
    </row>
    <row r="15" spans="1:13" x14ac:dyDescent="0.45">
      <c r="B15" t="s">
        <v>259</v>
      </c>
    </row>
    <row r="16" spans="1:13" x14ac:dyDescent="0.45">
      <c r="B16" t="s">
        <v>259</v>
      </c>
    </row>
    <row r="17" spans="2:13" x14ac:dyDescent="0.45">
      <c r="B17" t="s">
        <v>259</v>
      </c>
    </row>
    <row r="18" spans="2:13" x14ac:dyDescent="0.45">
      <c r="B18" t="s">
        <v>259</v>
      </c>
    </row>
    <row r="19" spans="2:13" x14ac:dyDescent="0.45">
      <c r="B19" t="s">
        <v>272</v>
      </c>
    </row>
    <row r="20" spans="2:13" x14ac:dyDescent="0.45">
      <c r="B20" t="s">
        <v>259</v>
      </c>
    </row>
    <row r="21" spans="2:13" x14ac:dyDescent="0.45">
      <c r="B21" t="s">
        <v>259</v>
      </c>
    </row>
    <row r="22" spans="2:13" x14ac:dyDescent="0.45">
      <c r="B22" s="58" t="s">
        <v>280</v>
      </c>
    </row>
    <row r="24" spans="2:13" ht="16.5" customHeight="1" x14ac:dyDescent="0.6">
      <c r="B24" s="17" t="s">
        <v>281</v>
      </c>
      <c r="C24" s="16"/>
      <c r="D24" s="16"/>
      <c r="E24" s="16"/>
      <c r="F24" s="56"/>
      <c r="G24" s="56"/>
      <c r="H24" s="56"/>
      <c r="I24" s="56"/>
      <c r="J24" s="56"/>
      <c r="K24" s="56"/>
      <c r="L24" s="56"/>
      <c r="M24" s="56"/>
    </row>
    <row r="25" spans="2:13" x14ac:dyDescent="0.45">
      <c r="B25" t="s">
        <v>259</v>
      </c>
    </row>
    <row r="26" spans="2:13" x14ac:dyDescent="0.45">
      <c r="B26" t="s">
        <v>259</v>
      </c>
    </row>
    <row r="27" spans="2:13" x14ac:dyDescent="0.45">
      <c r="B27" t="s">
        <v>259</v>
      </c>
    </row>
    <row r="28" spans="2:13" x14ac:dyDescent="0.45">
      <c r="B28" t="s">
        <v>259</v>
      </c>
    </row>
    <row r="29" spans="2:13" x14ac:dyDescent="0.45">
      <c r="B29" t="s">
        <v>259</v>
      </c>
    </row>
    <row r="30" spans="2:13" x14ac:dyDescent="0.45">
      <c r="B30" s="58" t="s">
        <v>282</v>
      </c>
    </row>
    <row r="31" spans="2:13" x14ac:dyDescent="0.45">
      <c r="B31" t="s">
        <v>283</v>
      </c>
    </row>
    <row r="32" spans="2:13" x14ac:dyDescent="0.45">
      <c r="B32" s="58" t="s">
        <v>284</v>
      </c>
    </row>
    <row r="34" spans="2:2" x14ac:dyDescent="0.45">
      <c r="B34" s="59" t="s">
        <v>285</v>
      </c>
    </row>
    <row r="35" spans="2:2" x14ac:dyDescent="0.45">
      <c r="B35" t="s">
        <v>284</v>
      </c>
    </row>
    <row r="36" spans="2:2" x14ac:dyDescent="0.45">
      <c r="B36" s="57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Summary</vt:lpstr>
      <vt:lpstr>DCF Base</vt:lpstr>
      <vt:lpstr>DCF Bear</vt:lpstr>
      <vt:lpstr>DCF Bull</vt:lpstr>
      <vt:lpstr>3 Statement</vt:lpstr>
      <vt:lpstr>RV</vt:lpstr>
      <vt:lpstr>Beta</vt:lpstr>
      <vt:lpstr>DCF Q</vt:lpstr>
      <vt:lpstr>3-STMT Q</vt:lpstr>
      <vt:lpstr>3-STMT Quarterly</vt:lpstr>
      <vt:lpstr>CF STMT Annual </vt:lpstr>
      <vt:lpstr>CF STMT Quarterly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Guiter, Sophia</dc:creator>
  <cp:lastModifiedBy>Samuel Brooks</cp:lastModifiedBy>
  <dcterms:created xsi:type="dcterms:W3CDTF">2025-11-09T23:58:11Z</dcterms:created>
  <dcterms:modified xsi:type="dcterms:W3CDTF">2025-12-04T11:26:09Z</dcterms:modified>
</cp:coreProperties>
</file>