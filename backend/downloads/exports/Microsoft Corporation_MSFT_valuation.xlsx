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Cover" sheetId="1" state="visible" r:id="rId1"/>
    <sheet name="Summary" sheetId="2" state="visible" r:id="rId2"/>
    <sheet name="DCF Base" sheetId="3" state="visible" r:id="rId3"/>
    <sheet name="DCF Bear" sheetId="4" state="visible" r:id="rId4"/>
    <sheet name="DCF Bull" sheetId="5" state="visible" r:id="rId5"/>
    <sheet name="3 Statement" sheetId="6" state="visible" r:id="rId6"/>
    <sheet name="RV" sheetId="7" state="visible" r:id="rId7"/>
    <sheet name="Beta" sheetId="8" state="visible" r:id="rId8"/>
    <sheet name="DCF Q" sheetId="9" state="hidden" r:id="rId9"/>
    <sheet name="3-STMT Q" sheetId="10" state="hidden" r:id="rId10"/>
    <sheet name="3-STMT Quarterly" sheetId="11" state="hidden" r:id="rId11"/>
    <sheet name="CF STMT Annual " sheetId="12" state="hidden" r:id="rId12"/>
    <sheet name="CF STMT Quarterly" sheetId="13" state="hidden" r:id="rId13"/>
  </sheets>
  <externalReferences>
    <externalReference r:id="rId14"/>
    <externalReference r:id="rId15"/>
  </externalReference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0.0%_);\(0.0%\);0.0%_);@_)"/>
    <numFmt numFmtId="165" formatCode="_(* #,##0_);_(* \(#,##0\);_(* &quot;-&quot;??_);_(@_)"/>
    <numFmt numFmtId="166" formatCode="0.0%"/>
    <numFmt numFmtId="167" formatCode="yyyy\-mm\-dd"/>
    <numFmt numFmtId="168" formatCode="&quot;$&quot;#,##0"/>
    <numFmt numFmtId="169" formatCode="&quot;$&quot;#,##0.00"/>
  </numFmts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IBM Plex Sans"/>
      <family val="2"/>
      <color theme="1"/>
      <sz val="11"/>
    </font>
    <font>
      <name val="Arial"/>
      <family val="2"/>
      <color theme="1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IBM Plex Sans"/>
      <family val="2"/>
      <color theme="1"/>
      <sz val="14"/>
    </font>
    <font>
      <name val="IBM Plex Sans"/>
      <family val="2"/>
      <color rgb="FFFF0000"/>
      <sz val="11"/>
    </font>
    <font>
      <name val="IBM Plex Sans"/>
      <family val="2"/>
      <color rgb="FF000000"/>
      <sz val="11"/>
    </font>
    <font>
      <name val="IBM Plex Sans"/>
      <family val="2"/>
      <color rgb="FF0000FF"/>
      <sz val="11"/>
    </font>
    <font>
      <name val="IBM Plex Sans"/>
      <family val="2"/>
      <color rgb="FF0000FF"/>
      <sz val="10"/>
    </font>
    <font>
      <name val="IBM Plex Sans"/>
      <family val="2"/>
      <b val="1"/>
      <color theme="1"/>
      <sz val="11"/>
    </font>
    <font>
      <name val="IBM Plex Sans"/>
      <family val="2"/>
      <i val="1"/>
      <color rgb="FF000000"/>
      <sz val="11"/>
    </font>
    <font>
      <name val="IBM Plex Sans"/>
      <family val="2"/>
      <b val="1"/>
      <color rgb="FF000000"/>
      <sz val="11"/>
    </font>
    <font>
      <name val="IBM Plex Sans"/>
      <family val="2"/>
      <color rgb="FF000000"/>
      <sz val="10"/>
    </font>
    <font>
      <name val="IBM Plex Sans"/>
      <family val="2"/>
      <b val="1"/>
      <color rgb="FF000000"/>
      <sz val="10"/>
    </font>
    <font>
      <name val="IBM Plex Sans"/>
      <family val="2"/>
      <b val="1"/>
      <color theme="1"/>
      <sz val="14"/>
    </font>
    <font>
      <name val="IBM Plex Sans"/>
      <family val="2"/>
      <b val="1"/>
      <color rgb="FFFF0000"/>
      <sz val="14"/>
    </font>
    <font>
      <name val="IBM Plex Sans"/>
      <family val="2"/>
      <color rgb="FF00B050"/>
      <sz val="11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IBM Plex Sans"/>
      <family val="2"/>
      <color theme="1"/>
      <sz val="16"/>
    </font>
    <font>
      <name val="IBM Plex Sans"/>
      <family val="2"/>
      <color theme="1"/>
      <sz val="2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43" fontId="3" fillId="0" borderId="0"/>
    <xf numFmtId="43" fontId="1" fillId="0" borderId="0"/>
    <xf numFmtId="9" fontId="1" fillId="0" borderId="0"/>
  </cellStyleXfs>
  <cellXfs count="146">
    <xf numFmtId="0" fontId="0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left" indent="1"/>
    </xf>
    <xf numFmtId="0" fontId="8" fillId="0" borderId="1" pivotButton="0" quotePrefix="0" xfId="0"/>
    <xf numFmtId="0" fontId="12" fillId="0" borderId="0" applyAlignment="1" pivotButton="0" quotePrefix="0" xfId="0">
      <alignment horizontal="left" indent="1"/>
    </xf>
    <xf numFmtId="0" fontId="8" fillId="0" borderId="2" pivotButton="0" quotePrefix="0" xfId="0"/>
    <xf numFmtId="0" fontId="13" fillId="0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2" pivotButton="0" quotePrefix="0" xfId="0"/>
    <xf numFmtId="0" fontId="6" fillId="2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8" fillId="2" borderId="0" pivotButton="0" quotePrefix="0" xfId="0"/>
    <xf numFmtId="0" fontId="13" fillId="2" borderId="0" pivotButton="0" quotePrefix="0" xfId="0"/>
    <xf numFmtId="0" fontId="11" fillId="2" borderId="0" pivotButton="0" quotePrefix="0" xfId="0"/>
    <xf numFmtId="0" fontId="2" fillId="2" borderId="0" pivotButton="0" quotePrefix="0" xfId="0"/>
    <xf numFmtId="10" fontId="2" fillId="0" borderId="0" pivotButton="0" quotePrefix="0" xfId="0"/>
    <xf numFmtId="0" fontId="11" fillId="0" borderId="0" pivotButton="0" quotePrefix="0" xfId="0"/>
    <xf numFmtId="0" fontId="2" fillId="0" borderId="2" pivotButton="0" quotePrefix="0" xfId="0"/>
    <xf numFmtId="37" fontId="2" fillId="0" borderId="2" pivotButton="0" quotePrefix="0" xfId="0"/>
    <xf numFmtId="10" fontId="9" fillId="0" borderId="0" applyAlignment="1" pivotButton="0" quotePrefix="0" xfId="0">
      <alignment horizontal="right"/>
    </xf>
    <xf numFmtId="165" fontId="9" fillId="0" borderId="0" applyAlignment="1" pivotButton="0" quotePrefix="0" xfId="2">
      <alignment horizontal="right"/>
    </xf>
    <xf numFmtId="165" fontId="9" fillId="0" borderId="0" applyAlignment="1" pivotButton="0" quotePrefix="0" xfId="1">
      <alignment horizontal="right"/>
    </xf>
    <xf numFmtId="43" fontId="9" fillId="0" borderId="0" applyAlignment="1" pivotButton="0" quotePrefix="0" xfId="1">
      <alignment horizontal="right"/>
    </xf>
    <xf numFmtId="14" fontId="2" fillId="0" borderId="0" applyAlignment="1" pivotButton="0" quotePrefix="0" xfId="0">
      <alignment horizontal="right"/>
    </xf>
    <xf numFmtId="1" fontId="8" fillId="0" borderId="0" applyAlignment="1" pivotButton="0" quotePrefix="0" xfId="0">
      <alignment horizontal="right"/>
    </xf>
    <xf numFmtId="0" fontId="9" fillId="0" borderId="0" applyAlignment="1" pivotButton="0" quotePrefix="0" xfId="1">
      <alignment horizontal="left"/>
    </xf>
    <xf numFmtId="10" fontId="10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left"/>
    </xf>
    <xf numFmtId="166" fontId="8" fillId="0" borderId="0" applyAlignment="1" pivotButton="0" quotePrefix="0" xfId="0">
      <alignment horizontal="left"/>
    </xf>
    <xf numFmtId="10" fontId="9" fillId="0" borderId="0" applyAlignment="1" pivotButton="0" quotePrefix="0" xfId="0">
      <alignment horizontal="left"/>
    </xf>
    <xf numFmtId="0" fontId="15" fillId="0" borderId="2" pivotButton="0" quotePrefix="0" xfId="0"/>
    <xf numFmtId="0" fontId="12" fillId="0" borderId="0" applyAlignment="1" pivotButton="0" quotePrefix="0" xfId="0">
      <alignment horizontal="left" indent="2"/>
    </xf>
    <xf numFmtId="0" fontId="14" fillId="0" borderId="0" applyAlignment="1" pivotButton="0" quotePrefix="0" xfId="0">
      <alignment horizontal="left" indent="2"/>
    </xf>
    <xf numFmtId="0" fontId="1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9" fillId="0" borderId="0" pivotButton="0" quotePrefix="0" xfId="0"/>
    <xf numFmtId="0" fontId="18" fillId="0" borderId="0" pivotButton="0" quotePrefix="0" xfId="0"/>
    <xf numFmtId="10" fontId="8" fillId="0" borderId="1" applyAlignment="1" pivotButton="0" quotePrefix="0" xfId="0">
      <alignment horizontal="left"/>
    </xf>
    <xf numFmtId="37" fontId="8" fillId="0" borderId="0" pivotButton="0" quotePrefix="0" xfId="0"/>
    <xf numFmtId="2" fontId="9" fillId="0" borderId="0" pivotButton="0" quotePrefix="0" xfId="0"/>
    <xf numFmtId="2" fontId="8" fillId="0" borderId="0" pivotButton="0" quotePrefix="0" xfId="0"/>
    <xf numFmtId="165" fontId="8" fillId="0" borderId="0" applyAlignment="1" pivotButton="0" quotePrefix="0" xfId="3">
      <alignment horizontal="center"/>
    </xf>
    <xf numFmtId="165" fontId="8" fillId="0" borderId="0" applyAlignment="1" pivotButton="0" quotePrefix="0" xfId="0">
      <alignment horizontal="center"/>
    </xf>
    <xf numFmtId="9" fontId="2" fillId="0" borderId="0" pivotButton="0" quotePrefix="0" xfId="4"/>
    <xf numFmtId="0" fontId="19" fillId="3" borderId="0" pivotButton="0" quotePrefix="0" xfId="0"/>
    <xf numFmtId="0" fontId="0" fillId="3" borderId="0" pivotButton="0" quotePrefix="0" xfId="0"/>
    <xf numFmtId="0" fontId="21" fillId="0" borderId="0" pivotButton="0" quotePrefix="0" xfId="0"/>
    <xf numFmtId="0" fontId="0" fillId="2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0" fontId="6" fillId="4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1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9" fontId="0" fillId="0" borderId="0" pivotButton="0" quotePrefix="0" xfId="4"/>
    <xf numFmtId="9" fontId="0" fillId="0" borderId="0" pivotButton="0" quotePrefix="0" xfId="0"/>
    <xf numFmtId="10" fontId="0" fillId="0" borderId="0" pivotButton="0" quotePrefix="0" xfId="0"/>
    <xf numFmtId="9" fontId="2" fillId="0" borderId="0" pivotButton="0" quotePrefix="0" xfId="0"/>
    <xf numFmtId="9" fontId="2" fillId="0" borderId="0" pivotButton="0" quotePrefix="0" xfId="4"/>
    <xf numFmtId="167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10" fontId="2" fillId="0" borderId="9" pivotButton="0" quotePrefix="0" xfId="0"/>
    <xf numFmtId="0" fontId="22" fillId="0" borderId="0" pivotButton="0" quotePrefix="0" xfId="0"/>
    <xf numFmtId="0" fontId="20" fillId="2" borderId="0" pivotButton="0" quotePrefix="0" xfId="0"/>
    <xf numFmtId="0" fontId="11" fillId="0" borderId="0" applyAlignment="1" pivotButton="0" quotePrefix="0" xfId="0">
      <alignment horizontal="left"/>
    </xf>
    <xf numFmtId="0" fontId="16" fillId="2" borderId="0" pivotButton="0" quotePrefix="0" xfId="0"/>
    <xf numFmtId="0" fontId="2" fillId="2" borderId="12" pivotButton="0" quotePrefix="0" xfId="0"/>
    <xf numFmtId="0" fontId="6" fillId="2" borderId="12" pivotButton="0" quotePrefix="0" xfId="0"/>
    <xf numFmtId="0" fontId="2" fillId="5" borderId="0" pivotButton="0" quotePrefix="0" xfId="0"/>
    <xf numFmtId="0" fontId="2" fillId="5" borderId="2" pivotButton="0" quotePrefix="0" xfId="0"/>
    <xf numFmtId="0" fontId="2" fillId="0" borderId="0" applyAlignment="1" pivotButton="0" quotePrefix="0" xfId="0">
      <alignment horizontal="left" indent="1"/>
    </xf>
    <xf numFmtId="10" fontId="2" fillId="5" borderId="2" pivotButton="0" quotePrefix="0" xfId="0"/>
    <xf numFmtId="37" fontId="8" fillId="5" borderId="0" pivotButton="0" quotePrefix="0" xfId="0"/>
    <xf numFmtId="37" fontId="2" fillId="5" borderId="2" pivotButton="0" quotePrefix="0" xfId="0"/>
    <xf numFmtId="9" fontId="2" fillId="5" borderId="0" pivotButton="0" quotePrefix="0" xfId="0"/>
    <xf numFmtId="1" fontId="2" fillId="5" borderId="0" pivotButton="0" quotePrefix="0" xfId="0"/>
    <xf numFmtId="1" fontId="2" fillId="5" borderId="2" pivotButton="0" quotePrefix="0" xfId="0"/>
    <xf numFmtId="1" fontId="11" fillId="5" borderId="0" pivotButton="0" quotePrefix="0" xfId="0"/>
    <xf numFmtId="9" fontId="2" fillId="5" borderId="0" pivotButton="0" quotePrefix="0" xfId="4"/>
    <xf numFmtId="1" fontId="11" fillId="5" borderId="2" pivotButton="0" quotePrefix="0" xfId="0"/>
    <xf numFmtId="1" fontId="11" fillId="0" borderId="12" pivotButton="0" quotePrefix="0" xfId="0"/>
    <xf numFmtId="1" fontId="2" fillId="5" borderId="2" pivotButton="0" quotePrefix="0" xfId="4"/>
    <xf numFmtId="9" fontId="2" fillId="0" borderId="0" applyAlignment="1" pivotButton="0" quotePrefix="0" xfId="4">
      <alignment horizontal="right"/>
    </xf>
    <xf numFmtId="10" fontId="2" fillId="0" borderId="7" pivotButton="0" quotePrefix="0" xfId="0"/>
    <xf numFmtId="10" fontId="2" fillId="0" borderId="8" pivotButton="0" quotePrefix="0" xfId="0"/>
    <xf numFmtId="10" fontId="2" fillId="0" borderId="10" pivotButton="0" quotePrefix="0" xfId="0"/>
    <xf numFmtId="10" fontId="2" fillId="0" borderId="11" pivotButton="0" quotePrefix="0" xfId="0"/>
    <xf numFmtId="0" fontId="2" fillId="6" borderId="0" applyAlignment="1" pivotButton="0" quotePrefix="0" xfId="0">
      <alignment horizontal="left" indent="1"/>
    </xf>
    <xf numFmtId="1" fontId="2" fillId="0" borderId="0" pivotButton="0" quotePrefix="0" xfId="0"/>
    <xf numFmtId="1" fontId="2" fillId="0" borderId="0" pivotButton="0" quotePrefix="1" xfId="0"/>
    <xf numFmtId="2" fontId="9" fillId="0" borderId="0" applyAlignment="1" pivotButton="0" quotePrefix="0" xfId="1">
      <alignment horizontal="left"/>
    </xf>
    <xf numFmtId="0" fontId="8" fillId="0" borderId="1" applyAlignment="1" pivotButton="0" quotePrefix="0" xfId="0">
      <alignment horizontal="left"/>
    </xf>
    <xf numFmtId="9" fontId="2" fillId="0" borderId="0" applyAlignment="1" pivotButton="0" quotePrefix="0" xfId="4">
      <alignment horizontal="center"/>
    </xf>
    <xf numFmtId="1" fontId="2" fillId="0" borderId="14" pivotButton="0" quotePrefix="0" xfId="0"/>
    <xf numFmtId="1" fontId="2" fillId="5" borderId="14" pivotButton="0" quotePrefix="0" xfId="0"/>
    <xf numFmtId="1" fontId="11" fillId="0" borderId="2" pivotButton="0" quotePrefix="0" xfId="0"/>
    <xf numFmtId="1" fontId="11" fillId="0" borderId="0" pivotButton="0" quotePrefix="0" xfId="0"/>
    <xf numFmtId="1" fontId="2" fillId="0" borderId="2" pivotButton="0" quotePrefix="0" xfId="0"/>
    <xf numFmtId="1" fontId="2" fillId="0" borderId="13" pivotButton="0" quotePrefix="0" xfId="0"/>
    <xf numFmtId="1" fontId="11" fillId="5" borderId="1" pivotButton="0" quotePrefix="0" xfId="0"/>
    <xf numFmtId="1" fontId="2" fillId="5" borderId="13" pivotButton="0" quotePrefix="0" xfId="0"/>
    <xf numFmtId="1" fontId="11" fillId="5" borderId="13" pivotButton="0" quotePrefix="0" xfId="0"/>
    <xf numFmtId="9" fontId="2" fillId="0" borderId="0" applyAlignment="1" pivotButton="0" quotePrefix="0" xfId="4">
      <alignment horizontal="left"/>
    </xf>
    <xf numFmtId="0" fontId="2" fillId="2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left"/>
    </xf>
    <xf numFmtId="169" fontId="11" fillId="0" borderId="0" applyAlignment="1" pivotButton="0" quotePrefix="0" xfId="0">
      <alignment horizontal="left"/>
    </xf>
    <xf numFmtId="1" fontId="8" fillId="0" borderId="0" pivotButton="0" quotePrefix="0" xfId="0"/>
    <xf numFmtId="1" fontId="8" fillId="5" borderId="0" pivotButton="0" quotePrefix="0" xfId="0"/>
    <xf numFmtId="168" fontId="2" fillId="0" borderId="2" applyAlignment="1" pivotButton="0" quotePrefix="0" xfId="0">
      <alignment horizontal="left"/>
    </xf>
    <xf numFmtId="169" fontId="11" fillId="0" borderId="0" applyAlignment="1" pivotButton="0" quotePrefix="0" xfId="0">
      <alignment horizontal="right"/>
    </xf>
    <xf numFmtId="168" fontId="2" fillId="0" borderId="0" pivotButton="0" quotePrefix="0" xfId="0"/>
    <xf numFmtId="168" fontId="2" fillId="0" borderId="3" pivotButton="0" quotePrefix="0" xfId="0"/>
    <xf numFmtId="168" fontId="2" fillId="0" borderId="6" pivotButton="0" quotePrefix="0" xfId="0"/>
    <xf numFmtId="168" fontId="2" fillId="0" borderId="5" pivotButton="0" quotePrefix="0" xfId="0"/>
    <xf numFmtId="168" fontId="2" fillId="0" borderId="4" pivotButton="0" quotePrefix="0" xfId="0"/>
    <xf numFmtId="169" fontId="2" fillId="0" borderId="0" pivotButton="0" quotePrefix="0" xfId="0"/>
    <xf numFmtId="1" fontId="11" fillId="0" borderId="1" pivotButton="0" quotePrefix="0" xfId="0"/>
    <xf numFmtId="1" fontId="11" fillId="0" borderId="13" pivotButton="0" quotePrefix="0" xfId="0"/>
    <xf numFmtId="3" fontId="2" fillId="0" borderId="0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23" fillId="2" borderId="0" applyAlignment="1" pivotButton="0" quotePrefix="0" xfId="0">
      <alignment vertical="center"/>
    </xf>
    <xf numFmtId="10" fontId="2" fillId="0" borderId="0" pivotButton="0" quotePrefix="0" xfId="4"/>
    <xf numFmtId="0" fontId="11" fillId="0" borderId="2" pivotButton="0" quotePrefix="0" xfId="0"/>
    <xf numFmtId="0" fontId="11" fillId="0" borderId="1" pivotButton="0" quotePrefix="0" xfId="0"/>
    <xf numFmtId="0" fontId="2" fillId="0" borderId="13" pivotButton="0" quotePrefix="0" xfId="0"/>
    <xf numFmtId="0" fontId="11" fillId="0" borderId="13" pivotButton="0" quotePrefix="0" xfId="0"/>
    <xf numFmtId="0" fontId="11" fillId="0" borderId="12" pivotButton="0" quotePrefix="0" xfId="0"/>
    <xf numFmtId="0" fontId="2" fillId="0" borderId="0" pivotButton="0" quotePrefix="1" xfId="0"/>
  </cellXfs>
  <cellStyles count="5">
    <cellStyle name="Normal" xfId="0" builtinId="0"/>
    <cellStyle name="Comma 10" xfId="1"/>
    <cellStyle name="Comma 2" xfId="2"/>
    <cellStyle name="Comma" xfId="3" builtinId="3"/>
    <cellStyle name="Percent" xfId="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Kulpins, Andrea</author>
    <author>Andrea Kulpins</author>
  </authors>
  <commentList>
    <comment ref="E6" authorId="0" shapeId="0">
      <text>
        <t>Kulpins, Andrea:
https://pages.stern.nyu.edu/~adamodar/New_Home_Page/datafile/ctryprem.html</t>
      </text>
    </comment>
    <comment ref="E7" authorId="1" shapeId="0">
      <text>
        <t>Andrea Kulpins:
https://www.wsj.com/market-data/quotes/bond/BX/TMBMKDK-05Y?mod=searchresults_companyquotes&amp;mod=md_bond_hdr_search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marq-my.sharepoint.com/personal/iannicholas_ortega_marquette_edu/Documents/Microsoft%20Teams%20Chat%20Files/MSFT_valuation%20(4).xlsx" TargetMode="External" Id="rId2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Summary"/>
      <sheetName val="DCF Base"/>
      <sheetName val="DCF Bear"/>
      <sheetName val="DCF Bull"/>
      <sheetName val="3 Statement"/>
      <sheetName val="RV"/>
      <sheetName val="Beta"/>
      <sheetName val="DCF Q"/>
      <sheetName val="3-STMT Q"/>
      <sheetName val="3-STMT Quarterly"/>
      <sheetName val="CF STMT Annual "/>
      <sheetName val="CF STMT Quarterly"/>
    </sheetNames>
    <sheetDataSet>
      <sheetData sheetId="0"/>
      <sheetData sheetId="1"/>
      <sheetData sheetId="2"/>
      <sheetData sheetId="3"/>
      <sheetData sheetId="4"/>
      <sheetData sheetId="5">
        <row r="7">
          <cell r="D7">
            <v>146052</v>
          </cell>
          <cell r="E7">
            <v>171008</v>
          </cell>
          <cell r="F7">
            <v>193893</v>
          </cell>
        </row>
        <row r="12">
          <cell r="D12">
            <v>88523</v>
          </cell>
          <cell r="E12">
            <v>109433</v>
          </cell>
          <cell r="F12">
            <v>128528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Summary"/>
      <sheetName val="DCF Base"/>
      <sheetName val="DCF Bear"/>
      <sheetName val="DCF Bull"/>
      <sheetName val="3 Statement"/>
      <sheetName val="RV"/>
      <sheetName val="Beta"/>
      <sheetName val="DCF Q"/>
      <sheetName val="3-STMT Q"/>
      <sheetName val="3-STMT Quarterly"/>
      <sheetName val="CF STMT Annual "/>
      <sheetName val="CF STMT 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E13">
            <v>0.44644299573273716</v>
          </cell>
          <cell r="F13">
            <v>0.45621956240859851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OBA chai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E98AB"/>
      </a:accent1>
      <a:accent2>
        <a:srgbClr val="BCAE51"/>
      </a:accent2>
      <a:accent3>
        <a:srgbClr val="588088"/>
      </a:accent3>
      <a:accent4>
        <a:srgbClr val="114874"/>
      </a:accent4>
      <a:accent5>
        <a:srgbClr val="3B594B"/>
      </a:accent5>
      <a:accent6>
        <a:srgbClr val="8AA59F"/>
      </a:accent6>
      <a:hlink>
        <a:srgbClr val="000000"/>
      </a:hlink>
      <a:folHlink>
        <a:srgbClr val="D9D9D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B4"/>
  <sheetViews>
    <sheetView showGridLines="0" tabSelected="1" workbookViewId="0">
      <selection activeCell="L16" sqref="L16"/>
    </sheetView>
  </sheetViews>
  <sheetFormatPr baseColWidth="8" defaultColWidth="8.88671875" defaultRowHeight="16.8"/>
  <cols>
    <col width="2.88671875" customWidth="1" style="1" min="1" max="1"/>
    <col width="8.88671875" customWidth="1" style="1" min="2" max="16384"/>
  </cols>
  <sheetData>
    <row r="2" ht="30.6" customHeight="1">
      <c r="B2" s="77" t="inlineStr">
        <is>
          <t>Microsoft Corporation</t>
        </is>
      </c>
    </row>
    <row r="3" ht="24.6" customHeight="1">
      <c r="B3" s="55" t="inlineStr">
        <is>
          <t>MSFT</t>
        </is>
      </c>
    </row>
    <row r="4" ht="24.6" customHeight="1">
      <c r="B4" s="55" t="inlineStr">
        <is>
          <t>12/04/2025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J21"/>
  <sheetViews>
    <sheetView showGridLines="0" workbookViewId="0">
      <selection activeCell="C6" sqref="C6"/>
    </sheetView>
  </sheetViews>
  <sheetFormatPr baseColWidth="8" defaultColWidth="8.88671875" defaultRowHeight="16.8"/>
  <cols>
    <col width="2.88671875" customWidth="1" style="1" min="1" max="1"/>
    <col width="29.109375" bestFit="1" customWidth="1" style="1" min="2" max="2"/>
    <col width="12" customWidth="1" style="1" min="3" max="3"/>
    <col width="12" bestFit="1" customWidth="1" style="1" min="4" max="4"/>
    <col width="8.88671875" customWidth="1" style="1" min="5" max="16384"/>
  </cols>
  <sheetData>
    <row r="2" ht="21.6" customHeight="1">
      <c r="B2" s="80" t="inlineStr">
        <is>
          <t>Microsoft Corporation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B3" s="1" t="inlineStr">
        <is>
          <t>Ticker</t>
        </is>
      </c>
      <c r="C3" t="inlineStr">
        <is>
          <t>MSFT</t>
        </is>
      </c>
    </row>
    <row r="4">
      <c r="B4" s="1" t="inlineStr">
        <is>
          <t>Current Stock Price</t>
        </is>
      </c>
      <c r="C4" s="121" t="n">
        <v>477.73</v>
      </c>
      <c r="D4" s="64" t="inlineStr">
        <is>
          <t>As of 12/04/2025</t>
        </is>
      </c>
      <c r="E4" s="64" t="n"/>
      <c r="F4" s="64" t="n"/>
      <c r="G4" s="64" t="n"/>
    </row>
    <row r="5">
      <c r="B5" s="21" t="inlineStr">
        <is>
          <t>Weighted Implied Stock Price</t>
        </is>
      </c>
      <c r="C5" s="122">
        <f>(C9*D9)+(C10*D10)</f>
        <v/>
      </c>
      <c r="D5" s="64" t="n"/>
      <c r="E5" s="64" t="n"/>
      <c r="F5" s="64" t="n"/>
      <c r="G5" s="64" t="n"/>
    </row>
    <row r="6">
      <c r="B6" s="1" t="inlineStr">
        <is>
          <t>Implied Upside/Downside</t>
        </is>
      </c>
      <c r="C6" s="117">
        <f>(C4/C5-1)</f>
        <v/>
      </c>
      <c r="D6" s="64" t="n"/>
      <c r="E6" s="79" t="n"/>
      <c r="F6" s="79" t="n"/>
      <c r="G6" s="64" t="n"/>
    </row>
    <row r="7">
      <c r="C7" s="64" t="n"/>
      <c r="D7" s="64" t="n"/>
      <c r="E7" s="64" t="n"/>
      <c r="F7" s="64" t="n"/>
      <c r="G7" s="64" t="n"/>
    </row>
    <row r="8">
      <c r="B8" s="18" t="inlineStr">
        <is>
          <t>Method</t>
        </is>
      </c>
      <c r="C8" s="118" t="inlineStr">
        <is>
          <t>Weight</t>
        </is>
      </c>
      <c r="D8" s="118" t="inlineStr">
        <is>
          <t>Price Target</t>
        </is>
      </c>
      <c r="E8" s="64" t="n"/>
      <c r="F8" s="64" t="n"/>
      <c r="G8" s="64" t="n"/>
    </row>
    <row r="9">
      <c r="B9" s="1" t="inlineStr">
        <is>
          <t>DCF</t>
        </is>
      </c>
      <c r="C9" s="119" t="n">
        <v>0.5</v>
      </c>
      <c r="D9" s="120">
        <f>(C13*D13)+(C14*D14)+(C15*D15)</f>
        <v/>
      </c>
      <c r="E9" s="64" t="n"/>
      <c r="F9" s="64" t="n"/>
      <c r="G9" s="64" t="n"/>
    </row>
    <row r="10">
      <c r="B10" s="1" t="inlineStr">
        <is>
          <t>Relative Valuation</t>
        </is>
      </c>
      <c r="C10" s="119" t="n">
        <v>0.5</v>
      </c>
      <c r="D10" s="120">
        <f>(C18*D18)+(C19*D19)+(C20*D20)+(C21*D21)</f>
        <v/>
      </c>
      <c r="E10" s="64" t="n"/>
      <c r="F10" s="64" t="n"/>
      <c r="G10" s="64" t="n"/>
    </row>
    <row r="11">
      <c r="C11" s="64" t="n"/>
      <c r="D11" s="64" t="n"/>
      <c r="E11" s="64" t="n"/>
      <c r="F11" s="64" t="n"/>
      <c r="G11" s="64" t="n"/>
    </row>
    <row r="12">
      <c r="B12" s="18" t="inlineStr">
        <is>
          <t>DCF Case</t>
        </is>
      </c>
      <c r="C12" s="118" t="inlineStr">
        <is>
          <t>Weight</t>
        </is>
      </c>
      <c r="D12" s="118" t="inlineStr">
        <is>
          <t>Price Target</t>
        </is>
      </c>
      <c r="E12" s="64" t="n"/>
      <c r="F12" s="64" t="n"/>
      <c r="G12" s="64" t="n"/>
    </row>
    <row r="13">
      <c r="B13" s="1" t="inlineStr">
        <is>
          <t>Base</t>
        </is>
      </c>
      <c r="C13" s="119" t="n">
        <v>0.6</v>
      </c>
      <c r="D13" s="120">
        <f>'DCF Base'!K48</f>
        <v/>
      </c>
      <c r="E13" s="64" t="n"/>
      <c r="F13" s="64" t="n"/>
      <c r="G13" s="64" t="n"/>
    </row>
    <row r="14">
      <c r="B14" s="1" t="inlineStr">
        <is>
          <t xml:space="preserve">Bear </t>
        </is>
      </c>
      <c r="C14" s="119" t="n">
        <v>0.2</v>
      </c>
      <c r="D14" s="120">
        <f>'DCF Bear'!K48</f>
        <v/>
      </c>
      <c r="E14" s="64" t="n"/>
      <c r="F14" s="64" t="n"/>
      <c r="G14" s="64" t="n"/>
    </row>
    <row r="15">
      <c r="B15" s="1" t="inlineStr">
        <is>
          <t>Bull</t>
        </is>
      </c>
      <c r="C15" s="119" t="n">
        <v>0.2</v>
      </c>
      <c r="D15" s="120">
        <f>'DCF Bull'!K48</f>
        <v/>
      </c>
      <c r="E15" s="64" t="n"/>
      <c r="F15" s="64" t="n"/>
      <c r="G15" s="64" t="n"/>
    </row>
    <row r="16">
      <c r="C16" s="64" t="n"/>
      <c r="D16" s="64" t="n"/>
      <c r="E16" s="64" t="n"/>
      <c r="F16" s="64" t="n"/>
      <c r="G16" s="64" t="n"/>
    </row>
    <row r="17">
      <c r="B17" s="18" t="inlineStr">
        <is>
          <t>Relative Method</t>
        </is>
      </c>
      <c r="C17" s="118" t="inlineStr">
        <is>
          <t>Weight</t>
        </is>
      </c>
      <c r="D17" s="118" t="inlineStr">
        <is>
          <t>Price Target</t>
        </is>
      </c>
    </row>
    <row r="18">
      <c r="B18" s="1" t="inlineStr">
        <is>
          <t>EV/Sales</t>
        </is>
      </c>
      <c r="C18" s="119">
        <f>RV!J5</f>
        <v/>
      </c>
      <c r="D18" s="120">
        <f>RV!D13</f>
        <v/>
      </c>
    </row>
    <row r="19">
      <c r="B19" s="1" t="inlineStr">
        <is>
          <t>Price/Sales</t>
        </is>
      </c>
      <c r="C19" s="119">
        <f>RV!J6</f>
        <v/>
      </c>
      <c r="D19" s="120">
        <f>RV!E13</f>
        <v/>
      </c>
    </row>
    <row r="20">
      <c r="B20" s="1" t="inlineStr">
        <is>
          <t>Price/Earnings</t>
        </is>
      </c>
      <c r="C20" s="119">
        <f>RV!J7</f>
        <v/>
      </c>
      <c r="D20" s="120">
        <f>RV!F13</f>
        <v/>
      </c>
    </row>
    <row r="21">
      <c r="B21" s="1" t="inlineStr">
        <is>
          <t>Price/Book Value</t>
        </is>
      </c>
      <c r="C21" s="119">
        <f>RV!J8</f>
        <v/>
      </c>
      <c r="D21" s="120">
        <f>RV!G13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ZZ58"/>
  <sheetViews>
    <sheetView showGridLines="0" zoomScale="75" zoomScaleNormal="100" workbookViewId="0">
      <selection activeCell="K45" sqref="K45"/>
    </sheetView>
  </sheetViews>
  <sheetFormatPr baseColWidth="8" defaultColWidth="8.88671875" defaultRowHeight="16.8"/>
  <cols>
    <col width="2.88671875" customWidth="1" style="1" min="1" max="1"/>
    <col width="21.109375" bestFit="1" customWidth="1" style="1" min="2" max="2"/>
    <col width="6.5546875" customWidth="1" style="1" min="3" max="3"/>
    <col width="12.88671875" customWidth="1" style="1" min="4" max="12"/>
    <col width="21.44140625" bestFit="1" customWidth="1" style="1" min="13" max="13"/>
    <col width="11.5546875" customWidth="1" style="1" min="14" max="14"/>
    <col width="8.88671875" customWidth="1" style="1" min="15" max="16384"/>
    <col hidden="1" width="13" customWidth="1" min="702" max="702"/>
  </cols>
  <sheetData>
    <row r="1">
      <c r="A1" s="2" t="n"/>
      <c r="K1" s="2" t="n"/>
      <c r="ZZ1" t="inlineStr">
        <is>
          <t>model_role</t>
        </is>
      </c>
    </row>
    <row r="2" ht="21.6" customHeight="1">
      <c r="B2" s="138" t="inlineStr">
        <is>
          <t>Microsoft Corporation DCF Base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M2" s="2" t="n"/>
    </row>
    <row r="3">
      <c r="G3" s="2" t="n"/>
    </row>
    <row r="4">
      <c r="B4" s="17" t="inlineStr">
        <is>
          <t>WACC</t>
        </is>
      </c>
      <c r="C4" s="16" t="n"/>
      <c r="D4" s="16" t="n"/>
      <c r="E4" s="16" t="n">
        <v>0.1</v>
      </c>
      <c r="G4" s="17" t="inlineStr">
        <is>
          <t xml:space="preserve">Other Assumptions </t>
        </is>
      </c>
      <c r="H4" s="16" t="n"/>
      <c r="I4" s="16" t="n"/>
      <c r="J4" s="16" t="n"/>
    </row>
    <row r="5">
      <c r="B5" s="3" t="inlineStr">
        <is>
          <t xml:space="preserve">Beta </t>
        </is>
      </c>
      <c r="E5" s="105">
        <f>Beta!C5</f>
        <v/>
      </c>
      <c r="G5" s="1" t="inlineStr">
        <is>
          <t xml:space="preserve">Fiscal Year End </t>
        </is>
      </c>
      <c r="J5" s="28" t="n">
        <v>46022</v>
      </c>
    </row>
    <row r="6">
      <c r="B6" s="3" t="inlineStr">
        <is>
          <t xml:space="preserve">Market Risk Premium </t>
        </is>
      </c>
      <c r="E6" s="31" t="n">
        <v>0.0433</v>
      </c>
      <c r="G6" s="3" t="inlineStr">
        <is>
          <t xml:space="preserve">LTGR </t>
        </is>
      </c>
      <c r="J6" s="24" t="n">
        <v>0.025</v>
      </c>
      <c r="N6" s="44" t="n"/>
      <c r="ZZ6" t="inlineStr">
        <is>
          <t>BS_ACCOUNTS_RECEIVABLE</t>
        </is>
      </c>
    </row>
    <row r="7">
      <c r="B7" s="3" t="inlineStr">
        <is>
          <t xml:space="preserve">Risk Free Rate </t>
        </is>
      </c>
      <c r="E7" s="31" t="n">
        <v>0.0406</v>
      </c>
      <c r="G7" s="3" t="inlineStr">
        <is>
          <t>Cash &amp; Equivalents</t>
        </is>
      </c>
      <c r="J7" s="25" t="n">
        <v>30242</v>
      </c>
      <c r="N7" s="45" t="n"/>
    </row>
    <row r="8">
      <c r="B8" s="3" t="inlineStr">
        <is>
          <t xml:space="preserve">Cost of Equity </t>
        </is>
      </c>
      <c r="E8" s="32">
        <f>E7+(E5*E6)</f>
        <v/>
      </c>
      <c r="G8" s="3" t="inlineStr">
        <is>
          <t>Shares Outstanding</t>
        </is>
      </c>
      <c r="J8" s="26" t="n">
        <v>7465</v>
      </c>
    </row>
    <row r="9">
      <c r="B9" s="3" t="inlineStr">
        <is>
          <t xml:space="preserve">Weight of Equity </t>
        </is>
      </c>
      <c r="E9" s="32">
        <f>J10/SUM(J10:J11)</f>
        <v/>
      </c>
      <c r="G9" s="3" t="inlineStr">
        <is>
          <t xml:space="preserve">Current Price </t>
        </is>
      </c>
      <c r="J9" s="27" t="n">
        <v>477.73</v>
      </c>
    </row>
    <row r="10">
      <c r="B10" s="3" t="inlineStr">
        <is>
          <t xml:space="preserve">Cost of Debt </t>
        </is>
      </c>
      <c r="E10" s="33">
        <f>'3 Statement'!O9</f>
        <v/>
      </c>
      <c r="G10" s="3" t="inlineStr">
        <is>
          <t xml:space="preserve">Mkt Cap </t>
        </is>
      </c>
      <c r="J10" s="29" t="n">
        <v>3550971.766977</v>
      </c>
      <c r="ZZ10" t="inlineStr">
        <is>
          <t>BS_DEBT_CURRENT</t>
        </is>
      </c>
    </row>
    <row r="11">
      <c r="B11" s="5" t="inlineStr">
        <is>
          <t xml:space="preserve">After Tax CoD </t>
        </is>
      </c>
      <c r="E11" s="75">
        <f>E10*(1-E13)</f>
        <v/>
      </c>
      <c r="G11" s="3" t="inlineStr">
        <is>
          <t>Net Debt</t>
        </is>
      </c>
      <c r="J11" s="26" t="n">
        <v>60588</v>
      </c>
    </row>
    <row r="12">
      <c r="B12" s="3" t="inlineStr">
        <is>
          <t xml:space="preserve">Weight of Debt </t>
        </is>
      </c>
      <c r="E12" s="75">
        <f>1-E9</f>
        <v/>
      </c>
      <c r="G12" s="1" t="inlineStr">
        <is>
          <t>Financial Units</t>
        </is>
      </c>
      <c r="J12" s="44" t="inlineStr">
        <is>
          <t>USD in millions</t>
        </is>
      </c>
      <c r="ZZ12" t="inlineStr">
        <is>
          <t>BS_DEBT_CURRENT</t>
        </is>
      </c>
    </row>
    <row r="13">
      <c r="B13" s="3" t="inlineStr">
        <is>
          <t xml:space="preserve">Tax Rate </t>
        </is>
      </c>
      <c r="E13" s="35">
        <f>'3 Statement'!O8</f>
        <v/>
      </c>
    </row>
    <row r="14" ht="17.4" customHeight="1" thickBot="1">
      <c r="B14" s="6" t="inlineStr">
        <is>
          <t xml:space="preserve">WACC </t>
        </is>
      </c>
      <c r="C14" s="6" t="n"/>
      <c r="D14" s="6" t="n"/>
      <c r="E14" s="106">
        <f>(E9*E8)+(E12*E10*(1-E13))</f>
        <v/>
      </c>
    </row>
    <row r="15" ht="17.4" customHeight="1" thickTop="1"/>
    <row r="16">
      <c r="B16" s="18" t="inlineStr">
        <is>
          <t xml:space="preserve">Free Cash Flow  </t>
        </is>
      </c>
      <c r="C16" s="19" t="n"/>
      <c r="D16" s="19" t="n">
        <v>2023</v>
      </c>
      <c r="E16" s="19" t="n">
        <v>2024</v>
      </c>
      <c r="F16" s="19" t="n">
        <v>2025</v>
      </c>
      <c r="G16" s="19" t="inlineStr">
        <is>
          <t>2026 E</t>
        </is>
      </c>
      <c r="H16" s="19" t="inlineStr">
        <is>
          <t>2027 E</t>
        </is>
      </c>
      <c r="I16" s="19" t="inlineStr">
        <is>
          <t>2028 E</t>
        </is>
      </c>
      <c r="J16" s="19" t="inlineStr">
        <is>
          <t>2029 E</t>
        </is>
      </c>
      <c r="K16" s="19" t="inlineStr">
        <is>
          <t>2030 E</t>
        </is>
      </c>
      <c r="M16" s="21" t="n"/>
      <c r="ZZ16" t="inlineStr">
        <is>
          <t>BS_CASH</t>
        </is>
      </c>
    </row>
    <row r="17">
      <c r="B17" s="3" t="inlineStr">
        <is>
          <t xml:space="preserve">Revenue </t>
        </is>
      </c>
      <c r="D17" s="1">
        <f>'3 Statement'!D5</f>
        <v/>
      </c>
      <c r="E17" s="1">
        <f>'3 Statement'!E5</f>
        <v/>
      </c>
      <c r="F17" s="1">
        <f>'3 Statement'!F5</f>
        <v/>
      </c>
      <c r="G17" s="90">
        <f>'3 Statement'!G5</f>
        <v/>
      </c>
      <c r="H17" s="90">
        <f>'3 Statement'!H5</f>
        <v/>
      </c>
      <c r="I17" s="90">
        <f>'3 Statement'!I5</f>
        <v/>
      </c>
      <c r="J17" s="90">
        <f>'3 Statement'!J5</f>
        <v/>
      </c>
      <c r="K17" s="90">
        <f>'3 Statement'!K5</f>
        <v/>
      </c>
      <c r="O17" s="69" t="n"/>
      <c r="P17" s="69" t="n"/>
      <c r="Q17" s="69" t="n"/>
      <c r="R17" s="69" t="n"/>
      <c r="S17" s="69" t="n"/>
      <c r="ZZ17" t="inlineStr">
        <is>
          <t>IS_REVENUE</t>
        </is>
      </c>
    </row>
    <row r="18">
      <c r="B18" s="37" t="inlineStr">
        <is>
          <t xml:space="preserve">Revenue Growth (%) </t>
        </is>
      </c>
      <c r="E18" s="69">
        <f>E17/D17-1</f>
        <v/>
      </c>
      <c r="F18" s="69">
        <f>F17/E17-1</f>
        <v/>
      </c>
      <c r="G18" s="93">
        <f>0.03</f>
        <v/>
      </c>
      <c r="H18" s="93">
        <f>0.03</f>
        <v/>
      </c>
      <c r="I18" s="93">
        <f>0.03</f>
        <v/>
      </c>
      <c r="J18" s="93">
        <f>0.03</f>
        <v/>
      </c>
      <c r="K18" s="93">
        <f>0.03</f>
        <v/>
      </c>
      <c r="O18" s="20" t="n"/>
      <c r="ZZ18" t="inlineStr">
        <is>
          <t>IS_REVENUE</t>
        </is>
      </c>
    </row>
    <row r="19">
      <c r="B19" s="3" t="inlineStr">
        <is>
          <t xml:space="preserve">(-) COGS </t>
        </is>
      </c>
      <c r="D19" s="1">
        <f>'3 Statement'!D6</f>
        <v/>
      </c>
      <c r="E19" s="1">
        <f>'3 Statement'!E6</f>
        <v/>
      </c>
      <c r="F19" s="1">
        <f>'3 Statement'!F6</f>
        <v/>
      </c>
      <c r="G19" s="90">
        <f>G17-G20</f>
        <v/>
      </c>
      <c r="H19" s="90">
        <f>H17-H20</f>
        <v/>
      </c>
      <c r="I19" s="90">
        <f>I17-I20</f>
        <v/>
      </c>
      <c r="J19" s="90">
        <f>J17-J20</f>
        <v/>
      </c>
      <c r="K19" s="90">
        <f>K17-K20</f>
        <v/>
      </c>
      <c r="O19" s="20" t="n"/>
      <c r="ZZ19" t="inlineStr">
        <is>
          <t>IS_COGS</t>
        </is>
      </c>
    </row>
    <row r="20">
      <c r="B20" s="8" t="inlineStr">
        <is>
          <t xml:space="preserve">GP </t>
        </is>
      </c>
      <c r="C20" s="22" t="n"/>
      <c r="D20" s="22">
        <f>D17-D19</f>
        <v/>
      </c>
      <c r="E20" s="22">
        <f>E17-E19</f>
        <v/>
      </c>
      <c r="F20" s="22">
        <f>F17-F19</f>
        <v/>
      </c>
      <c r="G20" s="91">
        <f>G21*G17</f>
        <v/>
      </c>
      <c r="H20" s="91">
        <f>H21*H17</f>
        <v/>
      </c>
      <c r="I20" s="91">
        <f>I21*I17</f>
        <v/>
      </c>
      <c r="J20" s="91">
        <f>J21*J17</f>
        <v/>
      </c>
      <c r="K20" s="91">
        <f>K21*K17</f>
        <v/>
      </c>
    </row>
    <row r="21">
      <c r="B21" s="37" t="inlineStr">
        <is>
          <t xml:space="preserve">GP Margin (%) </t>
        </is>
      </c>
      <c r="D21" s="20">
        <f>D20/D17</f>
        <v/>
      </c>
      <c r="E21" s="69">
        <f>E20/E17</f>
        <v/>
      </c>
      <c r="F21" s="69">
        <f>F20/F17</f>
        <v/>
      </c>
      <c r="G21" s="89">
        <f>0.7</f>
        <v/>
      </c>
      <c r="H21" s="89">
        <f>0.7</f>
        <v/>
      </c>
      <c r="I21" s="89">
        <f>0.7</f>
        <v/>
      </c>
      <c r="J21" s="89">
        <f>0.7</f>
        <v/>
      </c>
      <c r="K21" s="89">
        <f>0.7</f>
        <v/>
      </c>
      <c r="O21" s="68" t="n"/>
      <c r="ZZ21" t="inlineStr">
        <is>
          <t>BS_ACCOUNTS_RECEIVABLE</t>
        </is>
      </c>
    </row>
    <row r="22">
      <c r="B22" s="7" t="n"/>
      <c r="G22" s="83" t="n"/>
      <c r="H22" s="83" t="n"/>
      <c r="I22" s="83" t="n"/>
      <c r="J22" s="83" t="n"/>
      <c r="K22" s="83" t="n"/>
      <c r="O22" s="68" t="n"/>
    </row>
    <row r="23">
      <c r="B23" s="3" t="inlineStr">
        <is>
          <t>(-) Op Ex</t>
        </is>
      </c>
      <c r="D23" s="1">
        <f>-('[1]3 Statement'!D12-'[1]3 Statement'!D7)</f>
        <v/>
      </c>
      <c r="E23" s="1">
        <f>-('[1]3 Statement'!E12-'[1]3 Statement'!E7)</f>
        <v/>
      </c>
      <c r="F23" s="1">
        <f>-('[1]3 Statement'!F12-'[1]3 Statement'!F7)</f>
        <v/>
      </c>
      <c r="G23" s="90">
        <f>G20-G24</f>
        <v/>
      </c>
      <c r="H23" s="90">
        <f>H20-H24</f>
        <v/>
      </c>
      <c r="I23" s="90">
        <f>I20-I24</f>
        <v/>
      </c>
      <c r="J23" s="90">
        <f>J20-J24</f>
        <v/>
      </c>
      <c r="K23" s="90">
        <f>K20-K24</f>
        <v/>
      </c>
      <c r="ZZ23" t="inlineStr">
        <is>
          <t>IS_OPERATING_EXPENSE</t>
        </is>
      </c>
    </row>
    <row r="24">
      <c r="B24" s="9" t="inlineStr">
        <is>
          <t xml:space="preserve">EBIT </t>
        </is>
      </c>
      <c r="C24" s="22" t="n"/>
      <c r="D24" s="22">
        <f>D20-D23</f>
        <v/>
      </c>
      <c r="E24" s="22">
        <f>E20-E23</f>
        <v/>
      </c>
      <c r="F24" s="22">
        <f>F20-F23</f>
        <v/>
      </c>
      <c r="G24" s="96">
        <f>G25*G17</f>
        <v/>
      </c>
      <c r="H24" s="96">
        <f>H25*H17</f>
        <v/>
      </c>
      <c r="I24" s="96">
        <f>I25*I17</f>
        <v/>
      </c>
      <c r="J24" s="96">
        <f>J25*J17</f>
        <v/>
      </c>
      <c r="K24" s="96">
        <f>K25*K17</f>
        <v/>
      </c>
      <c r="ZZ24" t="inlineStr">
        <is>
          <t>IS_EBIT</t>
        </is>
      </c>
    </row>
    <row r="25">
      <c r="B25" s="7" t="inlineStr">
        <is>
          <t>EBIT Margin (%)</t>
        </is>
      </c>
      <c r="D25" s="69">
        <f>D24/D17</f>
        <v/>
      </c>
      <c r="E25" s="69">
        <f>'[2]3 Statement'!E13</f>
        <v/>
      </c>
      <c r="F25" s="69">
        <f>'[2]3 Statement'!F13</f>
        <v/>
      </c>
      <c r="G25" s="89">
        <f>0.5</f>
        <v/>
      </c>
      <c r="H25" s="89">
        <f>0.5</f>
        <v/>
      </c>
      <c r="I25" s="89">
        <f>0.5</f>
        <v/>
      </c>
      <c r="J25" s="89">
        <f>0.5</f>
        <v/>
      </c>
      <c r="K25" s="89">
        <f>0.5</f>
        <v/>
      </c>
      <c r="N25" s="2" t="n"/>
      <c r="ZZ25" t="inlineStr">
        <is>
          <t>IS_EBIT</t>
        </is>
      </c>
    </row>
    <row r="26">
      <c r="B26" s="7" t="n"/>
      <c r="G26" s="83" t="n"/>
      <c r="H26" s="83" t="n"/>
      <c r="I26" s="83" t="n"/>
      <c r="J26" s="83" t="n"/>
      <c r="K26" s="83" t="n"/>
    </row>
    <row r="27">
      <c r="B27" s="10" t="inlineStr">
        <is>
          <t xml:space="preserve">NOPAT </t>
        </is>
      </c>
      <c r="D27" s="47">
        <f>D24*(1-$E$13)</f>
        <v/>
      </c>
      <c r="E27" s="47">
        <f>E24*(1-$E$13)</f>
        <v/>
      </c>
      <c r="F27" s="47">
        <f>F24*(1-$E$13)</f>
        <v/>
      </c>
      <c r="G27" s="87">
        <f>G24*(1-$E$13)</f>
        <v/>
      </c>
      <c r="H27" s="87">
        <f>H24*(1-$E$13)</f>
        <v/>
      </c>
      <c r="I27" s="87">
        <f>I24*(1-$E$13)</f>
        <v/>
      </c>
      <c r="J27" s="87">
        <f>J24*(1-$E$13)</f>
        <v/>
      </c>
      <c r="K27" s="87">
        <f>K24*(1-$E$13)</f>
        <v/>
      </c>
      <c r="ZZ27" t="inlineStr">
        <is>
          <t>IS_NOPAT</t>
        </is>
      </c>
    </row>
    <row r="28">
      <c r="B28" s="3" t="inlineStr">
        <is>
          <t xml:space="preserve">(+) D&amp;A </t>
        </is>
      </c>
      <c r="D28" s="1">
        <f>'3 Statement'!D71</f>
        <v/>
      </c>
      <c r="E28" s="1">
        <f>'3 Statement'!E71</f>
        <v/>
      </c>
      <c r="F28" s="1">
        <f>'3 Statement'!F71</f>
        <v/>
      </c>
      <c r="G28" s="90">
        <f>0.15*G17</f>
        <v/>
      </c>
      <c r="H28" s="90">
        <f>0.15*H17</f>
        <v/>
      </c>
      <c r="I28" s="90">
        <f>0.15*I17</f>
        <v/>
      </c>
      <c r="J28" s="90">
        <f>0.15*J17</f>
        <v/>
      </c>
      <c r="K28" s="90">
        <f>0.15*K17</f>
        <v/>
      </c>
      <c r="ZZ28" t="inlineStr">
        <is>
          <t>CF_DEPRECIATION</t>
        </is>
      </c>
    </row>
    <row r="29">
      <c r="B29" s="3" t="inlineStr">
        <is>
          <t>(-) CapEx</t>
        </is>
      </c>
      <c r="D29" s="1">
        <f>'3 Statement'!D78</f>
        <v/>
      </c>
      <c r="E29" s="1">
        <f>'3 Statement'!E78</f>
        <v/>
      </c>
      <c r="F29" s="1">
        <f>'3 Statement'!F78</f>
        <v/>
      </c>
      <c r="G29" s="90">
        <f>'3 Statement'!G78</f>
        <v/>
      </c>
      <c r="H29" s="90">
        <f>'3 Statement'!H78</f>
        <v/>
      </c>
      <c r="I29" s="90">
        <f>'3 Statement'!I78</f>
        <v/>
      </c>
      <c r="J29" s="90">
        <f>'3 Statement'!J78</f>
        <v/>
      </c>
      <c r="K29" s="90">
        <f>'3 Statement'!K78</f>
        <v/>
      </c>
      <c r="ZZ29" t="inlineStr">
        <is>
          <t>CF_CAPEX</t>
        </is>
      </c>
    </row>
    <row r="30">
      <c r="B30" s="3" t="inlineStr">
        <is>
          <t xml:space="preserve">(-) Changes in WC </t>
        </is>
      </c>
      <c r="D30" s="1">
        <f>'3 Statement'!D74</f>
        <v/>
      </c>
      <c r="E30" s="1">
        <f>'3 Statement'!E74</f>
        <v/>
      </c>
      <c r="F30" s="1">
        <f>'3 Statement'!F74</f>
        <v/>
      </c>
      <c r="G30" s="90">
        <f>'3 Statement'!G74</f>
        <v/>
      </c>
      <c r="H30" s="90">
        <f>'3 Statement'!H74</f>
        <v/>
      </c>
      <c r="I30" s="90">
        <f>'3 Statement'!I74</f>
        <v/>
      </c>
      <c r="J30" s="90">
        <f>'3 Statement'!J74</f>
        <v/>
      </c>
      <c r="K30" s="90">
        <f>'3 Statement'!K74</f>
        <v/>
      </c>
      <c r="ZZ30" t="inlineStr">
        <is>
          <t>CF_CHANGE_IN_WORKING_CAPITAL</t>
        </is>
      </c>
    </row>
    <row r="31">
      <c r="B31" s="9" t="inlineStr">
        <is>
          <t xml:space="preserve">Unlevered Free Cash Flow </t>
        </is>
      </c>
      <c r="C31" s="22" t="n"/>
      <c r="D31" s="23">
        <f>D27+D28+D29+D30</f>
        <v/>
      </c>
      <c r="E31" s="23">
        <f>E27+E28+E29+E30</f>
        <v/>
      </c>
      <c r="F31" s="23">
        <f>F27+F28+F29+F30</f>
        <v/>
      </c>
      <c r="G31" s="88">
        <f>G27+G28+G29+G30</f>
        <v/>
      </c>
      <c r="H31" s="88">
        <f>H27+H28+H29+H30</f>
        <v/>
      </c>
      <c r="I31" s="88">
        <f>I27+I28+I29+I30</f>
        <v/>
      </c>
      <c r="J31" s="88">
        <f>J27+J28+J29+J30</f>
        <v/>
      </c>
      <c r="K31" s="88">
        <f>K27+K28+K29+K30</f>
        <v/>
      </c>
      <c r="ZZ31" t="inlineStr">
        <is>
          <t>BS_CASH</t>
        </is>
      </c>
    </row>
    <row r="32"/>
    <row r="33">
      <c r="B33" s="17" t="inlineStr">
        <is>
          <t xml:space="preserve">DCF </t>
        </is>
      </c>
      <c r="C33" s="19" t="n"/>
      <c r="D33" s="19" t="n"/>
      <c r="E33" s="19" t="n"/>
      <c r="F33" s="19" t="n"/>
      <c r="G33" s="19" t="inlineStr">
        <is>
          <t>2026 E</t>
        </is>
      </c>
      <c r="H33" s="19" t="inlineStr">
        <is>
          <t>2027 E</t>
        </is>
      </c>
      <c r="I33" s="19" t="inlineStr">
        <is>
          <t>2028 E</t>
        </is>
      </c>
      <c r="J33" s="19" t="inlineStr">
        <is>
          <t>2029 E</t>
        </is>
      </c>
      <c r="K33" s="19" t="inlineStr">
        <is>
          <t>2030 E</t>
        </is>
      </c>
    </row>
    <row r="34">
      <c r="B34" s="3" t="inlineStr">
        <is>
          <t xml:space="preserve">Discount Period </t>
        </is>
      </c>
      <c r="G34" s="48">
        <f>YEARFRAC(TODAY(),$J$5)</f>
        <v/>
      </c>
      <c r="H34" s="48">
        <f>G34+1</f>
        <v/>
      </c>
      <c r="I34" s="48">
        <f>H34+1</f>
        <v/>
      </c>
      <c r="J34" s="48">
        <f>I34+1</f>
        <v/>
      </c>
      <c r="K34" s="48">
        <f>J34+1</f>
        <v/>
      </c>
      <c r="N34" s="4" t="n"/>
      <c r="O34" s="4" t="n"/>
      <c r="P34" s="4" t="n"/>
    </row>
    <row r="35">
      <c r="B35" s="3" t="inlineStr">
        <is>
          <t xml:space="preserve">Discount Factor </t>
        </is>
      </c>
      <c r="G35" s="49">
        <f>(1/(1+$E$14))^G34</f>
        <v/>
      </c>
      <c r="H35" s="49">
        <f>(1/(1+$E$14))^H34</f>
        <v/>
      </c>
      <c r="I35" s="49">
        <f>(1/(1+$E$14))^I34</f>
        <v/>
      </c>
      <c r="J35" s="49">
        <f>(1/(1+$E$14))^J34</f>
        <v/>
      </c>
      <c r="K35" s="49">
        <f>(1/(1+$E$14))^K34</f>
        <v/>
      </c>
      <c r="N35" s="49" t="n"/>
      <c r="O35" s="49" t="n"/>
      <c r="P35" s="49" t="n"/>
    </row>
    <row r="36">
      <c r="B36" s="3" t="n"/>
      <c r="N36" s="49" t="n"/>
      <c r="O36" s="49" t="n"/>
      <c r="P36" s="49" t="n"/>
    </row>
    <row r="37">
      <c r="B37" s="11" t="inlineStr">
        <is>
          <t xml:space="preserve">PV of UFCF </t>
        </is>
      </c>
      <c r="G37" s="1">
        <f>G31*G35</f>
        <v/>
      </c>
      <c r="H37" s="1">
        <f>H31*H35</f>
        <v/>
      </c>
      <c r="I37" s="1">
        <f>I31*I35</f>
        <v/>
      </c>
      <c r="J37" s="1">
        <f>J31*J35</f>
        <v/>
      </c>
      <c r="K37" s="1">
        <f>K31*K35</f>
        <v/>
      </c>
    </row>
    <row r="38">
      <c r="B38" s="12" t="inlineStr">
        <is>
          <t xml:space="preserve">Total PV of UFCF </t>
        </is>
      </c>
      <c r="K38" s="21">
        <f>SUM(G37:K37)</f>
        <v/>
      </c>
      <c r="N38" s="2" t="n"/>
    </row>
    <row r="39">
      <c r="B39" s="12" t="n"/>
    </row>
    <row r="40">
      <c r="B40" s="11" t="inlineStr">
        <is>
          <t xml:space="preserve">Terminal Value </t>
        </is>
      </c>
      <c r="K40" s="50">
        <f>(K31*(1+J6))/(E14-J6)</f>
        <v/>
      </c>
    </row>
    <row r="41">
      <c r="B41" s="12" t="inlineStr">
        <is>
          <t xml:space="preserve">PV of TV </t>
        </is>
      </c>
      <c r="K41" s="39">
        <f>K40*K35</f>
        <v/>
      </c>
    </row>
    <row r="42">
      <c r="B42" s="12" t="n"/>
      <c r="K42" s="40" t="n"/>
    </row>
    <row r="43">
      <c r="B43" s="12" t="inlineStr">
        <is>
          <t xml:space="preserve">Enterprise Value </t>
        </is>
      </c>
      <c r="K43" s="40">
        <f>K41+K38</f>
        <v/>
      </c>
    </row>
    <row r="44">
      <c r="B44" s="11" t="inlineStr">
        <is>
          <t xml:space="preserve">(-) Net Debt </t>
        </is>
      </c>
      <c r="K44" s="51">
        <f>J11</f>
        <v/>
      </c>
      <c r="ZZ44" t="inlineStr">
        <is>
          <t>BS_DEBT_CURRENT</t>
        </is>
      </c>
    </row>
    <row r="45">
      <c r="B45" s="13" t="inlineStr">
        <is>
          <t xml:space="preserve">Equity Value 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41">
        <f>K43-K44</f>
        <v/>
      </c>
    </row>
    <row r="46">
      <c r="B46" s="12" t="n"/>
      <c r="K46" s="40" t="n"/>
    </row>
    <row r="47">
      <c r="B47" s="11" t="inlineStr">
        <is>
          <t xml:space="preserve">(/) Shares Outstanding </t>
        </is>
      </c>
      <c r="K47" s="42">
        <f>J8</f>
        <v/>
      </c>
      <c r="ZZ47" t="inlineStr">
        <is>
          <t>BS_ACCOUNTS_RECEIVABLE</t>
        </is>
      </c>
    </row>
    <row r="48">
      <c r="B48" s="36" t="inlineStr">
        <is>
          <t xml:space="preserve">Per Share Price Target 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43">
        <f>K45/K47</f>
        <v/>
      </c>
      <c r="ZZ48" t="inlineStr">
        <is>
          <t>BS_ACCOUNTS_RECEIVABLE</t>
        </is>
      </c>
    </row>
    <row r="49">
      <c r="B49" s="38" t="inlineStr">
        <is>
          <t>Implied Upside/Downside</t>
        </is>
      </c>
      <c r="K49" s="107">
        <f>(K48/J9-1)</f>
        <v/>
      </c>
    </row>
    <row r="50"/>
    <row r="51">
      <c r="B51" s="18" t="inlineStr">
        <is>
          <t>Sensitivity Analysis</t>
        </is>
      </c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 ht="17.4" customHeight="1" thickBot="1">
      <c r="B52" s="1" t="inlineStr">
        <is>
          <t>WACC Step</t>
        </is>
      </c>
      <c r="C52" s="68" t="n">
        <v>0.02</v>
      </c>
      <c r="E52" s="20" t="n"/>
      <c r="F52" s="20" t="n"/>
      <c r="G52" s="69" t="n"/>
      <c r="H52" s="20" t="n"/>
      <c r="I52" s="20" t="n"/>
    </row>
    <row r="53">
      <c r="B53" s="1" t="inlineStr">
        <is>
          <t>Terminal Step</t>
        </is>
      </c>
      <c r="C53" s="68" t="n">
        <v>0.0025</v>
      </c>
      <c r="E53" s="76">
        <f>K48</f>
        <v/>
      </c>
      <c r="F53" s="100">
        <f>G53-C53</f>
        <v/>
      </c>
      <c r="G53" s="100">
        <f>H53-C53</f>
        <v/>
      </c>
      <c r="H53" s="100">
        <f>J6</f>
        <v/>
      </c>
      <c r="I53" s="100">
        <f>H53+C53</f>
        <v/>
      </c>
      <c r="J53" s="101">
        <f>I53+C53</f>
        <v/>
      </c>
    </row>
    <row r="54">
      <c r="D54" s="20" t="n"/>
      <c r="E54" s="98">
        <f>E55-C52</f>
        <v/>
      </c>
      <c r="F54" s="127">
        <f>(
$G$31/(1+$E$54)^$G$34
+$H$31/(1+$E$54)^$H$34
+$I$31/(1+$E$54)^$I$34
+$J$31/(1+$E$54)^$J$34
+$K$31/(1+$E$54)^$K$34
+(($K$31*(1+F$53))/($E54-F$53))/(1+$E54)^$K$34
-$K$44
)/$K$47</f>
        <v/>
      </c>
      <c r="G54" s="127">
        <f>(
$G$31/(1+$E$54)^$G$34
+$H$31/(1+$E$54)^$H$34
+$I$31/(1+$E$54)^$I$34
+$J$31/(1+$E$54)^$J$34
+$K$31/(1+$E$54)^$K$34
+(($K$31*(1+G$53))/($E54-G$53))/(1+$E54)^$K$34
-$K$44
)/$K$47</f>
        <v/>
      </c>
      <c r="H54" s="127">
        <f>(
$G$31/(1+$E$54)^$G$34
+$H$31/(1+$E$54)^$H$34
+$I$31/(1+$E$54)^$I$34
+$J$31/(1+$E$54)^$J$34
+$K$31/(1+$E$54)^$K$34
+(($K$31*(1+H$53))/($E54-H$53))/(1+$E54)^$K$34
-$K$44
)/$K$47</f>
        <v/>
      </c>
      <c r="I54" s="127">
        <f>(
$G$31/(1+$E$54)^$G$34
+$H$31/(1+$E$54)^$H$34
+$I$31/(1+$E$54)^$I$34
+$J$31/(1+$E$54)^$J$34
+$K$31/(1+$E$54)^$K$34
+(($K$31*(1+I$53))/($E54-I$53))/(1+$E54)^$K$34
-$K$44
)/$K$47</f>
        <v/>
      </c>
      <c r="J54" s="128">
        <f>(
$G$31/(1+$E$54)^$G$34
+$H$31/(1+$E$54)^$H$34
+$I$31/(1+$E$54)^$I$34
+$J$31/(1+$E$54)^$J$34
+$K$31/(1+$E$54)^$K$34
+(($K$31*(1+J$53))/($E54-J$53))/(1+$E54)^$K$34
-$K$44
)/$K$47</f>
        <v/>
      </c>
    </row>
    <row r="55" ht="17.4" customHeight="1" thickBot="1">
      <c r="D55" s="20" t="n"/>
      <c r="E55" s="98">
        <f>E56-C52</f>
        <v/>
      </c>
      <c r="F55" s="127">
        <f>(
$G$31/(1+$E$55)^$G$34
+$H$31/(1+$E$55)^$H$34
+$I$31/(1+$E$55)^$I$34
+$J$31/(1+$E$55)^$J$34
+$K$31/(1+$E$55)^$K$34
+(($K$31*(1+F$53))/($E55-F$53))/(1+$E$55)^$K$34
-$K$44
)/$K$47</f>
        <v/>
      </c>
      <c r="G55" s="127">
        <f>(
$G$31/(1+$E$55)^$G$34
+$H$31/(1+$E$55)^$H$34
+$I$31/(1+$E$55)^$I$34
+$J$31/(1+$E$55)^$J$34
+$K$31/(1+$E$55)^$K$34
+(($K$31*(1+G$53))/($E55-G$53))/(1+$E$55)^$K$34
-$K$44
)/$K$47</f>
        <v/>
      </c>
      <c r="H55" s="127">
        <f>(
$G$31/(1+$E$55)^$G$34
+$H$31/(1+$E$55)^$H$34
+$I$31/(1+$E$55)^$I$34
+$J$31/(1+$E$55)^$J$34
+$K$31/(1+$E$55)^$K$34
+(($K$31*(1+H$53))/($E55-H$53))/(1+$E$55)^$K$34
-$K$44
)/$K$47</f>
        <v/>
      </c>
      <c r="I55" s="127">
        <f>(
$G$31/(1+$E$55)^$G$34
+$H$31/(1+$E$55)^$H$34
+$I$31/(1+$E$55)^$I$34
+$J$31/(1+$E$55)^$J$34
+$K$31/(1+$E$55)^$K$34
+(($K$31*(1+I$53))/($E55-I$53))/(1+$E$55)^$K$34
-$K$44
)/$K$47</f>
        <v/>
      </c>
      <c r="J55" s="128">
        <f>(
$G$31/(1+$E$55)^$G$34
+$H$31/(1+$E$55)^$H$34
+$I$31/(1+$E$55)^$I$34
+$J$31/(1+$E$55)^$J$34
+$K$31/(1+$E$55)^$K$34
+(($K$31*(1+J$53))/($E55-J$53))/(1+$E$55)^$K$34
-$K$44
)/$K$47</f>
        <v/>
      </c>
    </row>
    <row r="56" ht="17.4" customHeight="1" thickBot="1">
      <c r="D56" s="20" t="n"/>
      <c r="E56" s="98">
        <f>E14</f>
        <v/>
      </c>
      <c r="F56" s="127">
        <f>(
$G$31/(1+$E$56)^$G$34
+$H$31/(1+$E$56)^$H$34
+$I$31/(1+$E$56)^$I$34
+$J$31/(1+$E$56)^$J$34
+$K$31/(1+$E$56)^$K$34
+(($K$31*(1+F$53))/($E$56-F$53))/(1+$E$56)^$K$34
-$K$44
)/$K$47</f>
        <v/>
      </c>
      <c r="G56" s="127">
        <f>(
$G$31/(1+$E$56)^$G$34
+$H$31/(1+$E$56)^$H$34
+$I$31/(1+$E$56)^$I$34
+$J$31/(1+$E$56)^$J$34
+$K$31/(1+$E$56)^$K$34
+(($K$31*(1+G$53))/($E$56-G$53))/(1+$E$56)^$K$34
-$K$44
)/$K$47</f>
        <v/>
      </c>
      <c r="H56" s="129">
        <f>(
$G$31/(1+$E$56)^$G$34
+$H$31/(1+$E$56)^$H$34
+$I$31/(1+$E$56)^$I$34
+$J$31/(1+$E$56)^$J$34
+$K$31/(1+$E$56)^$K$34
+(($K$31*(1+H$53))/($E$56-H$53))/(1+$E$56)^$K$34
-$K$44
)/$K$47</f>
        <v/>
      </c>
      <c r="I56" s="127">
        <f>(
$G$31/(1+$E$56)^$G$34
+$H$31/(1+$E$56)^$H$34
+$I$31/(1+$E$56)^$I$34
+$J$31/(1+$E$56)^$J$34
+$K$31/(1+$E$56)^$K$34
+(($K$31*(1+I$53))/($E$56-I$53))/(1+$E$56)^$K$34
-$K$44
)/$K$47</f>
        <v/>
      </c>
      <c r="J56" s="128">
        <f>(
$G$31/(1+$E$56)^$G$34
+$H$31/(1+$E$56)^$H$34
+$I$31/(1+$E$56)^$I$34
+$J$31/(1+$E$56)^$J$34
+$K$31/(1+$E$56)^$K$34
+(($K$31*(1+J$53))/($E$56-J$53))/(1+$E$56)^$K$34
-$K$44
)/$K$47</f>
        <v/>
      </c>
    </row>
    <row r="57">
      <c r="E57" s="98">
        <f>E56+C52</f>
        <v/>
      </c>
      <c r="F57" s="127">
        <f>(
$G$31/(1+$E$57)^$G$34
+$H$31/(1+$E$57)^$H$34
+$I$31/(1+$E$57)^$I$34
+$J$31/(1+$E$57)^$J$34
+$K$31/(1+$E$57)^$K$34
+(($K$31*(1+F$53))/($E$57-F$53))/(1+$E$57)^$K$34
-$K$44
)/$K$47</f>
        <v/>
      </c>
      <c r="G57" s="127">
        <f>(
$G$31/(1+$E$57)^$G$34
+$H$31/(1+$E$57)^$H$34
+$I$31/(1+$E$57)^$I$34
+$J$31/(1+$E$57)^$J$34
+$K$31/(1+$E$57)^$K$34
+(($K$31*(1+G$53))/($E$57-G$53))/(1+$E$57)^$K$34
-$K$44
)/$K$47</f>
        <v/>
      </c>
      <c r="H57" s="127">
        <f>(
$G$31/(1+$E$57)^$G$34
+$H$31/(1+$E$57)^$H$34
+$I$31/(1+$E$57)^$I$34
+$J$31/(1+$E$57)^$J$34
+$K$31/(1+$E$57)^$K$34
+(($K$31*(1+H$53))/($E$57-H$53))/(1+$E$57)^$K$34
-$K$44
)/$K$47</f>
        <v/>
      </c>
      <c r="I57" s="127">
        <f>(
$G$31/(1+$E$57)^$G$34
+$H$31/(1+$E$57)^$H$34
+$I$31/(1+$E$57)^$I$34
+$J$31/(1+$E$57)^$J$34
+$K$31/(1+$E$57)^$K$34
+(($K$31*(1+I$53))/($E$57-I$53))/(1+$E$57)^$K$34
-$K$44
)/$K$47</f>
        <v/>
      </c>
      <c r="J57" s="128">
        <f>(
$G$31/(1+$E$57)^$G$34
+$H$31/(1+$E$57)^$H$34
+$I$31/(1+$E$57)^$I$34
+$J$31/(1+$E$57)^$J$34
+$K$31/(1+$E$57)^$K$34
+(($K$31*(1+J$53))/($E$57-J$53))/(1+$E$57)^$K$34
-$K$44
)/$K$47</f>
        <v/>
      </c>
    </row>
    <row r="58" ht="17.4" customHeight="1" thickBot="1">
      <c r="E58" s="99">
        <f>E57+C52</f>
        <v/>
      </c>
      <c r="F58" s="130">
        <f>(
$G$31/(1+$E$58)^$G$34
+$H$31/(1+$E$58)^$H$34
+$I$31/(1+$E$58)^$I$34
+$J$31/(1+$E$58)^$J$34
+$K$31/(1+$E$58)^$K$34
+(($K$31*(1+F$53))/($E$58-F$53))/(1+$E$58)^$K$34
-$K$44
)/$K$47</f>
        <v/>
      </c>
      <c r="G58" s="130">
        <f>(
$G$31/(1+$E$58)^$G$34
+$H$31/(1+$E$58)^$H$34
+$I$31/(1+$E$58)^$I$34
+$J$31/(1+$E$58)^$J$34
+$K$31/(1+$E$58)^$K$34
+(($K$31*(1+G$53))/($E$58-G$53))/(1+$E$58)^$K$34
-$K$44
)/$K$47</f>
        <v/>
      </c>
      <c r="H58" s="130">
        <f>(
$G$31/(1+$E$58)^$G$34
+$H$31/(1+$E$58)^$H$34
+$I$31/(1+$E$58)^$I$34
+$J$31/(1+$E$58)^$J$34
+$K$31/(1+$E$58)^$K$34
+(($K$31*(1+H$53))/($E$58-H$53))/(1+$E$58)^$K$34
-$K$44
)/$K$47</f>
        <v/>
      </c>
      <c r="I58" s="130">
        <f>(
$G$31/(1+$E$58)^$G$34
+$H$31/(1+$E$58)^$H$34
+$I$31/(1+$E$58)^$I$34
+$J$31/(1+$E$58)^$J$34
+$K$31/(1+$E$58)^$K$34
+(($K$31*(1+I$53))/($E$58-I$53))/(1+$E$58)^$K$34
-$K$44
)/$K$47</f>
        <v/>
      </c>
      <c r="J58" s="131">
        <f>(
$G$31/(1+$E$58)^$G$34
+$H$31/(1+$E$58)^$H$34
+$I$31/(1+$E$58)^$I$34
+$J$31/(1+$E$58)^$J$34
+$K$31/(1+$E$58)^$K$34
+(($K$31*(1+J$53))/($E$58-J$53))/(1+$E$58)^$K$34
-$K$44
)/$K$47</f>
        <v/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ZZ58"/>
  <sheetViews>
    <sheetView showGridLines="0" topLeftCell="A10" zoomScale="75" zoomScaleNormal="100" workbookViewId="0">
      <selection activeCell="D25" sqref="D25:F25"/>
    </sheetView>
  </sheetViews>
  <sheetFormatPr baseColWidth="8" defaultColWidth="8.88671875" defaultRowHeight="16.8"/>
  <cols>
    <col width="2.88671875" customWidth="1" style="1" min="1" max="1"/>
    <col width="21.109375" bestFit="1" customWidth="1" style="1" min="2" max="2"/>
    <col width="7.5546875" customWidth="1" style="1" min="3" max="3"/>
    <col width="12.88671875" customWidth="1" style="1" min="4" max="12"/>
    <col width="21.44140625" bestFit="1" customWidth="1" style="1" min="13" max="13"/>
    <col width="11.5546875" customWidth="1" style="1" min="14" max="14"/>
    <col width="8.88671875" customWidth="1" style="1" min="15" max="16384"/>
    <col hidden="1" width="13" customWidth="1" min="702" max="702"/>
  </cols>
  <sheetData>
    <row r="1">
      <c r="A1" s="2" t="n"/>
      <c r="K1" s="2" t="n"/>
      <c r="ZZ1" t="inlineStr">
        <is>
          <t>model_role</t>
        </is>
      </c>
    </row>
    <row r="2" ht="21.6" customHeight="1">
      <c r="B2" s="138" t="inlineStr">
        <is>
          <t>Microsoft Corporation DCF Bear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M2" s="2" t="n"/>
    </row>
    <row r="3">
      <c r="G3" s="2" t="n"/>
    </row>
    <row r="4">
      <c r="B4" s="17" t="inlineStr">
        <is>
          <t>WACC</t>
        </is>
      </c>
      <c r="C4" s="16" t="n"/>
      <c r="D4" s="16" t="n"/>
      <c r="E4" s="16" t="n">
        <v>0.1</v>
      </c>
      <c r="G4" s="17" t="inlineStr">
        <is>
          <t xml:space="preserve">Other Assumptions </t>
        </is>
      </c>
      <c r="H4" s="16" t="n"/>
      <c r="I4" s="16" t="n"/>
      <c r="J4" s="16" t="n"/>
    </row>
    <row r="5">
      <c r="B5" s="3" t="inlineStr">
        <is>
          <t xml:space="preserve">Beta </t>
        </is>
      </c>
      <c r="E5" s="105">
        <f>Beta!C5</f>
        <v/>
      </c>
      <c r="G5" s="1" t="inlineStr">
        <is>
          <t xml:space="preserve">Fiscal Year End </t>
        </is>
      </c>
      <c r="J5" s="28" t="n">
        <v>46022</v>
      </c>
    </row>
    <row r="6">
      <c r="B6" s="3" t="inlineStr">
        <is>
          <t xml:space="preserve">Market Risk Premium </t>
        </is>
      </c>
      <c r="E6" s="31" t="n">
        <v>0.0433</v>
      </c>
      <c r="G6" s="3" t="inlineStr">
        <is>
          <t xml:space="preserve">LTGR </t>
        </is>
      </c>
      <c r="J6" s="24" t="n">
        <v>0.025</v>
      </c>
      <c r="N6" s="44" t="n"/>
      <c r="ZZ6" t="inlineStr">
        <is>
          <t>BS_ACCOUNTS_RECEIVABLE</t>
        </is>
      </c>
    </row>
    <row r="7">
      <c r="B7" s="3" t="inlineStr">
        <is>
          <t xml:space="preserve">Risk Free Rate </t>
        </is>
      </c>
      <c r="E7" s="31" t="n">
        <v>0.0406</v>
      </c>
      <c r="G7" s="3" t="inlineStr">
        <is>
          <t>Cash &amp; Equivalents</t>
        </is>
      </c>
      <c r="J7" s="25">
        <f>'DCF Base'!J7</f>
        <v/>
      </c>
      <c r="N7" s="45" t="n"/>
    </row>
    <row r="8">
      <c r="B8" s="3" t="inlineStr">
        <is>
          <t xml:space="preserve">Cost of Equity </t>
        </is>
      </c>
      <c r="E8" s="32">
        <f>E7+(E5*E6)</f>
        <v/>
      </c>
      <c r="G8" s="3" t="inlineStr">
        <is>
          <t>Diluted S/O</t>
        </is>
      </c>
      <c r="J8" s="26">
        <f>'DCF Base'!J8</f>
        <v/>
      </c>
    </row>
    <row r="9">
      <c r="B9" s="3" t="inlineStr">
        <is>
          <t xml:space="preserve">Weight of Equity </t>
        </is>
      </c>
      <c r="E9" s="32">
        <f>J10/SUM(J10:J11)</f>
        <v/>
      </c>
      <c r="G9" s="3" t="inlineStr">
        <is>
          <t xml:space="preserve">Current Price </t>
        </is>
      </c>
      <c r="J9" s="27">
        <f>'DCF Base'!J9</f>
        <v/>
      </c>
    </row>
    <row r="10">
      <c r="B10" s="3" t="inlineStr">
        <is>
          <t xml:space="preserve">Cost of Debt </t>
        </is>
      </c>
      <c r="E10" s="33">
        <f>'3 Statement'!O9</f>
        <v/>
      </c>
      <c r="G10" s="3" t="inlineStr">
        <is>
          <t xml:space="preserve">Mkt Cap </t>
        </is>
      </c>
      <c r="J10" s="29">
        <f>J8*J9</f>
        <v/>
      </c>
      <c r="ZZ10" t="inlineStr">
        <is>
          <t>BS_DEBT_CURRENT</t>
        </is>
      </c>
    </row>
    <row r="11">
      <c r="B11" s="5" t="inlineStr">
        <is>
          <t xml:space="preserve">After Tax CoD </t>
        </is>
      </c>
      <c r="E11" s="32">
        <f>E10*(1-E13)</f>
        <v/>
      </c>
      <c r="G11" s="3" t="inlineStr">
        <is>
          <t>BV Debt</t>
        </is>
      </c>
      <c r="J11" s="26">
        <f>'DCF Base'!J11</f>
        <v/>
      </c>
    </row>
    <row r="12">
      <c r="B12" s="3" t="inlineStr">
        <is>
          <t xml:space="preserve">Weight of Debt </t>
        </is>
      </c>
      <c r="E12" s="34">
        <f>1-E9</f>
        <v/>
      </c>
      <c r="G12" s="1" t="inlineStr">
        <is>
          <t>Financial Units</t>
        </is>
      </c>
      <c r="J12" s="44" t="inlineStr">
        <is>
          <t>USD in millions</t>
        </is>
      </c>
      <c r="ZZ12" t="inlineStr">
        <is>
          <t>BS_DEBT_CURRENT</t>
        </is>
      </c>
    </row>
    <row r="13">
      <c r="B13" s="3" t="inlineStr">
        <is>
          <t xml:space="preserve">Tax Rate </t>
        </is>
      </c>
      <c r="E13" s="35">
        <f>'3 Statement'!O8</f>
        <v/>
      </c>
    </row>
    <row r="14" ht="17.4" customHeight="1" thickBot="1">
      <c r="B14" s="6" t="inlineStr">
        <is>
          <t xml:space="preserve">WACC </t>
        </is>
      </c>
      <c r="C14" s="6" t="n"/>
      <c r="D14" s="6" t="n"/>
      <c r="E14" s="106">
        <f>(E9*E8)+(E12*E10*(1-E13))</f>
        <v/>
      </c>
    </row>
    <row r="15" ht="17.4" customHeight="1" thickTop="1"/>
    <row r="16">
      <c r="B16" s="18" t="inlineStr">
        <is>
          <t xml:space="preserve">Free Cash Flow  </t>
        </is>
      </c>
      <c r="C16" s="19" t="n"/>
      <c r="D16" s="19" t="n">
        <v>2023</v>
      </c>
      <c r="E16" s="19" t="n">
        <v>2024</v>
      </c>
      <c r="F16" s="19" t="n">
        <v>2025</v>
      </c>
      <c r="G16" s="19" t="inlineStr">
        <is>
          <t>2026 E</t>
        </is>
      </c>
      <c r="H16" s="19" t="inlineStr">
        <is>
          <t>2027 E</t>
        </is>
      </c>
      <c r="I16" s="19" t="inlineStr">
        <is>
          <t>2028 E</t>
        </is>
      </c>
      <c r="J16" s="19" t="inlineStr">
        <is>
          <t>2029 E</t>
        </is>
      </c>
      <c r="K16" s="19" t="inlineStr">
        <is>
          <t>2030 E</t>
        </is>
      </c>
      <c r="M16" s="21" t="n"/>
      <c r="ZZ16" t="inlineStr">
        <is>
          <t>BS_CASH</t>
        </is>
      </c>
    </row>
    <row r="17">
      <c r="B17" s="3" t="inlineStr">
        <is>
          <t xml:space="preserve">Revenue </t>
        </is>
      </c>
      <c r="D17" s="1">
        <f>'3 Statement'!D5</f>
        <v/>
      </c>
      <c r="E17" s="1">
        <f>'3 Statement'!E5</f>
        <v/>
      </c>
      <c r="F17" s="1">
        <f>'3 Statement'!F5</f>
        <v/>
      </c>
      <c r="G17" s="83">
        <f>F17*(1+G18)</f>
        <v/>
      </c>
      <c r="H17" s="83">
        <f>G17*(1+H18)</f>
        <v/>
      </c>
      <c r="I17" s="83">
        <f>H17*(1+I18)</f>
        <v/>
      </c>
      <c r="J17" s="83">
        <f>I17*(1+J18)</f>
        <v/>
      </c>
      <c r="K17" s="83">
        <f>J17*(1+K18)</f>
        <v/>
      </c>
      <c r="O17" s="69" t="n"/>
      <c r="P17" s="69" t="n"/>
      <c r="Q17" s="69" t="n"/>
      <c r="R17" s="69" t="n"/>
      <c r="S17" s="69" t="n"/>
      <c r="ZZ17" t="inlineStr">
        <is>
          <t>IS_REVENUE</t>
        </is>
      </c>
    </row>
    <row r="18">
      <c r="B18" s="37" t="inlineStr">
        <is>
          <t xml:space="preserve">Revenue Growth (%) </t>
        </is>
      </c>
      <c r="D18" s="68" t="n"/>
      <c r="E18" s="69">
        <f>E17/D17-1</f>
        <v/>
      </c>
      <c r="F18" s="69">
        <f>F17/E17-1</f>
        <v/>
      </c>
      <c r="G18" s="89">
        <f>0.02</f>
        <v/>
      </c>
      <c r="H18" s="89">
        <f>0.02</f>
        <v/>
      </c>
      <c r="I18" s="89">
        <f>0.02</f>
        <v/>
      </c>
      <c r="J18" s="89">
        <f>0.02</f>
        <v/>
      </c>
      <c r="K18" s="89">
        <f>0.02</f>
        <v/>
      </c>
      <c r="O18" s="20" t="n"/>
      <c r="ZZ18" t="inlineStr">
        <is>
          <t>IS_REVENUE</t>
        </is>
      </c>
    </row>
    <row r="19">
      <c r="B19" s="3" t="inlineStr">
        <is>
          <t xml:space="preserve">(-) COGS </t>
        </is>
      </c>
      <c r="D19" s="1">
        <f>'3 Statement'!D6</f>
        <v/>
      </c>
      <c r="E19" s="1">
        <f>'3 Statement'!E6</f>
        <v/>
      </c>
      <c r="F19" s="1">
        <f>'3 Statement'!F6</f>
        <v/>
      </c>
      <c r="G19" s="83">
        <f>G17-G20</f>
        <v/>
      </c>
      <c r="H19" s="83">
        <f>H17-H20</f>
        <v/>
      </c>
      <c r="I19" s="83">
        <f>I17-I20</f>
        <v/>
      </c>
      <c r="J19" s="83">
        <f>J17-J20</f>
        <v/>
      </c>
      <c r="K19" s="83">
        <f>K17-K20</f>
        <v/>
      </c>
      <c r="O19" s="20" t="n"/>
      <c r="ZZ19" t="inlineStr">
        <is>
          <t>IS_COGS</t>
        </is>
      </c>
    </row>
    <row r="20">
      <c r="B20" s="8" t="inlineStr">
        <is>
          <t xml:space="preserve">GP </t>
        </is>
      </c>
      <c r="C20" s="22" t="n"/>
      <c r="D20" s="22">
        <f>D17-D19</f>
        <v/>
      </c>
      <c r="E20" s="22">
        <f>E17-E19</f>
        <v/>
      </c>
      <c r="F20" s="22">
        <f>F17-F19</f>
        <v/>
      </c>
      <c r="G20" s="84">
        <f>G17*G21</f>
        <v/>
      </c>
      <c r="H20" s="84">
        <f>H17*H21</f>
        <v/>
      </c>
      <c r="I20" s="84">
        <f>I17*I21</f>
        <v/>
      </c>
      <c r="J20" s="84">
        <f>J17*J21</f>
        <v/>
      </c>
      <c r="K20" s="84">
        <f>K17*K21</f>
        <v/>
      </c>
    </row>
    <row r="21">
      <c r="B21" s="37" t="inlineStr">
        <is>
          <t xml:space="preserve">GP Margin (%) </t>
        </is>
      </c>
      <c r="D21" s="69" t="n"/>
      <c r="E21" s="69">
        <f>E20/E17</f>
        <v/>
      </c>
      <c r="F21" s="69">
        <f>F20/F17</f>
        <v/>
      </c>
      <c r="G21" s="93">
        <f>0.65</f>
        <v/>
      </c>
      <c r="H21" s="93">
        <f>0.65</f>
        <v/>
      </c>
      <c r="I21" s="93">
        <f>0.65</f>
        <v/>
      </c>
      <c r="J21" s="93">
        <f>0.65</f>
        <v/>
      </c>
      <c r="K21" s="93">
        <f>0.65</f>
        <v/>
      </c>
      <c r="O21" s="68" t="n"/>
      <c r="ZZ21" t="inlineStr">
        <is>
          <t>BS_ACCOUNTS_RECEIVABLE</t>
        </is>
      </c>
    </row>
    <row r="22">
      <c r="B22" s="7" t="n"/>
      <c r="G22" s="83" t="n"/>
      <c r="H22" s="83" t="n"/>
      <c r="I22" s="83" t="n"/>
      <c r="J22" s="83" t="n"/>
      <c r="K22" s="83" t="n"/>
      <c r="O22" s="68" t="n"/>
    </row>
    <row r="23">
      <c r="B23" s="3" t="inlineStr">
        <is>
          <t>(-) Op Ex</t>
        </is>
      </c>
      <c r="D23" s="1">
        <f>SUM('3 Statement'!D9:D11)</f>
        <v/>
      </c>
      <c r="E23" s="1">
        <f>SUM('3 Statement'!E9:E11)</f>
        <v/>
      </c>
      <c r="F23" s="1">
        <f>SUM('3 Statement'!F9:F11)</f>
        <v/>
      </c>
      <c r="G23" s="83">
        <f>G20-G24</f>
        <v/>
      </c>
      <c r="H23" s="83">
        <f>H20-H24</f>
        <v/>
      </c>
      <c r="I23" s="83">
        <f>I20-I24</f>
        <v/>
      </c>
      <c r="J23" s="83">
        <f>J20-J24</f>
        <v/>
      </c>
      <c r="K23" s="83">
        <f>K20-K24</f>
        <v/>
      </c>
      <c r="ZZ23" t="inlineStr">
        <is>
          <t>IS_OPERATING_EXPENSE</t>
        </is>
      </c>
    </row>
    <row r="24">
      <c r="B24" s="9" t="inlineStr">
        <is>
          <t xml:space="preserve">EBIT </t>
        </is>
      </c>
      <c r="C24" s="22" t="n"/>
      <c r="D24" s="22">
        <f>D20+D23</f>
        <v/>
      </c>
      <c r="E24" s="22">
        <f>E20+E23</f>
        <v/>
      </c>
      <c r="F24" s="22">
        <f>F20+F23</f>
        <v/>
      </c>
      <c r="G24" s="86">
        <f>G25*G17</f>
        <v/>
      </c>
      <c r="H24" s="86">
        <f>H25*H17</f>
        <v/>
      </c>
      <c r="I24" s="86">
        <f>I25*I17</f>
        <v/>
      </c>
      <c r="J24" s="86">
        <f>J25*J17</f>
        <v/>
      </c>
      <c r="K24" s="86">
        <f>K25*K17</f>
        <v/>
      </c>
      <c r="ZZ24" t="inlineStr">
        <is>
          <t>IS_EBIT</t>
        </is>
      </c>
    </row>
    <row r="25">
      <c r="B25" s="7" t="inlineStr">
        <is>
          <t>EBIT Margin (%)</t>
        </is>
      </c>
      <c r="D25" s="69">
        <f>D24/D17</f>
        <v/>
      </c>
      <c r="E25" s="69">
        <f>E24/E17</f>
        <v/>
      </c>
      <c r="F25" s="69">
        <f>F24/F17</f>
        <v/>
      </c>
      <c r="G25" s="89">
        <f>0.4</f>
        <v/>
      </c>
      <c r="H25" s="89">
        <f>0.4</f>
        <v/>
      </c>
      <c r="I25" s="89">
        <f>0.4</f>
        <v/>
      </c>
      <c r="J25" s="89">
        <f>0.4</f>
        <v/>
      </c>
      <c r="K25" s="89">
        <f>0.4</f>
        <v/>
      </c>
      <c r="N25" s="2" t="n"/>
      <c r="ZZ25" t="inlineStr">
        <is>
          <t>IS_EBIT</t>
        </is>
      </c>
    </row>
    <row r="26">
      <c r="B26" s="7" t="n"/>
      <c r="G26" s="83" t="n"/>
      <c r="H26" s="83" t="n"/>
      <c r="I26" s="83" t="n"/>
      <c r="J26" s="83" t="n"/>
      <c r="K26" s="83" t="n"/>
    </row>
    <row r="27">
      <c r="B27" s="10" t="inlineStr">
        <is>
          <t xml:space="preserve">NOPAT </t>
        </is>
      </c>
      <c r="D27" s="47">
        <f>D24*(1-$E$13)</f>
        <v/>
      </c>
      <c r="E27" s="47">
        <f>E24*(1-$E$13)</f>
        <v/>
      </c>
      <c r="F27" s="47">
        <f>F24*(1-$E$13)</f>
        <v/>
      </c>
      <c r="G27" s="87">
        <f>G24*(1-$E$13)</f>
        <v/>
      </c>
      <c r="H27" s="87">
        <f>H24*(1-$E$13)</f>
        <v/>
      </c>
      <c r="I27" s="87">
        <f>I24*(1-$E$13)</f>
        <v/>
      </c>
      <c r="J27" s="87">
        <f>J24*(1-$E$13)</f>
        <v/>
      </c>
      <c r="K27" s="87">
        <f>K24*(1-$E$13)</f>
        <v/>
      </c>
      <c r="ZZ27" t="inlineStr">
        <is>
          <t>IS_NOPAT</t>
        </is>
      </c>
    </row>
    <row r="28">
      <c r="B28" s="3" t="inlineStr">
        <is>
          <t xml:space="preserve">(+) D&amp;A </t>
        </is>
      </c>
      <c r="D28" s="103">
        <f>'3 Statement'!D71</f>
        <v/>
      </c>
      <c r="E28" s="103">
        <f>'3 Statement'!E71</f>
        <v/>
      </c>
      <c r="F28" s="103">
        <f>'3 Statement'!F71</f>
        <v/>
      </c>
      <c r="G28" s="90">
        <f>0.1*G17</f>
        <v/>
      </c>
      <c r="H28" s="90">
        <f>0.1*H17</f>
        <v/>
      </c>
      <c r="I28" s="90">
        <f>0.1*I17</f>
        <v/>
      </c>
      <c r="J28" s="90">
        <f>0.1*J17</f>
        <v/>
      </c>
      <c r="K28" s="90">
        <f>0.1*K17</f>
        <v/>
      </c>
      <c r="ZZ28" t="inlineStr">
        <is>
          <t>CF_DEPRECIATION</t>
        </is>
      </c>
    </row>
    <row r="29">
      <c r="B29" s="3" t="inlineStr">
        <is>
          <t>(-) CapEx</t>
        </is>
      </c>
      <c r="D29" s="103">
        <f>'3 Statement'!D78</f>
        <v/>
      </c>
      <c r="E29" s="103">
        <f>'3 Statement'!E78</f>
        <v/>
      </c>
      <c r="F29" s="103">
        <f>'3 Statement'!F78</f>
        <v/>
      </c>
      <c r="G29" s="90">
        <f>-0.17*G17</f>
        <v/>
      </c>
      <c r="H29" s="90">
        <f>-0.17*H17</f>
        <v/>
      </c>
      <c r="I29" s="90">
        <f>-0.17*I17</f>
        <v/>
      </c>
      <c r="J29" s="90">
        <f>-0.17*J17</f>
        <v/>
      </c>
      <c r="K29" s="90">
        <f>-0.17*K17</f>
        <v/>
      </c>
      <c r="ZZ29" t="inlineStr">
        <is>
          <t>CF_CAPEX</t>
        </is>
      </c>
    </row>
    <row r="30">
      <c r="B30" s="3" t="inlineStr">
        <is>
          <t xml:space="preserve">(-) Changes in WC </t>
        </is>
      </c>
      <c r="D30" s="103">
        <f>'3 Statement'!D74</f>
        <v/>
      </c>
      <c r="E30" s="103">
        <f>'3 Statement'!E74</f>
        <v/>
      </c>
      <c r="F30" s="103">
        <f>'3 Statement'!F74</f>
        <v/>
      </c>
      <c r="G30" s="90">
        <f>-50.0</f>
        <v/>
      </c>
      <c r="H30" s="90">
        <f>-50.0</f>
        <v/>
      </c>
      <c r="I30" s="90">
        <f>-50.0</f>
        <v/>
      </c>
      <c r="J30" s="90">
        <f>-50.0</f>
        <v/>
      </c>
      <c r="K30" s="90">
        <f>-50.0</f>
        <v/>
      </c>
      <c r="ZZ30" t="inlineStr">
        <is>
          <t>CF_CHANGE_IN_WORKING_CAPITAL</t>
        </is>
      </c>
    </row>
    <row r="31">
      <c r="B31" s="9" t="inlineStr">
        <is>
          <t xml:space="preserve">Unlevered Free Cash Flow </t>
        </is>
      </c>
      <c r="C31" s="22" t="n"/>
      <c r="D31" s="23">
        <f>D27+D28+D29+D30</f>
        <v/>
      </c>
      <c r="E31" s="23">
        <f>E27+E28+E29+E30</f>
        <v/>
      </c>
      <c r="F31" s="23">
        <f>F27+F28+F29+F30</f>
        <v/>
      </c>
      <c r="G31" s="88">
        <f>G27+G28+G29+G30</f>
        <v/>
      </c>
      <c r="H31" s="88">
        <f>H27+H28+H29+H30</f>
        <v/>
      </c>
      <c r="I31" s="88">
        <f>I27+I28+I29+I30</f>
        <v/>
      </c>
      <c r="J31" s="88">
        <f>J27+J28+J29+J30</f>
        <v/>
      </c>
      <c r="K31" s="88">
        <f>K27+K28+K29+K30</f>
        <v/>
      </c>
      <c r="ZZ31" t="inlineStr">
        <is>
          <t>BS_CASH</t>
        </is>
      </c>
    </row>
    <row r="32"/>
    <row r="33">
      <c r="B33" s="17" t="inlineStr">
        <is>
          <t xml:space="preserve">DCF </t>
        </is>
      </c>
      <c r="C33" s="19" t="n"/>
      <c r="D33" s="19" t="n"/>
      <c r="E33" s="19" t="n"/>
      <c r="F33" s="19" t="n"/>
      <c r="G33" s="19" t="inlineStr">
        <is>
          <t>2026 E</t>
        </is>
      </c>
      <c r="H33" s="19" t="inlineStr">
        <is>
          <t>2027 E</t>
        </is>
      </c>
      <c r="I33" s="19" t="inlineStr">
        <is>
          <t>2028 E</t>
        </is>
      </c>
      <c r="J33" s="19" t="inlineStr">
        <is>
          <t>2029 E</t>
        </is>
      </c>
      <c r="K33" s="19" t="inlineStr">
        <is>
          <t>2030 E</t>
        </is>
      </c>
    </row>
    <row r="34">
      <c r="B34" s="3" t="inlineStr">
        <is>
          <t xml:space="preserve">Discount Period </t>
        </is>
      </c>
      <c r="G34" s="48">
        <f>YEARFRAC(TODAY(),$J$5)</f>
        <v/>
      </c>
      <c r="H34" s="48">
        <f>G34+1</f>
        <v/>
      </c>
      <c r="I34" s="48">
        <f>H34+1</f>
        <v/>
      </c>
      <c r="J34" s="48">
        <f>I34+1</f>
        <v/>
      </c>
      <c r="K34" s="48">
        <f>J34+1</f>
        <v/>
      </c>
      <c r="N34" s="4" t="n"/>
      <c r="O34" s="4" t="n"/>
      <c r="P34" s="4" t="n"/>
    </row>
    <row r="35">
      <c r="B35" s="3" t="inlineStr">
        <is>
          <t xml:space="preserve">Discount Factor </t>
        </is>
      </c>
      <c r="G35" s="49">
        <f>(1/(1+$E$14))^G34</f>
        <v/>
      </c>
      <c r="H35" s="49">
        <f>(1/(1+$E$14))^H34</f>
        <v/>
      </c>
      <c r="I35" s="49">
        <f>(1/(1+$E$14))^I34</f>
        <v/>
      </c>
      <c r="J35" s="49">
        <f>(1/(1+$E$14))^J34</f>
        <v/>
      </c>
      <c r="K35" s="49">
        <f>(1/(1+$E$14))^K34</f>
        <v/>
      </c>
      <c r="N35" s="49" t="n"/>
      <c r="O35" s="49" t="n"/>
      <c r="P35" s="49" t="n"/>
    </row>
    <row r="36">
      <c r="B36" s="3" t="n"/>
      <c r="N36" s="49" t="n"/>
      <c r="O36" s="49" t="n"/>
      <c r="P36" s="49" t="n"/>
    </row>
    <row r="37">
      <c r="B37" s="11" t="inlineStr">
        <is>
          <t xml:space="preserve">PV of UFCF </t>
        </is>
      </c>
      <c r="G37" s="1">
        <f>G31*G35</f>
        <v/>
      </c>
      <c r="H37" s="1">
        <f>H31*H35</f>
        <v/>
      </c>
      <c r="I37" s="1">
        <f>I31*I35</f>
        <v/>
      </c>
      <c r="J37" s="1">
        <f>J31*J35</f>
        <v/>
      </c>
      <c r="K37" s="1">
        <f>K31*K35</f>
        <v/>
      </c>
    </row>
    <row r="38">
      <c r="B38" s="12" t="inlineStr">
        <is>
          <t xml:space="preserve">Total PV of UFCF </t>
        </is>
      </c>
      <c r="K38" s="21">
        <f>SUM(G37:K37)</f>
        <v/>
      </c>
      <c r="N38" s="2" t="n"/>
    </row>
    <row r="39">
      <c r="B39" s="12" t="n"/>
    </row>
    <row r="40">
      <c r="B40" s="11" t="inlineStr">
        <is>
          <t xml:space="preserve">Terminal Value </t>
        </is>
      </c>
      <c r="K40" s="50">
        <f>(K31*(1+J6))/(E14-J6)</f>
        <v/>
      </c>
    </row>
    <row r="41">
      <c r="B41" s="12" t="inlineStr">
        <is>
          <t xml:space="preserve">PV of TV </t>
        </is>
      </c>
      <c r="K41" s="39">
        <f>K40*K35</f>
        <v/>
      </c>
    </row>
    <row r="42">
      <c r="B42" s="12" t="n"/>
      <c r="K42" s="40" t="n"/>
    </row>
    <row r="43">
      <c r="B43" s="12" t="inlineStr">
        <is>
          <t xml:space="preserve">Enterprise Value </t>
        </is>
      </c>
      <c r="K43" s="40">
        <f>K41+K38</f>
        <v/>
      </c>
    </row>
    <row r="44">
      <c r="B44" s="11" t="inlineStr">
        <is>
          <t xml:space="preserve">(-) Net Debt </t>
        </is>
      </c>
      <c r="K44" s="51">
        <f>J11</f>
        <v/>
      </c>
      <c r="ZZ44" t="inlineStr">
        <is>
          <t>BS_DEBT_CURRENT</t>
        </is>
      </c>
    </row>
    <row r="45">
      <c r="B45" s="13" t="inlineStr">
        <is>
          <t xml:space="preserve">Equity Value 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41">
        <f>K43-K44</f>
        <v/>
      </c>
    </row>
    <row r="46">
      <c r="B46" s="12" t="n"/>
      <c r="K46" s="40" t="n"/>
    </row>
    <row r="47">
      <c r="B47" s="11" t="inlineStr">
        <is>
          <t xml:space="preserve">(/) Shares Outstanding </t>
        </is>
      </c>
      <c r="K47" s="42">
        <f>J8</f>
        <v/>
      </c>
      <c r="ZZ47" t="inlineStr">
        <is>
          <t>BS_ACCOUNTS_RECEIVABLE</t>
        </is>
      </c>
    </row>
    <row r="48">
      <c r="B48" s="36" t="inlineStr">
        <is>
          <t xml:space="preserve">Per Share Price Target 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43">
        <f>K45/K47</f>
        <v/>
      </c>
      <c r="ZZ48" t="inlineStr">
        <is>
          <t>BS_ACCOUNTS_RECEIVABLE</t>
        </is>
      </c>
    </row>
    <row r="49">
      <c r="B49" s="38" t="inlineStr">
        <is>
          <t>Implied Upside/Downside</t>
        </is>
      </c>
      <c r="K49" s="107">
        <f>(K48/J9-1)</f>
        <v/>
      </c>
    </row>
    <row r="50"/>
    <row r="51">
      <c r="B51" s="18" t="inlineStr">
        <is>
          <t>Sensitivity Analysis</t>
        </is>
      </c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 ht="17.4" customHeight="1" thickBot="1">
      <c r="B52" s="1" t="inlineStr">
        <is>
          <t>WACC Step</t>
        </is>
      </c>
      <c r="C52" s="68" t="n">
        <v>0.02</v>
      </c>
      <c r="E52" s="20" t="n"/>
      <c r="F52" s="20" t="n"/>
      <c r="G52" s="69" t="n"/>
      <c r="H52" s="20" t="n"/>
      <c r="I52" s="20" t="n"/>
    </row>
    <row r="53">
      <c r="B53" s="1" t="inlineStr">
        <is>
          <t>Terminal Step</t>
        </is>
      </c>
      <c r="C53" s="20" t="n">
        <v>0.0025</v>
      </c>
      <c r="E53" s="76">
        <f>K48</f>
        <v/>
      </c>
      <c r="F53" s="100">
        <f>G53-C53</f>
        <v/>
      </c>
      <c r="G53" s="100">
        <f>H53-C53</f>
        <v/>
      </c>
      <c r="H53" s="100">
        <f>J6</f>
        <v/>
      </c>
      <c r="I53" s="100">
        <f>H53+C53</f>
        <v/>
      </c>
      <c r="J53" s="101">
        <f>I53+C53</f>
        <v/>
      </c>
    </row>
    <row r="54">
      <c r="D54" s="20" t="n"/>
      <c r="E54" s="98">
        <f>E55-C52</f>
        <v/>
      </c>
      <c r="F54" s="127">
        <f>(
$G$31/(1+$E$54)^$G$34
+$H$31/(1+$E$54)^$H$34
+$I$31/(1+$E$54)^$I$34
+$J$31/(1+$E$54)^$J$34
+$K$31/(1+$E$54)^$K$34
+(($K$31*(1+F$53))/($E54-F$53))/(1+$E54)^$K$34
-$K$44
)/$K$47</f>
        <v/>
      </c>
      <c r="G54" s="127">
        <f>(
$G$31/(1+$E$54)^$G$34
+$H$31/(1+$E$54)^$H$34
+$I$31/(1+$E$54)^$I$34
+$J$31/(1+$E$54)^$J$34
+$K$31/(1+$E$54)^$K$34
+(($K$31*(1+G$53))/($E54-G$53))/(1+$E54)^$K$34
-$K$44
)/$K$47</f>
        <v/>
      </c>
      <c r="H54" s="127">
        <f>(
$G$31/(1+$E$54)^$G$34
+$H$31/(1+$E$54)^$H$34
+$I$31/(1+$E$54)^$I$34
+$J$31/(1+$E$54)^$J$34
+$K$31/(1+$E$54)^$K$34
+(($K$31*(1+H$53))/($E54-H$53))/(1+$E54)^$K$34
-$K$44
)/$K$47</f>
        <v/>
      </c>
      <c r="I54" s="127">
        <f>(
$G$31/(1+$E$54)^$G$34
+$H$31/(1+$E$54)^$H$34
+$I$31/(1+$E$54)^$I$34
+$J$31/(1+$E$54)^$J$34
+$K$31/(1+$E$54)^$K$34
+(($K$31*(1+I$53))/($E54-I$53))/(1+$E54)^$K$34
-$K$44
)/$K$47</f>
        <v/>
      </c>
      <c r="J54" s="128">
        <f>(
$G$31/(1+$E$54)^$G$34
+$H$31/(1+$E$54)^$H$34
+$I$31/(1+$E$54)^$I$34
+$J$31/(1+$E$54)^$J$34
+$K$31/(1+$E$54)^$K$34
+(($K$31*(1+J$53))/($E54-J$53))/(1+$E54)^$K$34
-$K$44
)/$K$47</f>
        <v/>
      </c>
    </row>
    <row r="55" ht="17.4" customHeight="1" thickBot="1">
      <c r="D55" s="20" t="n"/>
      <c r="E55" s="98">
        <f>E56-C52</f>
        <v/>
      </c>
      <c r="F55" s="127">
        <f>(
$G$31/(1+$E$55)^$G$34
+$H$31/(1+$E$55)^$H$34
+$I$31/(1+$E$55)^$I$34
+$J$31/(1+$E$55)^$J$34
+$K$31/(1+$E$55)^$K$34
+(($K$31*(1+F$53))/($E55-F$53))/(1+$E$55)^$K$34
-$K$44
)/$K$47</f>
        <v/>
      </c>
      <c r="G55" s="127">
        <f>(
$G$31/(1+$E$55)^$G$34
+$H$31/(1+$E$55)^$H$34
+$I$31/(1+$E$55)^$I$34
+$J$31/(1+$E$55)^$J$34
+$K$31/(1+$E$55)^$K$34
+(($K$31*(1+G$53))/($E55-G$53))/(1+$E$55)^$K$34
-$K$44
)/$K$47</f>
        <v/>
      </c>
      <c r="H55" s="127">
        <f>(
$G$31/(1+$E$55)^$G$34
+$H$31/(1+$E$55)^$H$34
+$I$31/(1+$E$55)^$I$34
+$J$31/(1+$E$55)^$J$34
+$K$31/(1+$E$55)^$K$34
+(($K$31*(1+H$53))/($E55-H$53))/(1+$E$55)^$K$34
-$K$44
)/$K$47</f>
        <v/>
      </c>
      <c r="I55" s="127">
        <f>(
$G$31/(1+$E$55)^$G$34
+$H$31/(1+$E$55)^$H$34
+$I$31/(1+$E$55)^$I$34
+$J$31/(1+$E$55)^$J$34
+$K$31/(1+$E$55)^$K$34
+(($K$31*(1+I$53))/($E55-I$53))/(1+$E$55)^$K$34
-$K$44
)/$K$47</f>
        <v/>
      </c>
      <c r="J55" s="128">
        <f>(
$G$31/(1+$E$55)^$G$34
+$H$31/(1+$E$55)^$H$34
+$I$31/(1+$E$55)^$I$34
+$J$31/(1+$E$55)^$J$34
+$K$31/(1+$E$55)^$K$34
+(($K$31*(1+J$53))/($E55-J$53))/(1+$E$55)^$K$34
-$K$44
)/$K$47</f>
        <v/>
      </c>
    </row>
    <row r="56" ht="17.4" customHeight="1" thickBot="1">
      <c r="D56" s="20" t="n"/>
      <c r="E56" s="98">
        <f>E14</f>
        <v/>
      </c>
      <c r="F56" s="127">
        <f>(
$G$31/(1+$E$56)^$G$34
+$H$31/(1+$E$56)^$H$34
+$I$31/(1+$E$56)^$I$34
+$J$31/(1+$E$56)^$J$34
+$K$31/(1+$E$56)^$K$34
+(($K$31*(1+F$53))/($E$56-F$53))/(1+$E$56)^$K$34
-$K$44
)/$K$47</f>
        <v/>
      </c>
      <c r="G56" s="127">
        <f>(
$G$31/(1+$E$56)^$G$34
+$H$31/(1+$E$56)^$H$34
+$I$31/(1+$E$56)^$I$34
+$J$31/(1+$E$56)^$J$34
+$K$31/(1+$E$56)^$K$34
+(($K$31*(1+G$53))/($E$56-G$53))/(1+$E$56)^$K$34
-$K$44
)/$K$47</f>
        <v/>
      </c>
      <c r="H56" s="129">
        <f>(
$G$31/(1+$E$56)^$G$34
+$H$31/(1+$E$56)^$H$34
+$I$31/(1+$E$56)^$I$34
+$J$31/(1+$E$56)^$J$34
+$K$31/(1+$E$56)^$K$34
+(($K$31*(1+H$53))/($E$56-H$53))/(1+$E$56)^$K$34
-$K$44
)/$K$47</f>
        <v/>
      </c>
      <c r="I56" s="127">
        <f>(
$G$31/(1+$E$56)^$G$34
+$H$31/(1+$E$56)^$H$34
+$I$31/(1+$E$56)^$I$34
+$J$31/(1+$E$56)^$J$34
+$K$31/(1+$E$56)^$K$34
+(($K$31*(1+I$53))/($E$56-I$53))/(1+$E$56)^$K$34
-$K$44
)/$K$47</f>
        <v/>
      </c>
      <c r="J56" s="128">
        <f>(
$G$31/(1+$E$56)^$G$34
+$H$31/(1+$E$56)^$H$34
+$I$31/(1+$E$56)^$I$34
+$J$31/(1+$E$56)^$J$34
+$K$31/(1+$E$56)^$K$34
+(($K$31*(1+J$53))/($E$56-J$53))/(1+$E$56)^$K$34
-$K$44
)/$K$47</f>
        <v/>
      </c>
    </row>
    <row r="57">
      <c r="E57" s="98">
        <f>E56+C52</f>
        <v/>
      </c>
      <c r="F57" s="127">
        <f>(
$G$31/(1+$E$57)^$G$34
+$H$31/(1+$E$57)^$H$34
+$I$31/(1+$E$57)^$I$34
+$J$31/(1+$E$57)^$J$34
+$K$31/(1+$E$57)^$K$34
+(($K$31*(1+F$53))/($E$57-F$53))/(1+$E$57)^$K$34
-$K$44
)/$K$47</f>
        <v/>
      </c>
      <c r="G57" s="127">
        <f>(
$G$31/(1+$E$57)^$G$34
+$H$31/(1+$E$57)^$H$34
+$I$31/(1+$E$57)^$I$34
+$J$31/(1+$E$57)^$J$34
+$K$31/(1+$E$57)^$K$34
+(($K$31*(1+G$53))/($E$57-G$53))/(1+$E$57)^$K$34
-$K$44
)/$K$47</f>
        <v/>
      </c>
      <c r="H57" s="127">
        <f>(
$G$31/(1+$E$57)^$G$34
+$H$31/(1+$E$57)^$H$34
+$I$31/(1+$E$57)^$I$34
+$J$31/(1+$E$57)^$J$34
+$K$31/(1+$E$57)^$K$34
+(($K$31*(1+H$53))/($E$57-H$53))/(1+$E$57)^$K$34
-$K$44
)/$K$47</f>
        <v/>
      </c>
      <c r="I57" s="127">
        <f>(
$G$31/(1+$E$57)^$G$34
+$H$31/(1+$E$57)^$H$34
+$I$31/(1+$E$57)^$I$34
+$J$31/(1+$E$57)^$J$34
+$K$31/(1+$E$57)^$K$34
+(($K$31*(1+I$53))/($E$57-I$53))/(1+$E$57)^$K$34
-$K$44
)/$K$47</f>
        <v/>
      </c>
      <c r="J57" s="128">
        <f>(
$G$31/(1+$E$57)^$G$34
+$H$31/(1+$E$57)^$H$34
+$I$31/(1+$E$57)^$I$34
+$J$31/(1+$E$57)^$J$34
+$K$31/(1+$E$57)^$K$34
+(($K$31*(1+J$53))/($E$57-J$53))/(1+$E$57)^$K$34
-$K$44
)/$K$47</f>
        <v/>
      </c>
    </row>
    <row r="58" ht="17.4" customHeight="1" thickBot="1">
      <c r="E58" s="99">
        <f>E57+C52</f>
        <v/>
      </c>
      <c r="F58" s="130">
        <f>(
$G$31/(1+$E$58)^$G$34
+$H$31/(1+$E$58)^$H$34
+$I$31/(1+$E$58)^$I$34
+$J$31/(1+$E$58)^$J$34
+$K$31/(1+$E$58)^$K$34
+(($K$31*(1+F$53))/($E$58-F$53))/(1+$E$58)^$K$34
-$K$44
)/$K$47</f>
        <v/>
      </c>
      <c r="G58" s="130">
        <f>(
$G$31/(1+$E$58)^$G$34
+$H$31/(1+$E$58)^$H$34
+$I$31/(1+$E$58)^$I$34
+$J$31/(1+$E$58)^$J$34
+$K$31/(1+$E$58)^$K$34
+(($K$31*(1+G$53))/($E$58-G$53))/(1+$E$58)^$K$34
-$K$44
)/$K$47</f>
        <v/>
      </c>
      <c r="H58" s="130">
        <f>(
$G$31/(1+$E$58)^$G$34
+$H$31/(1+$E$58)^$H$34
+$I$31/(1+$E$58)^$I$34
+$J$31/(1+$E$58)^$J$34
+$K$31/(1+$E$58)^$K$34
+(($K$31*(1+H$53))/($E$58-H$53))/(1+$E$58)^$K$34
-$K$44
)/$K$47</f>
        <v/>
      </c>
      <c r="I58" s="130">
        <f>(
$G$31/(1+$E$58)^$G$34
+$H$31/(1+$E$58)^$H$34
+$I$31/(1+$E$58)^$I$34
+$J$31/(1+$E$58)^$J$34
+$K$31/(1+$E$58)^$K$34
+(($K$31*(1+I$53))/($E$58-I$53))/(1+$E$58)^$K$34
-$K$44
)/$K$47</f>
        <v/>
      </c>
      <c r="J58" s="131">
        <f>(
$G$31/(1+$E$58)^$G$34
+$H$31/(1+$E$58)^$H$34
+$I$31/(1+$E$58)^$I$34
+$J$31/(1+$E$58)^$J$34
+$K$31/(1+$E$58)^$K$34
+(($K$31*(1+J$53))/($E$58-J$53))/(1+$E$58)^$K$34
-$K$44
)/$K$47</f>
        <v/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ZZ58"/>
  <sheetViews>
    <sheetView showGridLines="0" topLeftCell="A25" zoomScale="75" zoomScaleNormal="100" workbookViewId="0">
      <selection activeCell="F22" sqref="F22"/>
    </sheetView>
  </sheetViews>
  <sheetFormatPr baseColWidth="8" defaultColWidth="8.88671875" defaultRowHeight="16.8"/>
  <cols>
    <col width="2.88671875" customWidth="1" style="1" min="1" max="1"/>
    <col width="21.109375" bestFit="1" customWidth="1" style="1" min="2" max="2"/>
    <col width="7.109375" bestFit="1" customWidth="1" style="1" min="3" max="3"/>
    <col width="12.88671875" customWidth="1" style="1" min="4" max="12"/>
    <col width="21.44140625" bestFit="1" customWidth="1" style="1" min="13" max="13"/>
    <col width="11.5546875" customWidth="1" style="1" min="14" max="14"/>
    <col width="8.88671875" customWidth="1" style="1" min="15" max="16384"/>
    <col hidden="1" width="13" customWidth="1" min="702" max="702"/>
  </cols>
  <sheetData>
    <row r="1">
      <c r="A1" s="2" t="n"/>
      <c r="K1" s="2" t="n"/>
      <c r="ZZ1" t="inlineStr">
        <is>
          <t>model_role</t>
        </is>
      </c>
    </row>
    <row r="2" ht="21.6" customHeight="1">
      <c r="B2" s="138" t="inlineStr">
        <is>
          <t>Microsoft Corporation DCF Bull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M2" s="2" t="n"/>
    </row>
    <row r="3">
      <c r="G3" s="2" t="n"/>
    </row>
    <row r="4">
      <c r="B4" s="17" t="inlineStr">
        <is>
          <t>WACC</t>
        </is>
      </c>
      <c r="C4" s="16" t="n"/>
      <c r="D4" s="16" t="n"/>
      <c r="E4" s="16" t="n">
        <v>0.1</v>
      </c>
      <c r="G4" s="17" t="inlineStr">
        <is>
          <t xml:space="preserve">Other Assumptions </t>
        </is>
      </c>
      <c r="H4" s="16" t="n"/>
      <c r="I4" s="16" t="n"/>
      <c r="J4" s="16" t="n"/>
    </row>
    <row r="5">
      <c r="B5" s="3" t="inlineStr">
        <is>
          <t xml:space="preserve">Beta </t>
        </is>
      </c>
      <c r="E5" s="30" t="n">
        <v>1.2</v>
      </c>
      <c r="G5" s="1" t="inlineStr">
        <is>
          <t xml:space="preserve">Fiscal Year End </t>
        </is>
      </c>
      <c r="J5" s="28" t="n">
        <v>46022</v>
      </c>
    </row>
    <row r="6">
      <c r="B6" s="3" t="inlineStr">
        <is>
          <t xml:space="preserve">Market Risk Premium </t>
        </is>
      </c>
      <c r="E6" s="31" t="n">
        <v>0.0433</v>
      </c>
      <c r="G6" s="3" t="inlineStr">
        <is>
          <t xml:space="preserve">LTGR </t>
        </is>
      </c>
      <c r="J6" s="24" t="n">
        <v>0.025</v>
      </c>
      <c r="N6" s="44" t="n"/>
      <c r="ZZ6" t="inlineStr">
        <is>
          <t>BS_ACCOUNTS_RECEIVABLE</t>
        </is>
      </c>
    </row>
    <row r="7">
      <c r="B7" s="3" t="inlineStr">
        <is>
          <t xml:space="preserve">Risk Free Rate </t>
        </is>
      </c>
      <c r="E7" s="31" t="n">
        <v>0.0406</v>
      </c>
      <c r="G7" s="3" t="inlineStr">
        <is>
          <t>Cash &amp; Equivalents</t>
        </is>
      </c>
      <c r="J7" s="25">
        <f>'DCF Base'!J7</f>
        <v/>
      </c>
      <c r="N7" s="45" t="n"/>
    </row>
    <row r="8">
      <c r="B8" s="3" t="inlineStr">
        <is>
          <t xml:space="preserve">Cost of Equity </t>
        </is>
      </c>
      <c r="E8" s="32">
        <f>E7+(E5*E6)</f>
        <v/>
      </c>
      <c r="G8" s="3" t="inlineStr">
        <is>
          <t>Diluted S/O</t>
        </is>
      </c>
      <c r="J8" s="26">
        <f>'DCF Base'!J8</f>
        <v/>
      </c>
    </row>
    <row r="9">
      <c r="B9" s="3" t="inlineStr">
        <is>
          <t xml:space="preserve">Weight of Equity </t>
        </is>
      </c>
      <c r="E9" s="32">
        <f>J10/SUM(J10:J11)</f>
        <v/>
      </c>
      <c r="G9" s="3" t="inlineStr">
        <is>
          <t xml:space="preserve">Current Price </t>
        </is>
      </c>
      <c r="J9" s="27">
        <f>'DCF Base'!J9</f>
        <v/>
      </c>
    </row>
    <row r="10">
      <c r="B10" s="3" t="inlineStr">
        <is>
          <t xml:space="preserve">Cost of Debt </t>
        </is>
      </c>
      <c r="E10" s="33">
        <f>'3 Statement'!O9</f>
        <v/>
      </c>
      <c r="G10" s="3" t="inlineStr">
        <is>
          <t xml:space="preserve">Mkt Cap </t>
        </is>
      </c>
      <c r="J10" s="29">
        <f>J8*J9</f>
        <v/>
      </c>
      <c r="ZZ10" t="inlineStr">
        <is>
          <t>BS_DEBT_CURRENT</t>
        </is>
      </c>
    </row>
    <row r="11">
      <c r="B11" s="5" t="inlineStr">
        <is>
          <t xml:space="preserve">After Tax CoD </t>
        </is>
      </c>
      <c r="E11" s="32">
        <f>E10*(1-E13)</f>
        <v/>
      </c>
      <c r="G11" s="3" t="inlineStr">
        <is>
          <t>BV Debt</t>
        </is>
      </c>
      <c r="J11" s="26">
        <f>'DCF Base'!J11</f>
        <v/>
      </c>
    </row>
    <row r="12">
      <c r="B12" s="3" t="inlineStr">
        <is>
          <t xml:space="preserve">Weight of Debt </t>
        </is>
      </c>
      <c r="E12" s="34">
        <f>1-E9</f>
        <v/>
      </c>
      <c r="G12" s="1" t="inlineStr">
        <is>
          <t>Financial Units</t>
        </is>
      </c>
      <c r="J12" s="44" t="inlineStr">
        <is>
          <t>USD in millions</t>
        </is>
      </c>
      <c r="ZZ12" t="inlineStr">
        <is>
          <t>BS_DEBT_CURRENT</t>
        </is>
      </c>
    </row>
    <row r="13">
      <c r="B13" s="3" t="inlineStr">
        <is>
          <t xml:space="preserve">Tax Rate </t>
        </is>
      </c>
      <c r="E13" s="35">
        <f>'3 Statement'!O8</f>
        <v/>
      </c>
    </row>
    <row r="14" ht="17.4" customHeight="1" thickBot="1">
      <c r="B14" s="6" t="inlineStr">
        <is>
          <t xml:space="preserve">WACC </t>
        </is>
      </c>
      <c r="C14" s="6" t="n"/>
      <c r="D14" s="6" t="n"/>
      <c r="E14" s="106">
        <f>(E9*E8)+(E12*E10*(1-E13))</f>
        <v/>
      </c>
    </row>
    <row r="15" ht="17.4" customHeight="1" thickTop="1"/>
    <row r="16">
      <c r="B16" s="18" t="inlineStr">
        <is>
          <t xml:space="preserve">Free Cash Flow  </t>
        </is>
      </c>
      <c r="C16" s="19" t="n"/>
      <c r="D16" s="19" t="n">
        <v>2023</v>
      </c>
      <c r="E16" s="19" t="n">
        <v>2024</v>
      </c>
      <c r="F16" s="19" t="n">
        <v>2025</v>
      </c>
      <c r="G16" s="19" t="inlineStr">
        <is>
          <t>2026 E</t>
        </is>
      </c>
      <c r="H16" s="19" t="inlineStr">
        <is>
          <t>2027 E</t>
        </is>
      </c>
      <c r="I16" s="19" t="inlineStr">
        <is>
          <t>2028 E</t>
        </is>
      </c>
      <c r="J16" s="19" t="inlineStr">
        <is>
          <t>2029 E</t>
        </is>
      </c>
      <c r="K16" s="19" t="inlineStr">
        <is>
          <t>2030 E</t>
        </is>
      </c>
      <c r="M16" s="21" t="n"/>
      <c r="ZZ16" t="inlineStr">
        <is>
          <t>BS_CASH</t>
        </is>
      </c>
    </row>
    <row r="17">
      <c r="B17" s="3" t="inlineStr">
        <is>
          <t xml:space="preserve">Revenue </t>
        </is>
      </c>
      <c r="D17" s="103">
        <f>'3 Statement'!D5</f>
        <v/>
      </c>
      <c r="E17" s="103">
        <f>'3 Statement'!E5</f>
        <v/>
      </c>
      <c r="F17" s="103">
        <f>'3 Statement'!F5</f>
        <v/>
      </c>
      <c r="G17" s="90">
        <f>F17*(1+G18)</f>
        <v/>
      </c>
      <c r="H17" s="90">
        <f>G17*(1+H18)</f>
        <v/>
      </c>
      <c r="I17" s="90">
        <f>H17*(1+I18)</f>
        <v/>
      </c>
      <c r="J17" s="90">
        <f>I17*(1+J18)</f>
        <v/>
      </c>
      <c r="K17" s="90">
        <f>J17*(1+K18)</f>
        <v/>
      </c>
      <c r="O17" s="69" t="n"/>
      <c r="P17" s="69" t="n"/>
      <c r="Q17" s="69" t="n"/>
      <c r="R17" s="69" t="n"/>
      <c r="S17" s="69" t="n"/>
      <c r="ZZ17" t="inlineStr">
        <is>
          <t>IS_REVENUE</t>
        </is>
      </c>
    </row>
    <row r="18">
      <c r="B18" s="37" t="inlineStr">
        <is>
          <t xml:space="preserve">Revenue Growth (%) </t>
        </is>
      </c>
      <c r="D18" s="68" t="n"/>
      <c r="E18" s="69">
        <f>E17/D17-1</f>
        <v/>
      </c>
      <c r="F18" s="69">
        <f>F17/E17-1</f>
        <v/>
      </c>
      <c r="G18" s="89">
        <f>0.2</f>
        <v/>
      </c>
      <c r="H18" s="89">
        <f>0.2</f>
        <v/>
      </c>
      <c r="I18" s="89">
        <f>0.2</f>
        <v/>
      </c>
      <c r="J18" s="89">
        <f>0.2</f>
        <v/>
      </c>
      <c r="K18" s="89">
        <f>0.2</f>
        <v/>
      </c>
      <c r="O18" s="20" t="n"/>
      <c r="ZZ18" t="inlineStr">
        <is>
          <t>IS_REVENUE</t>
        </is>
      </c>
    </row>
    <row r="19">
      <c r="B19" s="3" t="inlineStr">
        <is>
          <t xml:space="preserve">(-) COGS </t>
        </is>
      </c>
      <c r="D19" s="108">
        <f>'3 Statement'!D6</f>
        <v/>
      </c>
      <c r="E19" s="108">
        <f>'3 Statement'!E6</f>
        <v/>
      </c>
      <c r="F19" s="108">
        <f>'3 Statement'!F6</f>
        <v/>
      </c>
      <c r="G19" s="109">
        <f>G17-G20</f>
        <v/>
      </c>
      <c r="H19" s="109">
        <f>H17-H20</f>
        <v/>
      </c>
      <c r="I19" s="109">
        <f>I17-I20</f>
        <v/>
      </c>
      <c r="J19" s="109">
        <f>J17-J20</f>
        <v/>
      </c>
      <c r="K19" s="109">
        <f>K17-K20</f>
        <v/>
      </c>
      <c r="O19" s="20" t="n"/>
      <c r="ZZ19" t="inlineStr">
        <is>
          <t>IS_COGS</t>
        </is>
      </c>
    </row>
    <row r="20">
      <c r="B20" s="8" t="inlineStr">
        <is>
          <t xml:space="preserve">GP </t>
        </is>
      </c>
      <c r="C20" s="22" t="n"/>
      <c r="D20" s="103">
        <f>D17-D19</f>
        <v/>
      </c>
      <c r="E20" s="103">
        <f>E17-E19</f>
        <v/>
      </c>
      <c r="F20" s="103">
        <f>F17-F19</f>
        <v/>
      </c>
      <c r="G20" s="90">
        <f>G17*G21</f>
        <v/>
      </c>
      <c r="H20" s="90">
        <f>H17*H21</f>
        <v/>
      </c>
      <c r="I20" s="90">
        <f>I17*I21</f>
        <v/>
      </c>
      <c r="J20" s="90">
        <f>J17*J21</f>
        <v/>
      </c>
      <c r="K20" s="90">
        <f>K17*K21</f>
        <v/>
      </c>
    </row>
    <row r="21">
      <c r="B21" s="37" t="inlineStr">
        <is>
          <t xml:space="preserve">GP Margin (%) </t>
        </is>
      </c>
      <c r="D21" s="68" t="n"/>
      <c r="E21" s="69">
        <f>E20/E17</f>
        <v/>
      </c>
      <c r="F21" s="69">
        <f>F20/F17</f>
        <v/>
      </c>
      <c r="G21" s="89">
        <f>0.8</f>
        <v/>
      </c>
      <c r="H21" s="89">
        <f>0.8</f>
        <v/>
      </c>
      <c r="I21" s="89">
        <f>0.8</f>
        <v/>
      </c>
      <c r="J21" s="89">
        <f>0.8</f>
        <v/>
      </c>
      <c r="K21" s="89">
        <f>0.8</f>
        <v/>
      </c>
      <c r="O21" s="68" t="n"/>
      <c r="ZZ21" t="inlineStr">
        <is>
          <t>BS_ACCOUNTS_RECEIVABLE</t>
        </is>
      </c>
    </row>
    <row r="22">
      <c r="B22" s="7" t="n"/>
      <c r="G22" s="83" t="n"/>
      <c r="H22" s="83" t="n"/>
      <c r="I22" s="83" t="n"/>
      <c r="J22" s="83" t="n"/>
      <c r="K22" s="83" t="n"/>
      <c r="O22" s="68" t="n"/>
    </row>
    <row r="23">
      <c r="B23" s="3" t="inlineStr">
        <is>
          <t>(-) Op Ex</t>
        </is>
      </c>
      <c r="D23" s="108">
        <f>SUM('3 Statement'!D9:D11)</f>
        <v/>
      </c>
      <c r="E23" s="108">
        <f>SUM('3 Statement'!E9:E11)</f>
        <v/>
      </c>
      <c r="F23" s="108">
        <f>SUM('3 Statement'!F9:F11)</f>
        <v/>
      </c>
      <c r="G23" s="109">
        <f>G20-G24</f>
        <v/>
      </c>
      <c r="H23" s="109">
        <f>H20-H24</f>
        <v/>
      </c>
      <c r="I23" s="109">
        <f>I20-I24</f>
        <v/>
      </c>
      <c r="J23" s="109">
        <f>J20-J24</f>
        <v/>
      </c>
      <c r="K23" s="109">
        <f>K20-K24</f>
        <v/>
      </c>
      <c r="ZZ23" t="inlineStr">
        <is>
          <t>IS_OPERATING_EXPENSE</t>
        </is>
      </c>
    </row>
    <row r="24">
      <c r="B24" s="9" t="inlineStr">
        <is>
          <t xml:space="preserve">EBIT </t>
        </is>
      </c>
      <c r="C24" s="22" t="n"/>
      <c r="D24" s="103">
        <f>D20+D23</f>
        <v/>
      </c>
      <c r="E24" s="103">
        <f>E20+E23</f>
        <v/>
      </c>
      <c r="F24" s="103">
        <f>F20+F23</f>
        <v/>
      </c>
      <c r="G24" s="90">
        <f>G25*G17</f>
        <v/>
      </c>
      <c r="H24" s="90">
        <f>H25*H17</f>
        <v/>
      </c>
      <c r="I24" s="90">
        <f>I25*I17</f>
        <v/>
      </c>
      <c r="J24" s="90">
        <f>J25*J17</f>
        <v/>
      </c>
      <c r="K24" s="90">
        <f>K25*K17</f>
        <v/>
      </c>
      <c r="ZZ24" t="inlineStr">
        <is>
          <t>IS_EBIT</t>
        </is>
      </c>
    </row>
    <row r="25">
      <c r="B25" s="7" t="inlineStr">
        <is>
          <t>EBIT Margin (%)</t>
        </is>
      </c>
      <c r="D25" s="69">
        <f>D24/D17</f>
        <v/>
      </c>
      <c r="E25" s="69">
        <f>E24/E17</f>
        <v/>
      </c>
      <c r="F25" s="69">
        <f>F24/F17</f>
        <v/>
      </c>
      <c r="G25" s="89">
        <f>0.55</f>
        <v/>
      </c>
      <c r="H25" s="89">
        <f>0.55</f>
        <v/>
      </c>
      <c r="I25" s="89">
        <f>0.55</f>
        <v/>
      </c>
      <c r="J25" s="89">
        <f>0.55</f>
        <v/>
      </c>
      <c r="K25" s="89">
        <f>0.55</f>
        <v/>
      </c>
      <c r="N25" s="2" t="n"/>
      <c r="ZZ25" t="inlineStr">
        <is>
          <t>IS_EBIT</t>
        </is>
      </c>
    </row>
    <row r="26">
      <c r="B26" s="7" t="n"/>
      <c r="G26" s="83" t="n"/>
      <c r="H26" s="83" t="n"/>
      <c r="I26" s="83" t="n"/>
      <c r="J26" s="83" t="n"/>
      <c r="K26" s="83" t="n"/>
    </row>
    <row r="27">
      <c r="B27" s="10" t="inlineStr">
        <is>
          <t xml:space="preserve">NOPAT </t>
        </is>
      </c>
      <c r="D27" s="123">
        <f>D24*(1-$E$13)</f>
        <v/>
      </c>
      <c r="E27" s="123">
        <f>E24*(1-$E$13)</f>
        <v/>
      </c>
      <c r="F27" s="123">
        <f>F24*(1-$E$13)</f>
        <v/>
      </c>
      <c r="G27" s="124">
        <f>G24*(1-$E$13)</f>
        <v/>
      </c>
      <c r="H27" s="124">
        <f>H24*(1-$E$13)</f>
        <v/>
      </c>
      <c r="I27" s="124">
        <f>I24*(1-$E$13)</f>
        <v/>
      </c>
      <c r="J27" s="124">
        <f>J24*(1-$E$13)</f>
        <v/>
      </c>
      <c r="K27" s="124">
        <f>K24*(1-$E$13)</f>
        <v/>
      </c>
      <c r="ZZ27" t="inlineStr">
        <is>
          <t>IS_NOPAT</t>
        </is>
      </c>
    </row>
    <row r="28">
      <c r="B28" s="3" t="inlineStr">
        <is>
          <t xml:space="preserve">(+) D&amp;A </t>
        </is>
      </c>
      <c r="D28" s="103">
        <f>'3 Statement'!D71</f>
        <v/>
      </c>
      <c r="E28" s="103">
        <f>'3 Statement'!E71</f>
        <v/>
      </c>
      <c r="F28" s="103">
        <f>'3 Statement'!F71</f>
        <v/>
      </c>
      <c r="G28" s="90">
        <f>0.16*G17</f>
        <v/>
      </c>
      <c r="H28" s="90">
        <f>0.16*H17</f>
        <v/>
      </c>
      <c r="I28" s="90">
        <f>0.16*I17</f>
        <v/>
      </c>
      <c r="J28" s="90">
        <f>0.16*J17</f>
        <v/>
      </c>
      <c r="K28" s="90">
        <f>0.16*K17</f>
        <v/>
      </c>
      <c r="M28" s="1" t="inlineStr">
        <is>
          <t>*</t>
        </is>
      </c>
      <c r="ZZ28" t="inlineStr">
        <is>
          <t>CF_DEPRECIATION</t>
        </is>
      </c>
    </row>
    <row r="29">
      <c r="B29" s="3" t="inlineStr">
        <is>
          <t>(-) CapEx</t>
        </is>
      </c>
      <c r="D29" s="103">
        <f>'3 Statement'!D78</f>
        <v/>
      </c>
      <c r="E29" s="103">
        <f>'3 Statement'!E78</f>
        <v/>
      </c>
      <c r="F29" s="103">
        <f>'3 Statement'!F78</f>
        <v/>
      </c>
      <c r="G29" s="90">
        <f>-0.17*G17</f>
        <v/>
      </c>
      <c r="H29" s="90">
        <f>-0.17*H17</f>
        <v/>
      </c>
      <c r="I29" s="90">
        <f>-0.17*I17</f>
        <v/>
      </c>
      <c r="J29" s="90">
        <f>-0.17*J17</f>
        <v/>
      </c>
      <c r="K29" s="90">
        <f>-0.17*K17</f>
        <v/>
      </c>
      <c r="ZZ29" t="inlineStr">
        <is>
          <t>CF_CAPEX</t>
        </is>
      </c>
    </row>
    <row r="30">
      <c r="B30" s="3" t="inlineStr">
        <is>
          <t xml:space="preserve">(-) Changes in WC </t>
        </is>
      </c>
      <c r="D30" s="108">
        <f>'3 Statement'!D74</f>
        <v/>
      </c>
      <c r="E30" s="108">
        <f>'3 Statement'!E74</f>
        <v/>
      </c>
      <c r="F30" s="108">
        <f>'3 Statement'!F74</f>
        <v/>
      </c>
      <c r="G30" s="109">
        <f>-50.0</f>
        <v/>
      </c>
      <c r="H30" s="109">
        <f>-50.0</f>
        <v/>
      </c>
      <c r="I30" s="109">
        <f>-50.0</f>
        <v/>
      </c>
      <c r="J30" s="109">
        <f>-50.0</f>
        <v/>
      </c>
      <c r="K30" s="109">
        <f>-50.0</f>
        <v/>
      </c>
      <c r="ZZ30" t="inlineStr">
        <is>
          <t>CF_CHANGE_IN_WORKING_CAPITAL</t>
        </is>
      </c>
    </row>
    <row r="31">
      <c r="B31" s="9" t="inlineStr">
        <is>
          <t xml:space="preserve">Unlevered Free Cash Flow </t>
        </is>
      </c>
      <c r="C31" s="22" t="n"/>
      <c r="D31" s="103">
        <f>D27+D28+D29+D30</f>
        <v/>
      </c>
      <c r="E31" s="103">
        <f>E27+E28+E29+E30</f>
        <v/>
      </c>
      <c r="F31" s="103">
        <f>F27+F28+F29+F30</f>
        <v/>
      </c>
      <c r="G31" s="90">
        <f>G27+G28+G29+G30</f>
        <v/>
      </c>
      <c r="H31" s="90">
        <f>H27+H28+H29+H30</f>
        <v/>
      </c>
      <c r="I31" s="90">
        <f>I27+I28+I29+I30</f>
        <v/>
      </c>
      <c r="J31" s="90">
        <f>J27+J28+J29+J30</f>
        <v/>
      </c>
      <c r="K31" s="90">
        <f>K27+K28+K29+K30</f>
        <v/>
      </c>
      <c r="ZZ31" t="inlineStr">
        <is>
          <t>BS_CASH</t>
        </is>
      </c>
    </row>
    <row r="32"/>
    <row r="33">
      <c r="B33" s="17" t="inlineStr">
        <is>
          <t xml:space="preserve">DCF </t>
        </is>
      </c>
      <c r="C33" s="19" t="n"/>
      <c r="D33" s="19" t="n"/>
      <c r="E33" s="19" t="n"/>
      <c r="F33" s="19" t="n"/>
      <c r="G33" s="19" t="inlineStr">
        <is>
          <t>2026 E</t>
        </is>
      </c>
      <c r="H33" s="19" t="inlineStr">
        <is>
          <t>2027 E</t>
        </is>
      </c>
      <c r="I33" s="19" t="inlineStr">
        <is>
          <t>2028 E</t>
        </is>
      </c>
      <c r="J33" s="19" t="inlineStr">
        <is>
          <t>2029 E</t>
        </is>
      </c>
      <c r="K33" s="19" t="inlineStr">
        <is>
          <t>2030 E</t>
        </is>
      </c>
    </row>
    <row r="34">
      <c r="B34" s="3" t="inlineStr">
        <is>
          <t xml:space="preserve">Discount Period </t>
        </is>
      </c>
      <c r="G34" s="48">
        <f>YEARFRAC(TODAY(),$J$5)</f>
        <v/>
      </c>
      <c r="H34" s="48">
        <f>G34+1</f>
        <v/>
      </c>
      <c r="I34" s="48">
        <f>H34+1</f>
        <v/>
      </c>
      <c r="J34" s="48">
        <f>I34+1</f>
        <v/>
      </c>
      <c r="K34" s="48">
        <f>J34+1</f>
        <v/>
      </c>
      <c r="N34" s="4" t="n"/>
      <c r="O34" s="4" t="n"/>
      <c r="P34" s="4" t="n"/>
    </row>
    <row r="35">
      <c r="B35" s="3" t="inlineStr">
        <is>
          <t xml:space="preserve">Discount Factor </t>
        </is>
      </c>
      <c r="G35" s="49">
        <f>(1/(1+$E$14))^G34</f>
        <v/>
      </c>
      <c r="H35" s="49">
        <f>(1/(1+$E$14))^H34</f>
        <v/>
      </c>
      <c r="I35" s="49">
        <f>(1/(1+$E$14))^I34</f>
        <v/>
      </c>
      <c r="J35" s="49">
        <f>(1/(1+$E$14))^J34</f>
        <v/>
      </c>
      <c r="K35" s="49">
        <f>(1/(1+$E$14))^K34</f>
        <v/>
      </c>
      <c r="N35" s="49" t="n"/>
      <c r="O35" s="49" t="n"/>
      <c r="P35" s="49" t="n"/>
    </row>
    <row r="36">
      <c r="B36" s="3" t="n"/>
      <c r="N36" s="49" t="n"/>
      <c r="O36" s="49" t="n"/>
      <c r="P36" s="49" t="n"/>
    </row>
    <row r="37">
      <c r="B37" s="11" t="inlineStr">
        <is>
          <t xml:space="preserve">PV of UFCF </t>
        </is>
      </c>
      <c r="G37" s="1">
        <f>G31*G35</f>
        <v/>
      </c>
      <c r="H37" s="1">
        <f>H31*H35</f>
        <v/>
      </c>
      <c r="I37" s="1">
        <f>I31*I35</f>
        <v/>
      </c>
      <c r="J37" s="1">
        <f>J31*J35</f>
        <v/>
      </c>
      <c r="K37" s="1">
        <f>K31*K35</f>
        <v/>
      </c>
    </row>
    <row r="38">
      <c r="B38" s="12" t="inlineStr">
        <is>
          <t xml:space="preserve">Total PV of UFCF </t>
        </is>
      </c>
      <c r="K38" s="21">
        <f>SUM(G37:K37)</f>
        <v/>
      </c>
      <c r="N38" s="2" t="n"/>
    </row>
    <row r="39">
      <c r="B39" s="12" t="n"/>
    </row>
    <row r="40">
      <c r="B40" s="11" t="inlineStr">
        <is>
          <t xml:space="preserve">Terminal Value </t>
        </is>
      </c>
      <c r="K40" s="50">
        <f>(K31*(1+J6))/(E14-J6)</f>
        <v/>
      </c>
    </row>
    <row r="41">
      <c r="B41" s="12" t="inlineStr">
        <is>
          <t xml:space="preserve">PV of TV </t>
        </is>
      </c>
      <c r="K41" s="39">
        <f>K40*K35</f>
        <v/>
      </c>
    </row>
    <row r="42">
      <c r="B42" s="12" t="n"/>
      <c r="K42" s="40" t="n"/>
    </row>
    <row r="43">
      <c r="B43" s="12" t="inlineStr">
        <is>
          <t xml:space="preserve">Enterprise Value </t>
        </is>
      </c>
      <c r="K43" s="40">
        <f>K41+K38</f>
        <v/>
      </c>
    </row>
    <row r="44">
      <c r="B44" s="11" t="inlineStr">
        <is>
          <t xml:space="preserve">(-) Net Debt </t>
        </is>
      </c>
      <c r="K44" s="51">
        <f>J11</f>
        <v/>
      </c>
      <c r="ZZ44" t="inlineStr">
        <is>
          <t>BS_DEBT_CURRENT</t>
        </is>
      </c>
    </row>
    <row r="45">
      <c r="B45" s="13" t="inlineStr">
        <is>
          <t xml:space="preserve">Equity Value 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41">
        <f>K43-K44</f>
        <v/>
      </c>
    </row>
    <row r="46">
      <c r="B46" s="12" t="n"/>
      <c r="K46" s="40" t="n"/>
    </row>
    <row r="47">
      <c r="B47" s="11" t="inlineStr">
        <is>
          <t xml:space="preserve">(/) Shares Outstanding </t>
        </is>
      </c>
      <c r="K47" s="42">
        <f>J8</f>
        <v/>
      </c>
      <c r="ZZ47" t="inlineStr">
        <is>
          <t>BS_ACCOUNTS_RECEIVABLE</t>
        </is>
      </c>
    </row>
    <row r="48">
      <c r="B48" s="36" t="inlineStr">
        <is>
          <t xml:space="preserve">Per Share Price Target 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43">
        <f>K45/K47</f>
        <v/>
      </c>
      <c r="ZZ48" t="inlineStr">
        <is>
          <t>BS_ACCOUNTS_RECEIVABLE</t>
        </is>
      </c>
    </row>
    <row r="49">
      <c r="B49" s="38" t="inlineStr">
        <is>
          <t>Implied Upside/Downside</t>
        </is>
      </c>
      <c r="K49" s="107">
        <f>(K48/J9-1)</f>
        <v/>
      </c>
    </row>
    <row r="50"/>
    <row r="51">
      <c r="B51" s="18" t="inlineStr">
        <is>
          <t>Sensitivity Analysis</t>
        </is>
      </c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 ht="17.4" customHeight="1" thickBot="1">
      <c r="B52" s="1" t="inlineStr">
        <is>
          <t>WACC Step</t>
        </is>
      </c>
      <c r="C52" s="68" t="n">
        <v>0.02</v>
      </c>
      <c r="E52" s="20" t="n"/>
      <c r="F52" s="20" t="n"/>
      <c r="G52" s="69" t="n"/>
      <c r="H52" s="20" t="n"/>
      <c r="I52" s="20" t="n"/>
    </row>
    <row r="53">
      <c r="B53" s="1" t="inlineStr">
        <is>
          <t>Terminal Step</t>
        </is>
      </c>
      <c r="C53" s="20" t="n">
        <v>0.0025</v>
      </c>
      <c r="E53" s="76">
        <f>K48</f>
        <v/>
      </c>
      <c r="F53" s="100">
        <f>G53-C53</f>
        <v/>
      </c>
      <c r="G53" s="100">
        <f>H53-C53</f>
        <v/>
      </c>
      <c r="H53" s="100">
        <f>J6</f>
        <v/>
      </c>
      <c r="I53" s="100">
        <f>H53+C53</f>
        <v/>
      </c>
      <c r="J53" s="101">
        <f>I53+C53</f>
        <v/>
      </c>
    </row>
    <row r="54">
      <c r="D54" s="20" t="n"/>
      <c r="E54" s="98">
        <f>E55-C52</f>
        <v/>
      </c>
      <c r="F54" s="127">
        <f>(
$G$31/(1+$E$54)^$G$34
+$H$31/(1+$E$54)^$H$34
+$I$31/(1+$E$54)^$I$34
+$J$31/(1+$E$54)^$J$34
+$K$31/(1+$E$54)^$K$34
+(($K$31*(1+F$53))/($E54-F$53))/(1+$E54)^$K$34
-$K$44
)/$K$47</f>
        <v/>
      </c>
      <c r="G54" s="127">
        <f>(
$G$31/(1+$E$54)^$G$34
+$H$31/(1+$E$54)^$H$34
+$I$31/(1+$E$54)^$I$34
+$J$31/(1+$E$54)^$J$34
+$K$31/(1+$E$54)^$K$34
+(($K$31*(1+G$53))/($E54-G$53))/(1+$E54)^$K$34
-$K$44
)/$K$47</f>
        <v/>
      </c>
      <c r="H54" s="127">
        <f>(
$G$31/(1+$E$54)^$G$34
+$H$31/(1+$E$54)^$H$34
+$I$31/(1+$E$54)^$I$34
+$J$31/(1+$E$54)^$J$34
+$K$31/(1+$E$54)^$K$34
+(($K$31*(1+H$53))/($E54-H$53))/(1+$E54)^$K$34
-$K$44
)/$K$47</f>
        <v/>
      </c>
      <c r="I54" s="127">
        <f>(
$G$31/(1+$E$54)^$G$34
+$H$31/(1+$E$54)^$H$34
+$I$31/(1+$E$54)^$I$34
+$J$31/(1+$E$54)^$J$34
+$K$31/(1+$E$54)^$K$34
+(($K$31*(1+I$53))/($E54-I$53))/(1+$E54)^$K$34
-$K$44
)/$K$47</f>
        <v/>
      </c>
      <c r="J54" s="128">
        <f>(
$G$31/(1+$E$54)^$G$34
+$H$31/(1+$E$54)^$H$34
+$I$31/(1+$E$54)^$I$34
+$J$31/(1+$E$54)^$J$34
+$K$31/(1+$E$54)^$K$34
+(($K$31*(1+J$53))/($E54-J$53))/(1+$E54)^$K$34
-$K$44
)/$K$47</f>
        <v/>
      </c>
    </row>
    <row r="55" ht="17.4" customHeight="1" thickBot="1">
      <c r="D55" s="20" t="n"/>
      <c r="E55" s="98">
        <f>E56-C52</f>
        <v/>
      </c>
      <c r="F55" s="127">
        <f>(
$G$31/(1+$E$55)^$G$34
+$H$31/(1+$E$55)^$H$34
+$I$31/(1+$E$55)^$I$34
+$J$31/(1+$E$55)^$J$34
+$K$31/(1+$E$55)^$K$34
+(($K$31*(1+F$53))/($E55-F$53))/(1+$E$55)^$K$34
-$K$44
)/$K$47</f>
        <v/>
      </c>
      <c r="G55" s="127">
        <f>(
$G$31/(1+$E$55)^$G$34
+$H$31/(1+$E$55)^$H$34
+$I$31/(1+$E$55)^$I$34
+$J$31/(1+$E$55)^$J$34
+$K$31/(1+$E$55)^$K$34
+(($K$31*(1+G$53))/($E55-G$53))/(1+$E$55)^$K$34
-$K$44
)/$K$47</f>
        <v/>
      </c>
      <c r="H55" s="127">
        <f>(
$G$31/(1+$E$55)^$G$34
+$H$31/(1+$E$55)^$H$34
+$I$31/(1+$E$55)^$I$34
+$J$31/(1+$E$55)^$J$34
+$K$31/(1+$E$55)^$K$34
+(($K$31*(1+H$53))/($E55-H$53))/(1+$E$55)^$K$34
-$K$44
)/$K$47</f>
        <v/>
      </c>
      <c r="I55" s="127">
        <f>(
$G$31/(1+$E$55)^$G$34
+$H$31/(1+$E$55)^$H$34
+$I$31/(1+$E$55)^$I$34
+$J$31/(1+$E$55)^$J$34
+$K$31/(1+$E$55)^$K$34
+(($K$31*(1+I$53))/($E55-I$53))/(1+$E$55)^$K$34
-$K$44
)/$K$47</f>
        <v/>
      </c>
      <c r="J55" s="128">
        <f>(
$G$31/(1+$E$55)^$G$34
+$H$31/(1+$E$55)^$H$34
+$I$31/(1+$E$55)^$I$34
+$J$31/(1+$E$55)^$J$34
+$K$31/(1+$E$55)^$K$34
+(($K$31*(1+J$53))/($E55-J$53))/(1+$E$55)^$K$34
-$K$44
)/$K$47</f>
        <v/>
      </c>
    </row>
    <row r="56" ht="17.4" customHeight="1" thickBot="1">
      <c r="D56" s="20" t="n"/>
      <c r="E56" s="98">
        <f>E14</f>
        <v/>
      </c>
      <c r="F56" s="127">
        <f>(
$G$31/(1+$E$56)^$G$34
+$H$31/(1+$E$56)^$H$34
+$I$31/(1+$E$56)^$I$34
+$J$31/(1+$E$56)^$J$34
+$K$31/(1+$E$56)^$K$34
+(($K$31*(1+F$53))/($E$56-F$53))/(1+$E$56)^$K$34
-$K$44
)/$K$47</f>
        <v/>
      </c>
      <c r="G56" s="127">
        <f>(
$G$31/(1+$E$56)^$G$34
+$H$31/(1+$E$56)^$H$34
+$I$31/(1+$E$56)^$I$34
+$J$31/(1+$E$56)^$J$34
+$K$31/(1+$E$56)^$K$34
+(($K$31*(1+G$53))/($E$56-G$53))/(1+$E$56)^$K$34
-$K$44
)/$K$47</f>
        <v/>
      </c>
      <c r="H56" s="129">
        <f>(
$G$31/(1+$E$56)^$G$34
+$H$31/(1+$E$56)^$H$34
+$I$31/(1+$E$56)^$I$34
+$J$31/(1+$E$56)^$J$34
+$K$31/(1+$E$56)^$K$34
+(($K$31*(1+H$53))/($E$56-H$53))/(1+$E$56)^$K$34
-$K$44
)/$K$47</f>
        <v/>
      </c>
      <c r="I56" s="127">
        <f>(
$G$31/(1+$E$56)^$G$34
+$H$31/(1+$E$56)^$H$34
+$I$31/(1+$E$56)^$I$34
+$J$31/(1+$E$56)^$J$34
+$K$31/(1+$E$56)^$K$34
+(($K$31*(1+I$53))/($E$56-I$53))/(1+$E$56)^$K$34
-$K$44
)/$K$47</f>
        <v/>
      </c>
      <c r="J56" s="128">
        <f>(
$G$31/(1+$E$56)^$G$34
+$H$31/(1+$E$56)^$H$34
+$I$31/(1+$E$56)^$I$34
+$J$31/(1+$E$56)^$J$34
+$K$31/(1+$E$56)^$K$34
+(($K$31*(1+J$53))/($E$56-J$53))/(1+$E$56)^$K$34
-$K$44
)/$K$47</f>
        <v/>
      </c>
    </row>
    <row r="57">
      <c r="E57" s="98">
        <f>E56+C52</f>
        <v/>
      </c>
      <c r="F57" s="127">
        <f>(
$G$31/(1+$E$57)^$G$34
+$H$31/(1+$E$57)^$H$34
+$I$31/(1+$E$57)^$I$34
+$J$31/(1+$E$57)^$J$34
+$K$31/(1+$E$57)^$K$34
+(($K$31*(1+F$53))/($E$57-F$53))/(1+$E$57)^$K$34
-$K$44
)/$K$47</f>
        <v/>
      </c>
      <c r="G57" s="127">
        <f>(
$G$31/(1+$E$57)^$G$34
+$H$31/(1+$E$57)^$H$34
+$I$31/(1+$E$57)^$I$34
+$J$31/(1+$E$57)^$J$34
+$K$31/(1+$E$57)^$K$34
+(($K$31*(1+G$53))/($E$57-G$53))/(1+$E$57)^$K$34
-$K$44
)/$K$47</f>
        <v/>
      </c>
      <c r="H57" s="127">
        <f>(
$G$31/(1+$E$57)^$G$34
+$H$31/(1+$E$57)^$H$34
+$I$31/(1+$E$57)^$I$34
+$J$31/(1+$E$57)^$J$34
+$K$31/(1+$E$57)^$K$34
+(($K$31*(1+H$53))/($E$57-H$53))/(1+$E$57)^$K$34
-$K$44
)/$K$47</f>
        <v/>
      </c>
      <c r="I57" s="127">
        <f>(
$G$31/(1+$E$57)^$G$34
+$H$31/(1+$E$57)^$H$34
+$I$31/(1+$E$57)^$I$34
+$J$31/(1+$E$57)^$J$34
+$K$31/(1+$E$57)^$K$34
+(($K$31*(1+I$53))/($E$57-I$53))/(1+$E$57)^$K$34
-$K$44
)/$K$47</f>
        <v/>
      </c>
      <c r="J57" s="128">
        <f>(
$G$31/(1+$E$57)^$G$34
+$H$31/(1+$E$57)^$H$34
+$I$31/(1+$E$57)^$I$34
+$J$31/(1+$E$57)^$J$34
+$K$31/(1+$E$57)^$K$34
+(($K$31*(1+J$53))/($E$57-J$53))/(1+$E$57)^$K$34
-$K$44
)/$K$47</f>
        <v/>
      </c>
    </row>
    <row r="58" ht="17.4" customHeight="1" thickBot="1">
      <c r="E58" s="99">
        <f>E57+C52</f>
        <v/>
      </c>
      <c r="F58" s="130">
        <f>(
$G$31/(1+$E$58)^$G$34
+$H$31/(1+$E$58)^$H$34
+$I$31/(1+$E$58)^$I$34
+$J$31/(1+$E$58)^$J$34
+$K$31/(1+$E$58)^$K$34
+(($K$31*(1+F$53))/($E$58-F$53))/(1+$E$58)^$K$34
-$K$44
)/$K$47</f>
        <v/>
      </c>
      <c r="G58" s="130">
        <f>(
$G$31/(1+$E$58)^$G$34
+$H$31/(1+$E$58)^$H$34
+$I$31/(1+$E$58)^$I$34
+$J$31/(1+$E$58)^$J$34
+$K$31/(1+$E$58)^$K$34
+(($K$31*(1+G$53))/($E$58-G$53))/(1+$E$58)^$K$34
-$K$44
)/$K$47</f>
        <v/>
      </c>
      <c r="H58" s="130">
        <f>(
$G$31/(1+$E$58)^$G$34
+$H$31/(1+$E$58)^$H$34
+$I$31/(1+$E$58)^$I$34
+$J$31/(1+$E$58)^$J$34
+$K$31/(1+$E$58)^$K$34
+(($K$31*(1+H$53))/($E$58-H$53))/(1+$E$58)^$K$34
-$K$44
)/$K$47</f>
        <v/>
      </c>
      <c r="I58" s="130">
        <f>(
$G$31/(1+$E$58)^$G$34
+$H$31/(1+$E$58)^$H$34
+$I$31/(1+$E$58)^$I$34
+$J$31/(1+$E$58)^$J$34
+$K$31/(1+$E$58)^$K$34
+(($K$31*(1+I$53))/($E$58-I$53))/(1+$E$58)^$K$34
-$K$44
)/$K$47</f>
        <v/>
      </c>
      <c r="J58" s="131">
        <f>(
$G$31/(1+$E$58)^$G$34
+$H$31/(1+$E$58)^$H$34
+$I$31/(1+$E$58)^$I$34
+$J$31/(1+$E$58)^$J$34
+$K$31/(1+$E$58)^$K$34
+(($K$31*(1+J$53))/($E$58-J$53))/(1+$E$58)^$K$34
-$K$44
)/$K$47</f>
        <v/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1:ZZ199"/>
  <sheetViews>
    <sheetView showGridLines="0" topLeftCell="A57" zoomScale="61" zoomScaleNormal="76" workbookViewId="0">
      <selection activeCell="X23" sqref="X23"/>
    </sheetView>
  </sheetViews>
  <sheetFormatPr baseColWidth="8" defaultColWidth="8.88671875" defaultRowHeight="16.8"/>
  <cols>
    <col width="2.88671875" customWidth="1" style="1" min="1" max="1"/>
    <col width="51.6640625" bestFit="1" customWidth="1" style="1" min="2" max="2"/>
    <col width="2.88671875" customWidth="1" style="1" min="3" max="3"/>
    <col width="12.88671875" customWidth="1" style="1" min="4" max="11"/>
    <col width="6.6640625" customWidth="1" style="1" min="12" max="12"/>
    <col width="30.5546875" bestFit="1" customWidth="1" style="1" min="13" max="13"/>
    <col width="8.88671875" customWidth="1" style="1" min="14" max="20"/>
    <col width="46.6640625" customWidth="1" style="1" min="21" max="21"/>
    <col width="60.44140625" customWidth="1" style="1" min="22" max="22"/>
    <col width="13.33203125" bestFit="1" customWidth="1" style="1" min="23" max="23"/>
    <col width="8.88671875" customWidth="1" style="1" min="24" max="16384"/>
    <col hidden="1" width="13" customWidth="1" min="702" max="702"/>
  </cols>
  <sheetData>
    <row r="1">
      <c r="ZZ1" t="inlineStr">
        <is>
          <t>model_role</t>
        </is>
      </c>
    </row>
    <row r="2" ht="21.6" customHeight="1">
      <c r="B2" s="138" t="inlineStr">
        <is>
          <t>Microsoft Corporation 3 Statement Model (UNITS)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/>
    <row r="4" ht="21.6" customHeight="1">
      <c r="B4" s="82" t="inlineStr">
        <is>
          <t xml:space="preserve">Income Statement </t>
        </is>
      </c>
      <c r="C4" s="82" t="n"/>
      <c r="D4" s="81" t="inlineStr">
        <is>
          <t>2023 A</t>
        </is>
      </c>
      <c r="E4" s="81" t="inlineStr">
        <is>
          <t>2024 A</t>
        </is>
      </c>
      <c r="F4" s="81" t="inlineStr">
        <is>
          <t>2025 A</t>
        </is>
      </c>
      <c r="G4" s="81" t="inlineStr">
        <is>
          <t>2026 E</t>
        </is>
      </c>
      <c r="H4" s="81" t="inlineStr">
        <is>
          <t>2027 E</t>
        </is>
      </c>
      <c r="I4" s="81" t="inlineStr">
        <is>
          <t>2028 E</t>
        </is>
      </c>
      <c r="J4" s="81" t="inlineStr">
        <is>
          <t>2029 E</t>
        </is>
      </c>
      <c r="K4" s="81" t="inlineStr">
        <is>
          <t>2030 E</t>
        </is>
      </c>
      <c r="M4" s="18" t="inlineStr">
        <is>
          <t>Assumptions</t>
        </is>
      </c>
      <c r="N4" s="19" t="inlineStr">
        <is>
          <t xml:space="preserve">Type </t>
        </is>
      </c>
      <c r="O4" s="19" t="inlineStr">
        <is>
          <t>Value</t>
        </is>
      </c>
      <c r="P4" s="19" t="n"/>
      <c r="Q4" s="19" t="n"/>
      <c r="R4" s="19" t="n"/>
      <c r="S4" s="19" t="n"/>
    </row>
    <row r="5">
      <c r="B5" s="1" t="inlineStr">
        <is>
          <t>Revenue</t>
        </is>
      </c>
      <c r="C5" s="3" t="n"/>
      <c r="D5" s="1" t="n">
        <v>211915</v>
      </c>
      <c r="E5" s="1" t="n">
        <v>245122</v>
      </c>
      <c r="F5" s="1" t="n">
        <v>281724</v>
      </c>
      <c r="G5" s="90">
        <f>F5*(1+O5)</f>
        <v/>
      </c>
      <c r="H5" s="90">
        <f>G5*(1+P5)</f>
        <v/>
      </c>
      <c r="I5" s="90">
        <f>H5*(1+Q5)</f>
        <v/>
      </c>
      <c r="J5" s="90">
        <f>I5*(1+R5)</f>
        <v/>
      </c>
      <c r="K5" s="90">
        <f>J5*(1+S5)</f>
        <v/>
      </c>
      <c r="M5" s="1" t="inlineStr">
        <is>
          <t xml:space="preserve">Revenue </t>
        </is>
      </c>
      <c r="N5" t="inlineStr">
        <is>
          <t>constant</t>
        </is>
      </c>
      <c r="O5" s="139" t="n">
        <v>0.03</v>
      </c>
      <c r="P5" s="20" t="n">
        <v>0.03</v>
      </c>
      <c r="Q5" s="20" t="n">
        <v>0.03</v>
      </c>
      <c r="R5" s="20" t="n">
        <v>0.03</v>
      </c>
      <c r="S5" s="20" t="n">
        <v>0.03</v>
      </c>
      <c r="ZZ5" t="inlineStr">
        <is>
          <t>IS_REVENUE</t>
        </is>
      </c>
    </row>
    <row r="6">
      <c r="B6" s="1" t="inlineStr">
        <is>
          <t xml:space="preserve">Cost of Revenue </t>
        </is>
      </c>
      <c r="D6" s="1" t="n">
        <v>65863</v>
      </c>
      <c r="E6" s="1" t="n">
        <v>74114</v>
      </c>
      <c r="F6" s="1" t="n">
        <v>87831</v>
      </c>
      <c r="G6" s="90">
        <f>G5-G7</f>
        <v/>
      </c>
      <c r="H6" s="90">
        <f>H5-H7</f>
        <v/>
      </c>
      <c r="I6" s="90">
        <f>I5-I7</f>
        <v/>
      </c>
      <c r="J6" s="90">
        <f>J5-J7</f>
        <v/>
      </c>
      <c r="K6" s="90">
        <f>K5-K7</f>
        <v/>
      </c>
      <c r="M6" s="1" t="inlineStr">
        <is>
          <t xml:space="preserve">Gross Margin </t>
        </is>
      </c>
      <c r="N6" t="inlineStr">
        <is>
          <t>constant</t>
        </is>
      </c>
      <c r="O6" s="20" t="n">
        <v>0.7</v>
      </c>
      <c r="P6" s="20" t="n">
        <v>0.7</v>
      </c>
      <c r="Q6" s="20" t="n">
        <v>0.7</v>
      </c>
      <c r="R6" s="20" t="n">
        <v>0.7</v>
      </c>
      <c r="S6" s="20" t="n">
        <v>0.7</v>
      </c>
      <c r="ZZ6" t="inlineStr">
        <is>
          <t>IS_COGS</t>
        </is>
      </c>
    </row>
    <row r="7">
      <c r="B7" s="21" t="inlineStr">
        <is>
          <t>Gross Profit</t>
        </is>
      </c>
      <c r="D7" s="140" t="n">
        <v>146052</v>
      </c>
      <c r="E7" s="140" t="n">
        <v>171008</v>
      </c>
      <c r="F7" s="140" t="n">
        <v>193893</v>
      </c>
      <c r="G7" s="94">
        <f>G8*G5</f>
        <v/>
      </c>
      <c r="H7" s="94">
        <f>H8*H5</f>
        <v/>
      </c>
      <c r="I7" s="94">
        <f>I8*I5</f>
        <v/>
      </c>
      <c r="J7" s="94">
        <f>J8*J5</f>
        <v/>
      </c>
      <c r="K7" s="94">
        <f>K8*K5</f>
        <v/>
      </c>
      <c r="M7" s="1" t="inlineStr">
        <is>
          <t xml:space="preserve">Operating Margin </t>
        </is>
      </c>
      <c r="N7" t="inlineStr">
        <is>
          <t>constant</t>
        </is>
      </c>
      <c r="O7" s="20" t="n">
        <v>0.5</v>
      </c>
      <c r="P7" s="20" t="n">
        <v>0.5</v>
      </c>
      <c r="Q7" s="20" t="n">
        <v>0.5</v>
      </c>
      <c r="R7" s="20" t="n">
        <v>0.5</v>
      </c>
      <c r="S7" s="20" t="n">
        <v>0.5</v>
      </c>
      <c r="ZZ7" t="inlineStr">
        <is>
          <t>IS_GROSS_PROFIT</t>
        </is>
      </c>
    </row>
    <row r="8">
      <c r="B8" s="85" t="inlineStr">
        <is>
          <t>Gross Margin %</t>
        </is>
      </c>
      <c r="D8" s="69">
        <f>D7/D5</f>
        <v/>
      </c>
      <c r="E8" s="69">
        <f>E7/E5</f>
        <v/>
      </c>
      <c r="F8" s="69">
        <f>F7/F5</f>
        <v/>
      </c>
      <c r="G8" s="89">
        <f>F8+(O6)</f>
        <v/>
      </c>
      <c r="H8" s="89">
        <f>G8+(P6)</f>
        <v/>
      </c>
      <c r="I8" s="89">
        <f>H8+(Q6)</f>
        <v/>
      </c>
      <c r="J8" s="89">
        <f>I8+(R6)</f>
        <v/>
      </c>
      <c r="K8" s="89">
        <f>J8+(S6)</f>
        <v/>
      </c>
      <c r="M8" s="1" t="inlineStr">
        <is>
          <t xml:space="preserve">Tax Rate </t>
        </is>
      </c>
      <c r="N8" t="inlineStr">
        <is>
          <t>constant</t>
        </is>
      </c>
      <c r="O8" s="20" t="n">
        <v>0.21</v>
      </c>
      <c r="P8" s="20" t="n">
        <v>0.21</v>
      </c>
      <c r="Q8" s="20" t="n">
        <v>0.21</v>
      </c>
      <c r="R8" s="20" t="n">
        <v>0.21</v>
      </c>
      <c r="S8" s="20" t="n">
        <v>0.21</v>
      </c>
      <c r="ZZ8" t="inlineStr">
        <is>
          <t>BS_ACCOUNTS_RECEIVABLE</t>
        </is>
      </c>
    </row>
    <row r="9">
      <c r="B9" s="1" t="inlineStr">
        <is>
          <t>Research &amp; Development Expenses</t>
        </is>
      </c>
      <c r="D9" s="1" t="n">
        <v>97376</v>
      </c>
      <c r="E9" s="1" t="n">
        <v>113848</v>
      </c>
      <c r="F9" s="1" t="n">
        <v>139810</v>
      </c>
      <c r="G9" s="90">
        <f>(F9/F12)*(G7-G12)</f>
        <v/>
      </c>
      <c r="H9" s="90">
        <f>(G9/G12)*(H7-H12)</f>
        <v/>
      </c>
      <c r="I9" s="90">
        <f>(H9/H12)*(I7-I12)</f>
        <v/>
      </c>
      <c r="J9" s="90">
        <f>(I9/I12)*(J7-J12)</f>
        <v/>
      </c>
      <c r="K9" s="90">
        <f>(J9/J12)*(K7-K12)</f>
        <v/>
      </c>
      <c r="M9" s="1" t="inlineStr">
        <is>
          <t>Interest Rate on Debt</t>
        </is>
      </c>
      <c r="N9" t="inlineStr">
        <is>
          <t>constant</t>
        </is>
      </c>
      <c r="O9" s="20" t="n">
        <v>0.05</v>
      </c>
      <c r="P9" s="20" t="n">
        <v>0.05</v>
      </c>
      <c r="Q9" s="20" t="n">
        <v>0.05</v>
      </c>
      <c r="R9" s="20" t="n">
        <v>0.05</v>
      </c>
      <c r="S9" s="20" t="n">
        <v>0.05</v>
      </c>
      <c r="ZZ9" t="inlineStr">
        <is>
          <t>BS_ACCOUNTS_RECEIVABLE</t>
        </is>
      </c>
    </row>
    <row r="10">
      <c r="B10" s="1" t="inlineStr">
        <is>
          <t>Selling, General &amp; Administrative Expenses (SG&amp;A)</t>
        </is>
      </c>
      <c r="D10" s="1" t="n">
        <v>145392</v>
      </c>
      <c r="E10" s="1" t="n">
        <v>155215</v>
      </c>
      <c r="F10" s="1" t="n">
        <v>163607</v>
      </c>
      <c r="G10" s="90">
        <f>(F10/F12)*(G7-G12)</f>
        <v/>
      </c>
      <c r="H10" s="90">
        <f>(G10/G12)*(H7-H12)</f>
        <v/>
      </c>
      <c r="I10" s="90">
        <f>(H10/H12)*(I7-I12)</f>
        <v/>
      </c>
      <c r="J10" s="90">
        <f>(I10/I12)*(J7-J12)</f>
        <v/>
      </c>
      <c r="K10" s="90">
        <f>(J10/J12)*(K7-K12)</f>
        <v/>
      </c>
      <c r="O10" s="68" t="n"/>
      <c r="P10" s="68" t="n"/>
      <c r="Q10" s="68" t="n"/>
      <c r="R10" s="68" t="n"/>
      <c r="S10" s="68" t="n"/>
      <c r="ZZ10" t="inlineStr">
        <is>
          <t>IS_OPERATING_EXPENSE</t>
        </is>
      </c>
    </row>
    <row r="11">
      <c r="B11" s="1" t="inlineStr">
        <is>
          <t>Other Expenses</t>
        </is>
      </c>
      <c r="D11" s="1" t="n">
        <v>0</v>
      </c>
      <c r="E11" s="1" t="n">
        <v>0</v>
      </c>
      <c r="F11" s="1" t="n">
        <v>0</v>
      </c>
      <c r="G11" s="90">
        <f>(F11/F12)*(G7-G12)</f>
        <v/>
      </c>
      <c r="H11" s="90">
        <f>(G11/G12)*(H7-H12)</f>
        <v/>
      </c>
      <c r="I11" s="90">
        <f>(H11/H12)*(I7-I12)</f>
        <v/>
      </c>
      <c r="J11" s="90">
        <f>(I11/I12)*(J7-J12)</f>
        <v/>
      </c>
      <c r="K11" s="90">
        <f>(J11/J12)*(K7-K12)</f>
        <v/>
      </c>
    </row>
    <row r="12">
      <c r="B12" s="21" t="inlineStr">
        <is>
          <t>Operating Profit</t>
        </is>
      </c>
      <c r="D12" s="140" t="n">
        <v>88523</v>
      </c>
      <c r="E12" s="140" t="n">
        <v>109433</v>
      </c>
      <c r="F12" s="140" t="n">
        <v>128528</v>
      </c>
      <c r="G12" s="94">
        <f>G13*G5</f>
        <v/>
      </c>
      <c r="H12" s="94">
        <f>H13*H5</f>
        <v/>
      </c>
      <c r="I12" s="94">
        <f>I13*I5</f>
        <v/>
      </c>
      <c r="J12" s="94">
        <f>J13*J5</f>
        <v/>
      </c>
      <c r="K12" s="94">
        <f>K13*K5</f>
        <v/>
      </c>
      <c r="O12" s="68" t="n"/>
      <c r="P12" s="68" t="n"/>
      <c r="Q12" s="68" t="n"/>
      <c r="ZZ12" t="inlineStr">
        <is>
          <t>IS_OPERATING_INCOME</t>
        </is>
      </c>
    </row>
    <row r="13">
      <c r="B13" s="85" t="inlineStr">
        <is>
          <t>Operating Margin %</t>
        </is>
      </c>
      <c r="D13" s="69">
        <f>D12/D5</f>
        <v/>
      </c>
      <c r="E13" s="69">
        <f>E12/E5</f>
        <v/>
      </c>
      <c r="F13" s="69">
        <f>F12/F5</f>
        <v/>
      </c>
      <c r="G13" s="89">
        <f>F13+O7</f>
        <v/>
      </c>
      <c r="H13" s="89">
        <f>G13+P7</f>
        <v/>
      </c>
      <c r="I13" s="89">
        <f>H13+Q7</f>
        <v/>
      </c>
      <c r="J13" s="89">
        <f>I13+R7</f>
        <v/>
      </c>
      <c r="K13" s="89">
        <f>J13+S7</f>
        <v/>
      </c>
      <c r="O13" s="68" t="n"/>
      <c r="P13" s="68" t="n"/>
      <c r="Q13" s="68" t="n"/>
      <c r="R13" s="68" t="n"/>
      <c r="ZZ13" t="inlineStr">
        <is>
          <t>BS_ACCOUNTS_RECEIVABLE</t>
        </is>
      </c>
    </row>
    <row r="14">
      <c r="B14" s="1" t="inlineStr">
        <is>
          <t>Net Interest Income</t>
        </is>
      </c>
      <c r="D14" s="1" t="n">
        <v>1026</v>
      </c>
      <c r="E14" s="1" t="n">
        <v>222</v>
      </c>
      <c r="F14" s="1" t="n">
        <v>262</v>
      </c>
      <c r="G14" s="90">
        <f>($F$14/$F$5)*G5</f>
        <v/>
      </c>
      <c r="H14" s="90">
        <f>($F$14/$F$5)*H5</f>
        <v/>
      </c>
      <c r="I14" s="90">
        <f>($F$14/$F$5)*I5</f>
        <v/>
      </c>
      <c r="J14" s="90">
        <f>($F$14/$F$5)*J5</f>
        <v/>
      </c>
      <c r="K14" s="90">
        <f>($F$14/$F$5)*K5</f>
        <v/>
      </c>
      <c r="O14" s="68" t="n"/>
      <c r="P14" s="68" t="n"/>
      <c r="Q14" s="68" t="n"/>
      <c r="R14" s="68" t="n"/>
      <c r="ZZ14" t="inlineStr">
        <is>
          <t>IS_NON_OPERATING_INCOME</t>
        </is>
      </c>
    </row>
    <row r="15">
      <c r="B15" s="1" t="inlineStr">
        <is>
          <t>Other Non Operating Expenses</t>
        </is>
      </c>
      <c r="D15" s="1" t="n">
        <v>145392</v>
      </c>
      <c r="E15" s="1" t="n">
        <v>155215</v>
      </c>
      <c r="F15" s="1" t="n">
        <v>163607</v>
      </c>
      <c r="G15" s="90">
        <f>F15</f>
        <v/>
      </c>
      <c r="H15" s="90">
        <f>G15</f>
        <v/>
      </c>
      <c r="I15" s="90">
        <f>H15</f>
        <v/>
      </c>
      <c r="J15" s="90">
        <f>I15</f>
        <v/>
      </c>
      <c r="K15" s="90">
        <f>J15</f>
        <v/>
      </c>
      <c r="ZZ15" t="inlineStr">
        <is>
          <t>IS_OPERATING_EXPENSE</t>
        </is>
      </c>
    </row>
    <row r="16">
      <c r="B16" s="21" t="inlineStr">
        <is>
          <t>Income Before Taxes</t>
        </is>
      </c>
      <c r="D16" s="140" t="n">
        <v>89311</v>
      </c>
      <c r="E16" s="140" t="n">
        <v>107787</v>
      </c>
      <c r="F16" s="140" t="n">
        <v>123627</v>
      </c>
      <c r="G16" s="94">
        <f>G12-G14-G15</f>
        <v/>
      </c>
      <c r="H16" s="94">
        <f>H12-H14-H15</f>
        <v/>
      </c>
      <c r="I16" s="94">
        <f>I12-I14-I15</f>
        <v/>
      </c>
      <c r="J16" s="94">
        <f>J12-J14-J15</f>
        <v/>
      </c>
      <c r="K16" s="94">
        <f>K12-K14-K15</f>
        <v/>
      </c>
      <c r="ZZ16" t="inlineStr">
        <is>
          <t>IS_OPERATING_INCOME</t>
        </is>
      </c>
    </row>
    <row r="17">
      <c r="B17" s="1" t="inlineStr">
        <is>
          <t xml:space="preserve">Income Tax Expense </t>
        </is>
      </c>
      <c r="D17" s="1" t="n">
        <v>16950</v>
      </c>
      <c r="E17" s="1" t="n">
        <v>19651</v>
      </c>
      <c r="F17" s="1" t="n">
        <v>21795</v>
      </c>
      <c r="G17" s="90">
        <f>G16*O9</f>
        <v/>
      </c>
      <c r="H17" s="90">
        <f>H16*P9</f>
        <v/>
      </c>
      <c r="I17" s="90">
        <f>I16*Q9</f>
        <v/>
      </c>
      <c r="J17" s="90">
        <f>J16*R9</f>
        <v/>
      </c>
      <c r="K17" s="90">
        <f>K16*S9</f>
        <v/>
      </c>
      <c r="ZZ17" t="inlineStr">
        <is>
          <t>IS_TAX_EXPENSE</t>
        </is>
      </c>
    </row>
    <row r="18">
      <c r="B18" s="21" t="inlineStr">
        <is>
          <t xml:space="preserve">Net Income </t>
        </is>
      </c>
      <c r="D18" s="140" t="n">
        <v>144722.0000194</v>
      </c>
      <c r="E18" s="140" t="n">
        <v>176272.00002366</v>
      </c>
      <c r="F18" s="140" t="n">
        <v>203664.00002734</v>
      </c>
      <c r="G18" s="94">
        <f>G16-G17</f>
        <v/>
      </c>
      <c r="H18" s="94">
        <f>H16-H17</f>
        <v/>
      </c>
      <c r="I18" s="94">
        <f>I16-I17</f>
        <v/>
      </c>
      <c r="J18" s="94">
        <f>J16-J17</f>
        <v/>
      </c>
      <c r="K18" s="94">
        <f>K16-K17</f>
        <v/>
      </c>
      <c r="ZZ18" t="inlineStr">
        <is>
          <t>IS_NET_INCOME</t>
        </is>
      </c>
    </row>
    <row r="19">
      <c r="B19" s="85" t="inlineStr">
        <is>
          <t>Net Income Margin %</t>
        </is>
      </c>
      <c r="D19" s="69" t="n"/>
      <c r="E19" s="69" t="n"/>
      <c r="F19" s="69" t="n"/>
      <c r="G19" s="89">
        <f>G18/G5</f>
        <v/>
      </c>
      <c r="H19" s="89">
        <f>H18/H5</f>
        <v/>
      </c>
      <c r="I19" s="89">
        <f>I18/I5</f>
        <v/>
      </c>
      <c r="J19" s="89">
        <f>J18/J5</f>
        <v/>
      </c>
      <c r="K19" s="89">
        <f>K18/K5</f>
        <v/>
      </c>
      <c r="ZZ19" t="inlineStr">
        <is>
          <t>IS_NET_INCOME</t>
        </is>
      </c>
    </row>
    <row r="20">
      <c r="B20" s="21" t="inlineStr">
        <is>
          <t>EPS</t>
        </is>
      </c>
      <c r="D20" s="21" t="n">
        <v>9.72e-06</v>
      </c>
      <c r="E20" s="21" t="n">
        <v>1.186e-05</v>
      </c>
      <c r="F20" s="21" t="n">
        <v>1.37e-05</v>
      </c>
      <c r="G20" s="92">
        <f>G18/G21</f>
        <v/>
      </c>
      <c r="H20" s="92">
        <f>H18/H21</f>
        <v/>
      </c>
      <c r="I20" s="92">
        <f>I18/I21</f>
        <v/>
      </c>
      <c r="J20" s="92">
        <f>J18/J21</f>
        <v/>
      </c>
      <c r="K20" s="92">
        <f>K18/K21</f>
        <v/>
      </c>
      <c r="ZZ20" t="inlineStr">
        <is>
          <t>IS_NET_INCOME</t>
        </is>
      </c>
    </row>
    <row r="21">
      <c r="B21" s="1" t="inlineStr">
        <is>
          <t>Weighted Average Shares Outstanding</t>
        </is>
      </c>
      <c r="D21" s="1" t="n">
        <v>97376</v>
      </c>
      <c r="E21" s="1" t="n">
        <v>113848</v>
      </c>
      <c r="F21" s="1" t="n">
        <v>139810</v>
      </c>
      <c r="G21" s="83">
        <f>F21+O70</f>
        <v/>
      </c>
      <c r="H21" s="83">
        <f>G21+P70</f>
        <v/>
      </c>
      <c r="I21" s="83">
        <f>H21+Q70</f>
        <v/>
      </c>
      <c r="J21" s="83">
        <f>I21+R70</f>
        <v/>
      </c>
      <c r="K21" s="83">
        <f>J21+S70</f>
        <v/>
      </c>
      <c r="ZZ21" t="inlineStr">
        <is>
          <t>BS_ACCOUNTS_RECEIVABLE</t>
        </is>
      </c>
    </row>
    <row r="22"/>
    <row r="23"/>
    <row r="24" ht="21.6" customHeight="1">
      <c r="B24" s="82" t="inlineStr">
        <is>
          <t xml:space="preserve">Balance Sheet </t>
        </is>
      </c>
      <c r="C24" s="81" t="n"/>
      <c r="D24" s="81" t="inlineStr">
        <is>
          <t>2023 A</t>
        </is>
      </c>
      <c r="E24" s="81" t="inlineStr">
        <is>
          <t>2024 A</t>
        </is>
      </c>
      <c r="F24" s="81" t="inlineStr">
        <is>
          <t>2025 A</t>
        </is>
      </c>
      <c r="G24" s="81" t="inlineStr">
        <is>
          <t>2026 E</t>
        </is>
      </c>
      <c r="H24" s="81" t="inlineStr">
        <is>
          <t>2027 E</t>
        </is>
      </c>
      <c r="I24" s="81" t="inlineStr">
        <is>
          <t>2028 E</t>
        </is>
      </c>
      <c r="J24" s="81" t="inlineStr">
        <is>
          <t>2029 E</t>
        </is>
      </c>
      <c r="K24" s="81" t="inlineStr">
        <is>
          <t>2030 E</t>
        </is>
      </c>
      <c r="M24" s="18" t="inlineStr">
        <is>
          <t xml:space="preserve">Assumptions </t>
        </is>
      </c>
      <c r="N24" s="19" t="inlineStr">
        <is>
          <t xml:space="preserve">Type </t>
        </is>
      </c>
      <c r="O24" s="19" t="inlineStr">
        <is>
          <t>Value</t>
        </is>
      </c>
      <c r="P24" s="19" t="n"/>
      <c r="Q24" s="19" t="n"/>
      <c r="R24" s="19" t="n"/>
      <c r="S24" s="19" t="n"/>
    </row>
    <row r="25">
      <c r="B25" s="85" t="inlineStr">
        <is>
          <t>Cash &amp; Cash Equivalents</t>
        </is>
      </c>
      <c r="D25" s="1" t="n">
        <v>34704</v>
      </c>
      <c r="E25" s="1" t="n">
        <v>18315</v>
      </c>
      <c r="F25" s="1" t="n">
        <v>30242</v>
      </c>
      <c r="G25" s="91">
        <f>G101</f>
        <v/>
      </c>
      <c r="H25" s="91">
        <f>H101</f>
        <v/>
      </c>
      <c r="I25" s="91">
        <f>I101</f>
        <v/>
      </c>
      <c r="J25" s="91">
        <f>J101</f>
        <v/>
      </c>
      <c r="K25" s="91">
        <f>K101</f>
        <v/>
      </c>
      <c r="M25" s="1" t="inlineStr">
        <is>
          <t>Depreciation % of PPE</t>
        </is>
      </c>
      <c r="N25" t="inlineStr">
        <is>
          <t>constant</t>
        </is>
      </c>
      <c r="O25" s="20" t="n">
        <v>0.15</v>
      </c>
      <c r="P25" s="20" t="n">
        <v>0.15</v>
      </c>
      <c r="Q25" s="20" t="n">
        <v>0.15</v>
      </c>
      <c r="R25" s="20" t="n">
        <v>0.15</v>
      </c>
      <c r="S25" s="20" t="n">
        <v>0.15</v>
      </c>
      <c r="ZZ25" t="inlineStr">
        <is>
          <t>BS_CASH</t>
        </is>
      </c>
    </row>
    <row r="26">
      <c r="B26" s="85" t="inlineStr">
        <is>
          <t>Short-Term Investments</t>
        </is>
      </c>
      <c r="D26" s="1" t="n">
        <v>76552</v>
      </c>
      <c r="E26" s="1" t="n">
        <v>57216</v>
      </c>
      <c r="F26" s="1" t="n">
        <v>64323</v>
      </c>
      <c r="G26" s="90">
        <f>(F26/F$5)*G$5</f>
        <v/>
      </c>
      <c r="H26" s="90">
        <f>(G26/G$5)*H$5</f>
        <v/>
      </c>
      <c r="I26" s="90">
        <f>(H26/H$5)*I$5</f>
        <v/>
      </c>
      <c r="J26" s="90">
        <f>(I26/I$5)*J$5</f>
        <v/>
      </c>
      <c r="K26" s="90">
        <f>(J26/J$5)*K$5</f>
        <v/>
      </c>
      <c r="M26" s="1" t="inlineStr">
        <is>
          <t>Inventory % Sales</t>
        </is>
      </c>
      <c r="N26" t="inlineStr">
        <is>
          <t>constant</t>
        </is>
      </c>
      <c r="O26" s="20" t="n">
        <v>0.02</v>
      </c>
      <c r="P26" s="20" t="n">
        <v>0.02</v>
      </c>
      <c r="Q26" s="20" t="n">
        <v>0.02</v>
      </c>
      <c r="R26" s="20" t="n">
        <v>0.02</v>
      </c>
      <c r="S26" s="20" t="n">
        <v>0.02</v>
      </c>
    </row>
    <row r="27">
      <c r="B27" s="85" t="inlineStr">
        <is>
          <t>Net Receivables</t>
        </is>
      </c>
      <c r="D27" s="1" t="n">
        <v>48688</v>
      </c>
      <c r="E27" s="1" t="n">
        <v>56924</v>
      </c>
      <c r="F27" s="1" t="n">
        <v>69905</v>
      </c>
      <c r="G27" s="90">
        <f>(F27/F$5)*G$5</f>
        <v/>
      </c>
      <c r="H27" s="90">
        <f>(G27/G$5)*H$5</f>
        <v/>
      </c>
      <c r="I27" s="90">
        <f>(H27/H$5)*I$5</f>
        <v/>
      </c>
      <c r="J27" s="90">
        <f>(I27/I$5)*J$5</f>
        <v/>
      </c>
      <c r="K27" s="90">
        <f>(J27/J$5)*K$5</f>
        <v/>
      </c>
      <c r="M27" s="1" t="inlineStr">
        <is>
          <t>Long Term Debt Change</t>
        </is>
      </c>
      <c r="N27" t="inlineStr">
        <is>
          <t>constant</t>
        </is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</row>
    <row r="28">
      <c r="B28" s="85" t="inlineStr">
        <is>
          <t>Inventory</t>
        </is>
      </c>
      <c r="D28" s="1" t="n">
        <v>2500</v>
      </c>
      <c r="E28" s="1" t="n">
        <v>1246</v>
      </c>
      <c r="F28" s="1" t="n">
        <v>938</v>
      </c>
      <c r="G28" s="90">
        <f>G5*O26</f>
        <v/>
      </c>
      <c r="H28" s="90">
        <f>H5*P26</f>
        <v/>
      </c>
      <c r="I28" s="90">
        <f>I5*Q26</f>
        <v/>
      </c>
      <c r="J28" s="90">
        <f>J5*R26</f>
        <v/>
      </c>
      <c r="K28" s="90">
        <f>K5*S26</f>
        <v/>
      </c>
      <c r="ZZ28" t="inlineStr">
        <is>
          <t>BS_INVENTORY</t>
        </is>
      </c>
    </row>
    <row r="29">
      <c r="B29" s="85" t="inlineStr">
        <is>
          <t>Prepaid Expenses</t>
        </is>
      </c>
      <c r="D29" s="1" t="n">
        <v>0</v>
      </c>
      <c r="E29" s="1" t="n">
        <v>0</v>
      </c>
      <c r="F29" s="1" t="n">
        <v>0</v>
      </c>
      <c r="G29" s="90">
        <f>(F29/F$5)*G$5</f>
        <v/>
      </c>
      <c r="H29" s="90">
        <f>(G29/G$5)*H$5</f>
        <v/>
      </c>
      <c r="I29" s="90">
        <f>(H29/H$5)*I$5</f>
        <v/>
      </c>
      <c r="J29" s="90">
        <f>(I29/I$5)*J$5</f>
        <v/>
      </c>
      <c r="K29" s="90">
        <f>(J29/J$5)*K$5</f>
        <v/>
      </c>
    </row>
    <row r="30">
      <c r="B30" s="85" t="inlineStr">
        <is>
          <t>Other Current Assets</t>
        </is>
      </c>
      <c r="D30" s="1" t="n">
        <v>21813</v>
      </c>
      <c r="E30" s="1" t="n">
        <v>26033</v>
      </c>
      <c r="F30" s="1" t="n">
        <v>25723</v>
      </c>
      <c r="G30" s="90">
        <f>(F30/F$5)*G$5</f>
        <v/>
      </c>
      <c r="H30" s="90">
        <f>(G30/G$5)*H$5</f>
        <v/>
      </c>
      <c r="I30" s="90">
        <f>(H30/H$5)*I$5</f>
        <v/>
      </c>
      <c r="J30" s="90">
        <f>(I30/I$5)*J$5</f>
        <v/>
      </c>
      <c r="K30" s="90">
        <f>(J30/J$5)*K$5</f>
        <v/>
      </c>
    </row>
    <row r="31">
      <c r="B31" s="21" t="inlineStr">
        <is>
          <t>Total Current Assets</t>
        </is>
      </c>
      <c r="C31" s="21" t="n"/>
      <c r="D31" s="22" t="n">
        <v>184257</v>
      </c>
      <c r="E31" s="22" t="n">
        <v>159734</v>
      </c>
      <c r="F31" s="22" t="n">
        <v>191131</v>
      </c>
      <c r="G31" s="94">
        <f>SUM(G25:G30)</f>
        <v/>
      </c>
      <c r="H31" s="94">
        <f>SUM(H25:H30)</f>
        <v/>
      </c>
      <c r="I31" s="94">
        <f>SUM(I25:I30)</f>
        <v/>
      </c>
      <c r="J31" s="94">
        <f>SUM(J25:J30)</f>
        <v/>
      </c>
      <c r="K31" s="94">
        <f>SUM(K25:K30)</f>
        <v/>
      </c>
    </row>
    <row r="32">
      <c r="B32" s="85" t="inlineStr">
        <is>
          <t>Property, Plant &amp; Equipment (Net)</t>
        </is>
      </c>
      <c r="D32" s="1" t="n">
        <v>109987</v>
      </c>
      <c r="E32" s="1" t="n">
        <v>154552</v>
      </c>
      <c r="F32" s="1" t="n">
        <v>229789</v>
      </c>
      <c r="G32" s="90">
        <f>F32-G81-G74</f>
        <v/>
      </c>
      <c r="H32" s="90">
        <f>G32-H81-H74</f>
        <v/>
      </c>
      <c r="I32" s="90">
        <f>H32-I81-I74</f>
        <v/>
      </c>
      <c r="J32" s="90">
        <f>I32-J81-J74</f>
        <v/>
      </c>
      <c r="K32" s="90">
        <f>J32-K81-K74</f>
        <v/>
      </c>
    </row>
    <row r="33">
      <c r="B33" s="85" t="inlineStr">
        <is>
          <t>Goodwill</t>
        </is>
      </c>
      <c r="D33" s="1" t="n">
        <v>67886</v>
      </c>
      <c r="E33" s="1" t="n">
        <v>119220</v>
      </c>
      <c r="F33" s="1" t="n">
        <v>119509</v>
      </c>
      <c r="G33" s="90">
        <f>F33</f>
        <v/>
      </c>
      <c r="H33" s="90">
        <f>G33</f>
        <v/>
      </c>
      <c r="I33" s="90">
        <f>H33</f>
        <v/>
      </c>
      <c r="J33" s="90">
        <f>I33</f>
        <v/>
      </c>
      <c r="K33" s="90">
        <f>J33</f>
        <v/>
      </c>
    </row>
    <row r="34">
      <c r="B34" s="85" t="inlineStr">
        <is>
          <t>Intangible Assets</t>
        </is>
      </c>
      <c r="D34" s="1" t="n">
        <v>9366</v>
      </c>
      <c r="E34" s="1" t="n">
        <v>27597</v>
      </c>
      <c r="F34" s="1" t="n">
        <v>22604</v>
      </c>
      <c r="G34" s="90">
        <f>F34</f>
        <v/>
      </c>
      <c r="H34" s="90">
        <f>G34</f>
        <v/>
      </c>
      <c r="I34" s="90">
        <f>H34</f>
        <v/>
      </c>
      <c r="J34" s="90">
        <f>I34</f>
        <v/>
      </c>
      <c r="K34" s="90">
        <f>J34</f>
        <v/>
      </c>
    </row>
    <row r="35">
      <c r="B35" s="85" t="inlineStr">
        <is>
          <t>Long-Term Investments</t>
        </is>
      </c>
      <c r="D35" s="1" t="n">
        <v>9879</v>
      </c>
      <c r="E35" s="1" t="n">
        <v>14600</v>
      </c>
      <c r="F35" s="1" t="n">
        <v>15405</v>
      </c>
      <c r="G35" s="90">
        <f>(F35/F$5)*G$5</f>
        <v/>
      </c>
      <c r="H35" s="90">
        <f>(G35/G$5)*H$5</f>
        <v/>
      </c>
      <c r="I35" s="90">
        <f>(H35/H$5)*I$5</f>
        <v/>
      </c>
      <c r="J35" s="90">
        <f>(I35/I$5)*J$5</f>
        <v/>
      </c>
      <c r="K35" s="90">
        <f>(J35/J$5)*K$5</f>
        <v/>
      </c>
    </row>
    <row r="36">
      <c r="B36" s="85" t="inlineStr">
        <is>
          <t>Tax Assets</t>
        </is>
      </c>
      <c r="D36" s="1" t="n">
        <v>0</v>
      </c>
      <c r="E36" s="1" t="n">
        <v>0</v>
      </c>
      <c r="F36" s="1" t="n">
        <v>0</v>
      </c>
      <c r="G36" s="90">
        <f>(F36/F$5)*G$5</f>
        <v/>
      </c>
      <c r="H36" s="90">
        <f>(G36/G$5)*H$5</f>
        <v/>
      </c>
      <c r="I36" s="90">
        <f>(H36/H$5)*I$5</f>
        <v/>
      </c>
      <c r="J36" s="90">
        <f>(I36/I$5)*J$5</f>
        <v/>
      </c>
      <c r="K36" s="90">
        <f>(J36/J$5)*K$5</f>
        <v/>
      </c>
    </row>
    <row r="37">
      <c r="B37" s="85" t="inlineStr">
        <is>
          <t>Other Non-Current Assets</t>
        </is>
      </c>
      <c r="D37" s="1" t="n">
        <v>30601</v>
      </c>
      <c r="E37" s="1" t="n">
        <v>36460</v>
      </c>
      <c r="F37" s="1" t="n">
        <v>40565</v>
      </c>
      <c r="G37" s="90">
        <f>(F37/F$5)*G$5</f>
        <v/>
      </c>
      <c r="H37" s="90">
        <f>(G37/G$5)*H$5</f>
        <v/>
      </c>
      <c r="I37" s="90">
        <f>(H37/H$5)*I$5</f>
        <v/>
      </c>
      <c r="J37" s="90">
        <f>(I37/I$5)*J$5</f>
        <v/>
      </c>
      <c r="K37" s="90">
        <f>(J37/J$5)*K$5</f>
        <v/>
      </c>
    </row>
    <row r="38">
      <c r="B38" s="102" t="inlineStr">
        <is>
          <t>Other Non-Operating Adjustments</t>
        </is>
      </c>
      <c r="D38" s="103" t="n"/>
      <c r="E38" s="103" t="n"/>
      <c r="F38" s="103" t="n"/>
      <c r="G38" s="90">
        <f>G67-SUM(G31,G32:G37)</f>
        <v/>
      </c>
      <c r="H38" s="90">
        <f>H67-SUM(H31,H32:H37)</f>
        <v/>
      </c>
      <c r="I38" s="90">
        <f>I67-SUM(I31,I32:I37)</f>
        <v/>
      </c>
      <c r="J38" s="90">
        <f>J67-SUM(J31,J32:J37)</f>
        <v/>
      </c>
      <c r="K38" s="90">
        <f>K67-SUM(K31,K32:K37)</f>
        <v/>
      </c>
    </row>
    <row r="39" ht="17.4" customHeight="1" thickBot="1">
      <c r="B39" s="21" t="inlineStr">
        <is>
          <t>Total Long-term Assets</t>
        </is>
      </c>
      <c r="D39" s="141" t="n">
        <v>-2756</v>
      </c>
      <c r="E39" s="141" t="n">
        <v>-1289</v>
      </c>
      <c r="F39" s="141" t="n">
        <v>2516</v>
      </c>
      <c r="G39" s="114">
        <f>SUM(G32:G37)</f>
        <v/>
      </c>
      <c r="H39" s="114">
        <f>SUM(H32:H37)</f>
        <v/>
      </c>
      <c r="I39" s="114">
        <f>SUM(I32:I37)</f>
        <v/>
      </c>
      <c r="J39" s="114">
        <f>SUM(J32:J37)</f>
        <v/>
      </c>
      <c r="K39" s="114">
        <f>SUM(K32:K37)</f>
        <v/>
      </c>
    </row>
    <row r="40" ht="17.4" customHeight="1" thickTop="1">
      <c r="B40" s="21" t="inlineStr">
        <is>
          <t>Total Assets</t>
        </is>
      </c>
      <c r="D40" s="21" t="n">
        <v>411976</v>
      </c>
      <c r="E40" s="21" t="n">
        <v>512163</v>
      </c>
      <c r="F40" s="21" t="n">
        <v>619003</v>
      </c>
      <c r="G40" s="92">
        <f>SUM(G31,G39,G38)</f>
        <v/>
      </c>
      <c r="H40" s="92">
        <f>SUM(H31,H39,H38)</f>
        <v/>
      </c>
      <c r="I40" s="92">
        <f>SUM(I31,I39,I38)</f>
        <v/>
      </c>
      <c r="J40" s="92">
        <f>SUM(J31,J39,J38)</f>
        <v/>
      </c>
      <c r="K40" s="92">
        <f>SUM(K31,K39,K38)</f>
        <v/>
      </c>
    </row>
    <row r="41">
      <c r="G41" s="90" t="n"/>
      <c r="H41" s="90" t="n"/>
      <c r="I41" s="90" t="n"/>
      <c r="J41" s="90" t="n"/>
      <c r="K41" s="90" t="n"/>
    </row>
    <row r="42">
      <c r="B42" s="85" t="inlineStr">
        <is>
          <t>Accounts Payable</t>
        </is>
      </c>
      <c r="D42" s="1" t="n">
        <v>18095</v>
      </c>
      <c r="E42" s="1" t="n">
        <v>21996</v>
      </c>
      <c r="F42" s="1" t="n">
        <v>27724</v>
      </c>
      <c r="G42" s="90">
        <f>(F42/F$5)*G$5</f>
        <v/>
      </c>
      <c r="H42" s="90">
        <f>(G42/G$5)*H$5</f>
        <v/>
      </c>
      <c r="I42" s="90">
        <f>(H42/H$5)*I$5</f>
        <v/>
      </c>
      <c r="J42" s="90">
        <f>(I42/I$5)*J$5</f>
        <v/>
      </c>
      <c r="K42" s="90">
        <f>(J42/J$5)*K$5</f>
        <v/>
      </c>
      <c r="ZZ42" t="inlineStr">
        <is>
          <t>BS_ACCOUNTS_PAYABLE</t>
        </is>
      </c>
    </row>
    <row r="43">
      <c r="B43" s="85" t="inlineStr">
        <is>
          <t>Other Payables</t>
        </is>
      </c>
      <c r="D43" s="1" t="n">
        <v>4152</v>
      </c>
      <c r="E43" s="1" t="n">
        <v>5017</v>
      </c>
      <c r="F43" s="1" t="n">
        <v>7211</v>
      </c>
      <c r="G43" s="90">
        <f>(F43/F$5)*G$5</f>
        <v/>
      </c>
      <c r="H43" s="90">
        <f>(G43/G$5)*H$5</f>
        <v/>
      </c>
      <c r="I43" s="90">
        <f>(H43/H$5)*I$5</f>
        <v/>
      </c>
      <c r="J43" s="90">
        <f>(I43/I$5)*J$5</f>
        <v/>
      </c>
      <c r="K43" s="90">
        <f>(J43/J$5)*K$5</f>
        <v/>
      </c>
    </row>
    <row r="44">
      <c r="B44" s="85" t="inlineStr">
        <is>
          <t>Accrued Expenses</t>
        </is>
      </c>
      <c r="D44" s="1" t="n">
        <v>0</v>
      </c>
      <c r="E44" s="1" t="n">
        <v>0</v>
      </c>
      <c r="F44" s="1" t="n">
        <v>0</v>
      </c>
      <c r="G44" s="90">
        <f>(F44/F$5)*G$5</f>
        <v/>
      </c>
      <c r="H44" s="90">
        <f>(G44/G$5)*H$5</f>
        <v/>
      </c>
      <c r="I44" s="90">
        <f>(H44/H$5)*I$5</f>
        <v/>
      </c>
      <c r="J44" s="90">
        <f>(I44/I$5)*J$5</f>
        <v/>
      </c>
      <c r="K44" s="90">
        <f>(J44/J$5)*K$5</f>
        <v/>
      </c>
      <c r="ZZ44" t="inlineStr">
        <is>
          <t>BS_ACCRUED_LIABILITIES</t>
        </is>
      </c>
    </row>
    <row r="45">
      <c r="B45" s="85" t="inlineStr">
        <is>
          <t>Short-Term Debt</t>
        </is>
      </c>
      <c r="D45" s="1" t="n">
        <v>5247</v>
      </c>
      <c r="E45" s="1" t="n">
        <v>8942</v>
      </c>
      <c r="F45" s="1" t="n">
        <v>2999</v>
      </c>
      <c r="G45" s="90">
        <f>(F45/F$5)*G$5</f>
        <v/>
      </c>
      <c r="H45" s="90">
        <f>(G45/G$5)*H$5</f>
        <v/>
      </c>
      <c r="I45" s="90">
        <f>(H45/H$5)*I$5</f>
        <v/>
      </c>
      <c r="J45" s="90">
        <f>(I45/I$5)*J$5</f>
        <v/>
      </c>
      <c r="K45" s="90">
        <f>(J45/J$5)*K$5</f>
        <v/>
      </c>
      <c r="ZZ45" t="inlineStr">
        <is>
          <t>BS_DEBT_CURRENT</t>
        </is>
      </c>
    </row>
    <row r="46">
      <c r="B46" s="85" t="inlineStr">
        <is>
          <t>Current Capital Lease Obligations</t>
        </is>
      </c>
      <c r="D46" s="1" t="n">
        <v>0</v>
      </c>
      <c r="E46" s="1" t="n">
        <v>0</v>
      </c>
      <c r="F46" s="1" t="n">
        <v>0</v>
      </c>
      <c r="G46" s="90">
        <f>(F46/F$5)*G$5</f>
        <v/>
      </c>
      <c r="H46" s="90">
        <f>(G46/G$5)*H$5</f>
        <v/>
      </c>
      <c r="I46" s="90">
        <f>(H46/H$5)*I$5</f>
        <v/>
      </c>
      <c r="J46" s="90">
        <f>(I46/I$5)*J$5</f>
        <v/>
      </c>
      <c r="K46" s="90">
        <f>(J46/J$5)*K$5</f>
        <v/>
      </c>
      <c r="ZZ46" t="inlineStr">
        <is>
          <t>BS_ACCOUNTS_PAYABLE</t>
        </is>
      </c>
    </row>
    <row r="47">
      <c r="B47" s="85" t="inlineStr">
        <is>
          <t>Tax Payables</t>
        </is>
      </c>
      <c r="D47" s="1" t="n">
        <v>4152</v>
      </c>
      <c r="E47" s="1" t="n">
        <v>5017</v>
      </c>
      <c r="F47" s="1" t="n">
        <v>0</v>
      </c>
      <c r="G47" s="90">
        <f>(F47/F$5)*G$5</f>
        <v/>
      </c>
      <c r="H47" s="90">
        <f>(G47/G$5)*H$5</f>
        <v/>
      </c>
      <c r="I47" s="90">
        <f>(H47/H$5)*I$5</f>
        <v/>
      </c>
      <c r="J47" s="90">
        <f>(I47/I$5)*J$5</f>
        <v/>
      </c>
      <c r="K47" s="90">
        <f>(J47/J$5)*K$5</f>
        <v/>
      </c>
    </row>
    <row r="48">
      <c r="B48" s="85" t="inlineStr">
        <is>
          <t>Deferred Revenue (Current)</t>
        </is>
      </c>
      <c r="D48" s="1" t="n">
        <v>50901</v>
      </c>
      <c r="E48" s="1" t="n">
        <v>57582</v>
      </c>
      <c r="F48" s="1" t="n">
        <v>64555</v>
      </c>
      <c r="G48" s="90">
        <f>(F48/F$5)*G$5</f>
        <v/>
      </c>
      <c r="H48" s="90">
        <f>(G48/G$5)*H$5</f>
        <v/>
      </c>
      <c r="I48" s="90">
        <f>(H48/H$5)*I$5</f>
        <v/>
      </c>
      <c r="J48" s="90">
        <f>(I48/I$5)*J$5</f>
        <v/>
      </c>
      <c r="K48" s="90">
        <f>(J48/J$5)*K$5</f>
        <v/>
      </c>
      <c r="ZZ48" t="inlineStr">
        <is>
          <t>IS_REVENUE</t>
        </is>
      </c>
    </row>
    <row r="49">
      <c r="B49" s="85" t="inlineStr">
        <is>
          <t>Other Current Liabilities</t>
        </is>
      </c>
      <c r="D49" s="1" t="n">
        <v>25754</v>
      </c>
      <c r="E49" s="1" t="n">
        <v>31749</v>
      </c>
      <c r="F49" s="1" t="n">
        <v>38729</v>
      </c>
      <c r="G49" s="90">
        <f>(F49/F$5)*G$5</f>
        <v/>
      </c>
      <c r="H49" s="90">
        <f>(G49/G$5)*H$5</f>
        <v/>
      </c>
      <c r="I49" s="90">
        <f>(H49/H$5)*I$5</f>
        <v/>
      </c>
      <c r="J49" s="90">
        <f>(I49/I$5)*J$5</f>
        <v/>
      </c>
      <c r="K49" s="90">
        <f>(J49/J$5)*K$5</f>
        <v/>
      </c>
    </row>
    <row r="50">
      <c r="B50" s="21" t="inlineStr">
        <is>
          <t>Total Current Liabilities</t>
        </is>
      </c>
      <c r="D50" s="140" t="n">
        <v>104149</v>
      </c>
      <c r="E50" s="140" t="n">
        <v>125286</v>
      </c>
      <c r="F50" s="140" t="n">
        <v>141218</v>
      </c>
      <c r="G50" s="94">
        <f>SUM(G42:G49)</f>
        <v/>
      </c>
      <c r="H50" s="94">
        <f>SUM(H42:H49)</f>
        <v/>
      </c>
      <c r="I50" s="94">
        <f>SUM(I42:I49)</f>
        <v/>
      </c>
      <c r="J50" s="94">
        <f>SUM(J42:J49)</f>
        <v/>
      </c>
      <c r="K50" s="94">
        <f>SUM(K42:K49)</f>
        <v/>
      </c>
    </row>
    <row r="51">
      <c r="B51" s="85" t="inlineStr">
        <is>
          <t>Long-Term Debt</t>
        </is>
      </c>
      <c r="D51" s="1" t="n">
        <v>41990</v>
      </c>
      <c r="E51" s="1" t="n">
        <v>42688</v>
      </c>
      <c r="F51" s="1" t="n">
        <v>40152</v>
      </c>
      <c r="G51" s="90">
        <f>F51*(1+O27)</f>
        <v/>
      </c>
      <c r="H51" s="90">
        <f>G51*(1+P27)</f>
        <v/>
      </c>
      <c r="I51" s="90">
        <f>H51*(1+Q27)</f>
        <v/>
      </c>
      <c r="J51" s="90">
        <f>I51*(1+R27)</f>
        <v/>
      </c>
      <c r="K51" s="90">
        <f>J51*(1+S27)</f>
        <v/>
      </c>
      <c r="ZZ51" t="inlineStr">
        <is>
          <t>BS_DEBT_CURRENT</t>
        </is>
      </c>
    </row>
    <row r="52">
      <c r="B52" s="85" t="inlineStr">
        <is>
          <t>Non-Current Capital Lease Obligations</t>
        </is>
      </c>
      <c r="D52" s="1" t="n">
        <v>12728</v>
      </c>
      <c r="E52" s="1" t="n">
        <v>15497</v>
      </c>
      <c r="F52" s="1" t="n">
        <v>17437</v>
      </c>
      <c r="G52" s="90">
        <f>F52</f>
        <v/>
      </c>
      <c r="H52" s="90">
        <f>G52</f>
        <v/>
      </c>
      <c r="I52" s="90">
        <f>H52</f>
        <v/>
      </c>
      <c r="J52" s="90">
        <f>I52</f>
        <v/>
      </c>
      <c r="K52" s="90">
        <f>J52</f>
        <v/>
      </c>
      <c r="ZZ52" t="inlineStr">
        <is>
          <t>BS_ACCOUNTS_PAYABLE</t>
        </is>
      </c>
    </row>
    <row r="53">
      <c r="B53" s="85" t="inlineStr">
        <is>
          <t>Deferred Revenue (Non-Current)</t>
        </is>
      </c>
      <c r="D53" s="1" t="n">
        <v>2912</v>
      </c>
      <c r="E53" s="1" t="n">
        <v>2602</v>
      </c>
      <c r="F53" s="1" t="n">
        <v>2710</v>
      </c>
      <c r="G53" s="90">
        <f>(F53/F$5)*G$5</f>
        <v/>
      </c>
      <c r="H53" s="90">
        <f>(G53/G$5)*H$5</f>
        <v/>
      </c>
      <c r="I53" s="90">
        <f>(H53/H$5)*I$5</f>
        <v/>
      </c>
      <c r="J53" s="90">
        <f>(I53/I$5)*J$5</f>
        <v/>
      </c>
      <c r="K53" s="90">
        <f>(J53/J$5)*K$5</f>
        <v/>
      </c>
      <c r="ZZ53" t="inlineStr">
        <is>
          <t>IS_REVENUE</t>
        </is>
      </c>
    </row>
    <row r="54">
      <c r="B54" s="85" t="inlineStr">
        <is>
          <t>Deferred Tax Liabilities (Non-Current)</t>
        </is>
      </c>
      <c r="D54" s="1" t="n">
        <v>433</v>
      </c>
      <c r="E54" s="1" t="n">
        <v>2618</v>
      </c>
      <c r="F54" s="1" t="n">
        <v>2835</v>
      </c>
      <c r="G54" s="90">
        <f>(F54/F$5)*G$5</f>
        <v/>
      </c>
      <c r="H54" s="90">
        <f>(G54/G$5)*H$5</f>
        <v/>
      </c>
      <c r="I54" s="90">
        <f>(H54/H$5)*I$5</f>
        <v/>
      </c>
      <c r="J54" s="90">
        <f>(I54/I$5)*J$5</f>
        <v/>
      </c>
      <c r="K54" s="90">
        <f>(J54/J$5)*K$5</f>
        <v/>
      </c>
    </row>
    <row r="55">
      <c r="B55" s="85" t="inlineStr">
        <is>
          <t>Other Non-Current Liabilities</t>
        </is>
      </c>
      <c r="D55" s="1" t="n">
        <v>43541</v>
      </c>
      <c r="E55" s="1" t="n">
        <v>54995</v>
      </c>
      <c r="F55" s="1" t="n">
        <v>71172</v>
      </c>
      <c r="G55" s="90">
        <f>F55</f>
        <v/>
      </c>
      <c r="H55" s="90">
        <f>G55</f>
        <v/>
      </c>
      <c r="I55" s="90">
        <f>H55</f>
        <v/>
      </c>
      <c r="J55" s="90">
        <f>I55</f>
        <v/>
      </c>
      <c r="K55" s="90">
        <f>J55</f>
        <v/>
      </c>
    </row>
    <row r="56" ht="17.4" customHeight="1" thickBot="1">
      <c r="B56" s="21" t="inlineStr">
        <is>
          <t>Total Non-Current Liabilities</t>
        </is>
      </c>
      <c r="D56" s="141" t="n">
        <v>101604</v>
      </c>
      <c r="E56" s="141" t="n">
        <v>118400</v>
      </c>
      <c r="F56" s="141" t="n">
        <v>134306</v>
      </c>
      <c r="G56" s="114">
        <f>SUM(G51:G55)</f>
        <v/>
      </c>
      <c r="H56" s="114">
        <f>SUM(H51:H55)</f>
        <v/>
      </c>
      <c r="I56" s="114">
        <f>SUM(I51:I55)</f>
        <v/>
      </c>
      <c r="J56" s="114">
        <f>SUM(J51:J55)</f>
        <v/>
      </c>
      <c r="K56" s="114">
        <f>SUM(K51:K55)</f>
        <v/>
      </c>
    </row>
    <row r="57" ht="17.4" customHeight="1" thickTop="1">
      <c r="B57" s="21" t="inlineStr">
        <is>
          <t>Total Liabilities</t>
        </is>
      </c>
      <c r="D57" s="21" t="n">
        <v>205753</v>
      </c>
      <c r="E57" s="21" t="n">
        <v>243686</v>
      </c>
      <c r="F57" s="21" t="n">
        <v>275524</v>
      </c>
      <c r="G57" s="92">
        <f>SUM(G50,G56)</f>
        <v/>
      </c>
      <c r="H57" s="92">
        <f>SUM(H50,H56)</f>
        <v/>
      </c>
      <c r="I57" s="92">
        <f>SUM(I50,I56)</f>
        <v/>
      </c>
      <c r="J57" s="92">
        <f>SUM(J50,J56)</f>
        <v/>
      </c>
      <c r="K57" s="92">
        <f>SUM(K50,K56)</f>
        <v/>
      </c>
    </row>
    <row r="58">
      <c r="D58" s="103" t="n"/>
      <c r="E58" s="103" t="n"/>
      <c r="F58" s="103" t="n"/>
      <c r="G58" s="90" t="n"/>
      <c r="H58" s="90" t="n"/>
      <c r="I58" s="90" t="n"/>
      <c r="J58" s="90" t="n"/>
      <c r="K58" s="90" t="n"/>
    </row>
    <row r="59">
      <c r="B59" s="1" t="inlineStr">
        <is>
          <t>Preferred Stock</t>
        </is>
      </c>
      <c r="D59" s="1" t="n">
        <v>0</v>
      </c>
      <c r="E59" s="1" t="n">
        <v>0</v>
      </c>
      <c r="F59" s="1" t="n">
        <v>0</v>
      </c>
      <c r="G59" s="90">
        <f>F59+G90</f>
        <v/>
      </c>
      <c r="H59" s="90">
        <f>G59+H90</f>
        <v/>
      </c>
      <c r="I59" s="90">
        <f>H59+I90</f>
        <v/>
      </c>
      <c r="J59" s="90">
        <f>I59+J90</f>
        <v/>
      </c>
      <c r="K59" s="90">
        <f>J59+K90</f>
        <v/>
      </c>
    </row>
    <row r="60">
      <c r="B60" s="1" t="inlineStr">
        <is>
          <t>Treasury Stock</t>
        </is>
      </c>
      <c r="D60" s="1" t="n">
        <v>0</v>
      </c>
      <c r="E60" s="1" t="n">
        <v>0</v>
      </c>
      <c r="F60" s="1" t="n">
        <v>0</v>
      </c>
      <c r="G60" s="90">
        <f>F60+G89</f>
        <v/>
      </c>
      <c r="H60" s="90">
        <f>G60+H89</f>
        <v/>
      </c>
      <c r="I60" s="90">
        <f>H60+I89</f>
        <v/>
      </c>
      <c r="J60" s="90">
        <f>I60+J89</f>
        <v/>
      </c>
      <c r="K60" s="90">
        <f>J60+K89</f>
        <v/>
      </c>
    </row>
    <row r="61">
      <c r="B61" s="1" t="inlineStr">
        <is>
          <t>Common Stock</t>
        </is>
      </c>
      <c r="D61" s="1" t="n">
        <v>93718</v>
      </c>
      <c r="E61" s="1" t="n">
        <v>100923</v>
      </c>
      <c r="F61" s="1" t="n">
        <v>109095</v>
      </c>
      <c r="G61" s="90">
        <f>F61+G73</f>
        <v/>
      </c>
      <c r="H61" s="90">
        <f>G61+H73</f>
        <v/>
      </c>
      <c r="I61" s="90">
        <f>H61+I73</f>
        <v/>
      </c>
      <c r="J61" s="90">
        <f>I61+J73</f>
        <v/>
      </c>
      <c r="K61" s="90">
        <f>J61+K73</f>
        <v/>
      </c>
    </row>
    <row r="62">
      <c r="B62" s="1" t="inlineStr">
        <is>
          <t>Retained Earnings</t>
        </is>
      </c>
      <c r="D62" s="1" t="n">
        <v>118848</v>
      </c>
      <c r="E62" s="1" t="n">
        <v>173144</v>
      </c>
      <c r="F62" s="1" t="n">
        <v>237731</v>
      </c>
      <c r="G62" s="90">
        <f>F62+G18+G91</f>
        <v/>
      </c>
      <c r="H62" s="90">
        <f>G62+H18+H91</f>
        <v/>
      </c>
      <c r="I62" s="90">
        <f>H62+I18+I91</f>
        <v/>
      </c>
      <c r="J62" s="90">
        <f>I62+J18+J91</f>
        <v/>
      </c>
      <c r="K62" s="90">
        <f>J62+K18+K91</f>
        <v/>
      </c>
      <c r="ZZ62" t="inlineStr">
        <is>
          <t>BS_ACCOUNTS_RECEIVABLE</t>
        </is>
      </c>
    </row>
    <row r="63">
      <c r="B63" s="1" t="inlineStr">
        <is>
          <t>Additional Paid-In Capital</t>
        </is>
      </c>
      <c r="D63" s="1" t="n">
        <v>0</v>
      </c>
      <c r="E63" s="1" t="n">
        <v>0</v>
      </c>
      <c r="F63" s="1" t="n">
        <v>0</v>
      </c>
      <c r="G63" s="90">
        <f>F63</f>
        <v/>
      </c>
      <c r="H63" s="90">
        <f>G63</f>
        <v/>
      </c>
      <c r="I63" s="90">
        <f>H63</f>
        <v/>
      </c>
      <c r="J63" s="90">
        <f>I63</f>
        <v/>
      </c>
      <c r="K63" s="90">
        <f>J63</f>
        <v/>
      </c>
      <c r="ZZ63" t="inlineStr">
        <is>
          <t>BS_ACCOUNTS_PAYABLE</t>
        </is>
      </c>
    </row>
    <row r="64">
      <c r="B64" s="1" t="inlineStr">
        <is>
          <t>Accumulated Other Comprehensive Income (Loss)</t>
        </is>
      </c>
      <c r="D64" s="1" t="n">
        <v>-6343</v>
      </c>
      <c r="E64" s="1" t="n">
        <v>-5590</v>
      </c>
      <c r="F64" s="1" t="n">
        <v>-3347</v>
      </c>
      <c r="G64" s="90">
        <f>F64</f>
        <v/>
      </c>
      <c r="H64" s="90">
        <f>G64</f>
        <v/>
      </c>
      <c r="I64" s="90">
        <f>H64</f>
        <v/>
      </c>
      <c r="J64" s="90">
        <f>I64</f>
        <v/>
      </c>
      <c r="K64" s="90">
        <f>J64</f>
        <v/>
      </c>
    </row>
    <row r="65" ht="17.4" customHeight="1" thickBot="1">
      <c r="B65" s="1" t="inlineStr">
        <is>
          <t>Other Stockholders’ Equity</t>
        </is>
      </c>
      <c r="D65" s="142" t="n">
        <v>0</v>
      </c>
      <c r="E65" s="142" t="n">
        <v>0</v>
      </c>
      <c r="F65" s="142" t="n">
        <v>0</v>
      </c>
      <c r="G65" s="115">
        <f>F65</f>
        <v/>
      </c>
      <c r="H65" s="115">
        <f>G65</f>
        <v/>
      </c>
      <c r="I65" s="115">
        <f>H65</f>
        <v/>
      </c>
      <c r="J65" s="115">
        <f>I65</f>
        <v/>
      </c>
      <c r="K65" s="115">
        <f>J65</f>
        <v/>
      </c>
    </row>
    <row r="66" ht="18" customHeight="1" thickBot="1" thickTop="1">
      <c r="B66" s="21" t="inlineStr">
        <is>
          <t>Total Equity</t>
        </is>
      </c>
      <c r="D66" s="143" t="n">
        <v>206223</v>
      </c>
      <c r="E66" s="143" t="n">
        <v>268477</v>
      </c>
      <c r="F66" s="143" t="n">
        <v>343479</v>
      </c>
      <c r="G66" s="116">
        <f>SUM(G59:G65)</f>
        <v/>
      </c>
      <c r="H66" s="116">
        <f>SUM(H59:H65)</f>
        <v/>
      </c>
      <c r="I66" s="116">
        <f>SUM(I59:I65)</f>
        <v/>
      </c>
      <c r="J66" s="116">
        <f>SUM(J59:J65)</f>
        <v/>
      </c>
      <c r="K66" s="116">
        <f>SUM(K59:K65)</f>
        <v/>
      </c>
    </row>
    <row r="67" ht="17.4" customHeight="1" thickTop="1">
      <c r="B67" s="21" t="inlineStr">
        <is>
          <t>Total Liabilities &amp; Equity</t>
        </is>
      </c>
      <c r="D67" s="110">
        <f>SUM(D66,D57)</f>
        <v/>
      </c>
      <c r="E67" s="110">
        <f>SUM(E66,E57)</f>
        <v/>
      </c>
      <c r="F67" s="110">
        <f>SUM(F66,F57)</f>
        <v/>
      </c>
      <c r="G67" s="94">
        <f>SUM(G66,G57)</f>
        <v/>
      </c>
      <c r="H67" s="94">
        <f>SUM(H66,H57)</f>
        <v/>
      </c>
      <c r="I67" s="94">
        <f>SUM(I66,I57)</f>
        <v/>
      </c>
      <c r="J67" s="94">
        <f>SUM(J66,J57)</f>
        <v/>
      </c>
      <c r="K67" s="94">
        <f>SUM(K66,K57)</f>
        <v/>
      </c>
    </row>
    <row r="68">
      <c r="B68" s="21" t="n"/>
      <c r="D68" s="103" t="n"/>
      <c r="E68" s="103" t="n"/>
      <c r="F68" s="103" t="n"/>
      <c r="G68" s="111" t="n"/>
      <c r="H68" s="111" t="n"/>
      <c r="I68" s="111" t="n"/>
      <c r="J68" s="111" t="n"/>
      <c r="K68" s="111" t="n"/>
    </row>
    <row r="69" ht="21.6" customHeight="1">
      <c r="B69" s="82" t="inlineStr">
        <is>
          <t xml:space="preserve">Cash Flow Statement </t>
        </is>
      </c>
      <c r="C69" s="81" t="n"/>
      <c r="D69" s="81" t="inlineStr">
        <is>
          <t>2023 A</t>
        </is>
      </c>
      <c r="E69" s="81" t="inlineStr">
        <is>
          <t>2024 A</t>
        </is>
      </c>
      <c r="F69" s="81" t="inlineStr">
        <is>
          <t>2025 A</t>
        </is>
      </c>
      <c r="G69" s="81" t="inlineStr">
        <is>
          <t>2026 E</t>
        </is>
      </c>
      <c r="H69" s="81" t="inlineStr">
        <is>
          <t>2027 E</t>
        </is>
      </c>
      <c r="I69" s="81" t="inlineStr">
        <is>
          <t>2028 E</t>
        </is>
      </c>
      <c r="J69" s="81" t="inlineStr">
        <is>
          <t>2029 E</t>
        </is>
      </c>
      <c r="K69" s="81" t="inlineStr">
        <is>
          <t>2030 E</t>
        </is>
      </c>
      <c r="M69" s="18" t="inlineStr">
        <is>
          <t>Assumptions</t>
        </is>
      </c>
      <c r="N69" s="19" t="inlineStr">
        <is>
          <t xml:space="preserve">Type </t>
        </is>
      </c>
      <c r="O69" s="19" t="inlineStr">
        <is>
          <t>Value</t>
        </is>
      </c>
      <c r="P69" s="19" t="n"/>
      <c r="Q69" s="19" t="n"/>
      <c r="R69" s="19" t="n"/>
      <c r="S69" s="19" t="n"/>
      <c r="ZZ69" t="inlineStr">
        <is>
          <t>BS_CASH</t>
        </is>
      </c>
    </row>
    <row r="70">
      <c r="B70" s="1" t="inlineStr">
        <is>
          <t>Net Income</t>
        </is>
      </c>
      <c r="D70" s="1" t="n">
        <v>144722.0000194</v>
      </c>
      <c r="E70" s="1" t="n">
        <v>176272.00002366</v>
      </c>
      <c r="F70" s="1" t="n">
        <v>203664.00002734</v>
      </c>
      <c r="G70" s="90">
        <f>G18</f>
        <v/>
      </c>
      <c r="H70" s="90">
        <f>H18</f>
        <v/>
      </c>
      <c r="I70" s="90">
        <f>I18</f>
        <v/>
      </c>
      <c r="J70" s="90">
        <f>J18</f>
        <v/>
      </c>
      <c r="K70" s="90">
        <f>K18</f>
        <v/>
      </c>
      <c r="M70" s="1" t="inlineStr">
        <is>
          <t>Share Repurchases (-)</t>
        </is>
      </c>
      <c r="N70" t="inlineStr">
        <is>
          <t>constant</t>
        </is>
      </c>
      <c r="O70" t="n">
        <v>-10</v>
      </c>
      <c r="P70" t="n">
        <v>-10</v>
      </c>
      <c r="Q70" t="n">
        <v>-10</v>
      </c>
      <c r="R70" t="n">
        <v>-10</v>
      </c>
      <c r="S70" t="n">
        <v>-10</v>
      </c>
      <c r="ZZ70" t="inlineStr">
        <is>
          <t>IS_NET_INCOME</t>
        </is>
      </c>
    </row>
    <row r="71">
      <c r="B71" s="1" t="inlineStr">
        <is>
          <t>Depreciation &amp; Amortization</t>
        </is>
      </c>
      <c r="D71" s="1" t="n">
        <v>13861</v>
      </c>
      <c r="E71" s="1" t="n">
        <v>22287</v>
      </c>
      <c r="F71" s="1" t="n">
        <v>34153</v>
      </c>
      <c r="G71" s="90">
        <f>O25*F32</f>
        <v/>
      </c>
      <c r="H71" s="90">
        <f>P25*G32</f>
        <v/>
      </c>
      <c r="I71" s="90">
        <f>Q25*H32</f>
        <v/>
      </c>
      <c r="J71" s="90">
        <f>R25*I32</f>
        <v/>
      </c>
      <c r="K71" s="90">
        <f>S25*J32</f>
        <v/>
      </c>
      <c r="M71" s="1" t="inlineStr">
        <is>
          <t xml:space="preserve">Dividend as a % of Net Incomes </t>
        </is>
      </c>
      <c r="N71" t="inlineStr">
        <is>
          <t>constant</t>
        </is>
      </c>
      <c r="O71" s="20" t="n">
        <v>0.11</v>
      </c>
      <c r="P71" s="20" t="n">
        <v>0.11</v>
      </c>
      <c r="Q71" s="20" t="n">
        <v>0.11</v>
      </c>
      <c r="R71" s="20" t="n">
        <v>0.11</v>
      </c>
      <c r="S71" s="20" t="n">
        <v>0.11</v>
      </c>
      <c r="ZZ71" t="inlineStr">
        <is>
          <t>CF_DEPRECIATION</t>
        </is>
      </c>
    </row>
    <row r="72">
      <c r="B72" s="1" t="inlineStr">
        <is>
          <t>Deferred Income Tax</t>
        </is>
      </c>
      <c r="D72" s="1" t="n">
        <v>-6059</v>
      </c>
      <c r="E72" s="1" t="n">
        <v>-4738</v>
      </c>
      <c r="F72" s="1" t="n">
        <v>-7056</v>
      </c>
      <c r="G72" s="90">
        <f>(-G36+G54)-(-F36+F54)</f>
        <v/>
      </c>
      <c r="H72" s="90">
        <f>(-H36+H54)-(-G36+G54)</f>
        <v/>
      </c>
      <c r="I72" s="90">
        <f>(-I36+I54)-(-H36+H54)</f>
        <v/>
      </c>
      <c r="J72" s="90">
        <f>(-J36+J54)-(-I36+I54)</f>
        <v/>
      </c>
      <c r="K72" s="90">
        <f>(-K36+K54)-(-J36+J54)</f>
        <v/>
      </c>
      <c r="M72" s="1" t="inlineStr">
        <is>
          <t>CAPEX (-)</t>
        </is>
      </c>
      <c r="N72" t="inlineStr">
        <is>
          <t>constant</t>
        </is>
      </c>
      <c r="O72" t="n">
        <v>-60000</v>
      </c>
      <c r="P72" t="n">
        <v>-60000</v>
      </c>
      <c r="Q72" t="n">
        <v>-60000</v>
      </c>
      <c r="R72" t="n">
        <v>-60000</v>
      </c>
      <c r="S72" t="n">
        <v>-60000</v>
      </c>
    </row>
    <row r="73">
      <c r="B73" s="1" t="inlineStr">
        <is>
          <t>Stock-Based Compensation</t>
        </is>
      </c>
      <c r="D73" s="1" t="n">
        <v>9611</v>
      </c>
      <c r="E73" s="1" t="n">
        <v>10734</v>
      </c>
      <c r="F73" s="1" t="n">
        <v>11974</v>
      </c>
      <c r="G73" s="90">
        <f>(F73/F$5)*G$5</f>
        <v/>
      </c>
      <c r="H73" s="90">
        <f>(G73/G$5)*H$5</f>
        <v/>
      </c>
      <c r="I73" s="90">
        <f>(H73/H$5)*I$5</f>
        <v/>
      </c>
      <c r="J73" s="90">
        <f>(I73/I$5)*J$5</f>
        <v/>
      </c>
      <c r="K73" s="90">
        <f>(J73/J$5)*K$5</f>
        <v/>
      </c>
    </row>
    <row r="74">
      <c r="B74" s="1" t="inlineStr">
        <is>
          <t>Change in Working Capital</t>
        </is>
      </c>
      <c r="D74" s="1" t="n">
        <v>-2388</v>
      </c>
      <c r="E74" s="1" t="n">
        <v>1824</v>
      </c>
      <c r="F74" s="1" t="n">
        <v>-5350</v>
      </c>
      <c r="G74" s="90">
        <f>(SUM(F27:F30,F37)-SUM(F47:F49,F42:F44,F53,F55))-(SUM(G27:G30,G37)-SUM(G47:G49,G42:G44,G53,G55))</f>
        <v/>
      </c>
      <c r="H74" s="90">
        <f>(SUM(G27:G30,G37)-SUM(G47:G49,G42:G44,G53,G55))-(SUM(H27:H30,H37)-SUM(H47:H49,H42:H44,H53,H55))</f>
        <v/>
      </c>
      <c r="I74" s="90">
        <f>(SUM(H27:H30,H37)-SUM(H47:H49,H42:H44,H53,H55))-(SUM(I27:I30,I37)-SUM(I47:I49,I42:I44,I53,I55))</f>
        <v/>
      </c>
      <c r="J74" s="90">
        <f>(SUM(I27:I30,I37)-SUM(I47:I49,I42:I44,I53,I55))-(SUM(J27:J30,J37)-SUM(J47:J49,J42:J44,J53,J55))</f>
        <v/>
      </c>
      <c r="K74" s="90">
        <f>(SUM(J27:J30,J37)-SUM(J47:J49,J42:J44,J53,J55))-(SUM(K27:K30,K37)-SUM(K47:K49,K42:K44,K53,K55))</f>
        <v/>
      </c>
      <c r="ZZ74" t="inlineStr">
        <is>
          <t>CF_CHANGE_IN_WORKING_CAPITAL</t>
        </is>
      </c>
    </row>
    <row r="75" ht="17.4" customHeight="1" thickBot="1">
      <c r="B75" s="1" t="inlineStr">
        <is>
          <t>Other Non-Cash Items</t>
        </is>
      </c>
      <c r="D75" s="142" t="n">
        <v>34704</v>
      </c>
      <c r="E75" s="142" t="n">
        <v>18315</v>
      </c>
      <c r="F75" s="142" t="n">
        <v>30242</v>
      </c>
      <c r="G75" s="115" t="n">
        <v>0</v>
      </c>
      <c r="H75" s="115" t="n">
        <v>0</v>
      </c>
      <c r="I75" s="115" t="n">
        <v>0</v>
      </c>
      <c r="J75" s="115" t="n">
        <v>0</v>
      </c>
      <c r="K75" s="115" t="n">
        <v>0</v>
      </c>
      <c r="ZZ75" t="inlineStr">
        <is>
          <t>BS_CASH</t>
        </is>
      </c>
    </row>
    <row r="76" ht="17.4" customHeight="1" thickTop="1">
      <c r="B76" s="21" t="inlineStr">
        <is>
          <t>Net Cash Provided by Operating Activities</t>
        </is>
      </c>
      <c r="D76" s="21" t="n">
        <v>87582</v>
      </c>
      <c r="E76" s="21" t="n">
        <v>118548</v>
      </c>
      <c r="F76" s="21" t="n">
        <v>136162</v>
      </c>
      <c r="G76" s="92">
        <f>SUM(G70:G75)</f>
        <v/>
      </c>
      <c r="H76" s="92">
        <f>SUM(H70:H75)</f>
        <v/>
      </c>
      <c r="I76" s="92">
        <f>SUM(I70:I75)</f>
        <v/>
      </c>
      <c r="J76" s="92">
        <f>SUM(J70:J75)</f>
        <v/>
      </c>
      <c r="K76" s="92">
        <f>SUM(K70:K75)</f>
        <v/>
      </c>
      <c r="ZZ76" t="inlineStr">
        <is>
          <t>BS_CASH</t>
        </is>
      </c>
    </row>
    <row r="77">
      <c r="D77" s="103" t="n"/>
      <c r="E77" s="103" t="n"/>
      <c r="F77" s="103" t="n"/>
      <c r="G77" s="90" t="n"/>
      <c r="H77" s="90" t="n"/>
      <c r="I77" s="90" t="n"/>
      <c r="J77" s="90" t="n"/>
      <c r="K77" s="90" t="n"/>
    </row>
    <row r="78">
      <c r="B78" s="1" t="inlineStr">
        <is>
          <t>Investments in Property, Plant &amp; Equipment (CapEx)</t>
        </is>
      </c>
      <c r="D78" s="1" t="n">
        <v>-28107</v>
      </c>
      <c r="E78" s="1" t="n">
        <v>-44477</v>
      </c>
      <c r="F78" s="1" t="n">
        <v>-64551</v>
      </c>
      <c r="G78" s="90">
        <f>O72</f>
        <v/>
      </c>
      <c r="H78" s="90">
        <f>P72</f>
        <v/>
      </c>
      <c r="I78" s="90">
        <f>Q72</f>
        <v/>
      </c>
      <c r="J78" s="90">
        <f>R72</f>
        <v/>
      </c>
      <c r="K78" s="90">
        <f>S72</f>
        <v/>
      </c>
      <c r="ZZ78" t="inlineStr">
        <is>
          <t>CF_CAPEX</t>
        </is>
      </c>
    </row>
    <row r="79">
      <c r="B79" s="1" t="inlineStr">
        <is>
          <t>Net Acquisitions</t>
        </is>
      </c>
      <c r="D79" s="103" t="n"/>
      <c r="E79" s="103" t="n"/>
      <c r="F79" s="103" t="n"/>
      <c r="G79" s="90" t="n">
        <v>0</v>
      </c>
      <c r="H79" s="90" t="n">
        <v>0</v>
      </c>
      <c r="I79" s="90" t="n">
        <v>0</v>
      </c>
      <c r="J79" s="90" t="n">
        <v>0</v>
      </c>
      <c r="K79" s="90">
        <f>(J$79/$F$5)*K$5</f>
        <v/>
      </c>
    </row>
    <row r="80">
      <c r="B80" s="1" t="inlineStr">
        <is>
          <t>Purchases of Investments</t>
        </is>
      </c>
      <c r="D80" s="103" t="n"/>
      <c r="E80" s="103" t="n"/>
      <c r="F80" s="103" t="n"/>
      <c r="G80" s="90" t="n">
        <v>0</v>
      </c>
      <c r="H80" s="90" t="n">
        <v>0</v>
      </c>
      <c r="I80" s="90" t="n">
        <v>0</v>
      </c>
      <c r="J80" s="90" t="n">
        <v>0</v>
      </c>
      <c r="K80" s="90" t="n">
        <v>0</v>
      </c>
    </row>
    <row r="81">
      <c r="B81" s="1" t="inlineStr">
        <is>
          <t>Sales / Maturities of Investments</t>
        </is>
      </c>
      <c r="D81" s="1" t="n">
        <v>211915</v>
      </c>
      <c r="E81" s="1" t="n">
        <v>245122</v>
      </c>
      <c r="F81" s="1" t="n">
        <v>281724</v>
      </c>
      <c r="G81" s="90">
        <f>F26-G26+F35-G35</f>
        <v/>
      </c>
      <c r="H81" s="90">
        <f>G26-H26+G35-H35</f>
        <v/>
      </c>
      <c r="I81" s="90">
        <f>H26-I26+H35-I35</f>
        <v/>
      </c>
      <c r="J81" s="90">
        <f>I26-J26+I35-J35</f>
        <v/>
      </c>
      <c r="K81" s="90">
        <f>J26-K26+J35-K35</f>
        <v/>
      </c>
      <c r="ZZ81" t="inlineStr">
        <is>
          <t>IS_REVENUE</t>
        </is>
      </c>
    </row>
    <row r="82" ht="17.4" customHeight="1" thickBot="1">
      <c r="B82" s="1" t="inlineStr">
        <is>
          <t>Other Investing Activities</t>
        </is>
      </c>
      <c r="D82" s="113" t="n"/>
      <c r="E82" s="113" t="n"/>
      <c r="F82" s="113" t="n"/>
      <c r="G82" s="115" t="n">
        <v>0</v>
      </c>
      <c r="H82" s="115" t="n">
        <v>0</v>
      </c>
      <c r="I82" s="115" t="n">
        <v>0</v>
      </c>
      <c r="J82" s="115" t="n">
        <v>0</v>
      </c>
      <c r="K82" s="115" t="n">
        <v>0</v>
      </c>
    </row>
    <row r="83" ht="17.4" customHeight="1" thickTop="1">
      <c r="B83" s="21" t="inlineStr">
        <is>
          <t>Net Cash Provided by Investing Activities</t>
        </is>
      </c>
      <c r="D83" s="1" t="n">
        <v>34704</v>
      </c>
      <c r="E83" s="1" t="n">
        <v>18315</v>
      </c>
      <c r="F83" s="1" t="n">
        <v>30242</v>
      </c>
      <c r="G83" s="92">
        <f>SUM(G78:G82)</f>
        <v/>
      </c>
      <c r="H83" s="92">
        <f>SUM(H78:H82)</f>
        <v/>
      </c>
      <c r="I83" s="92">
        <f>SUM(I78:I82)</f>
        <v/>
      </c>
      <c r="J83" s="92">
        <f>SUM(J78:J82)</f>
        <v/>
      </c>
      <c r="K83" s="92">
        <f>SUM(K78:K82)</f>
        <v/>
      </c>
      <c r="ZZ83" t="inlineStr">
        <is>
          <t>BS_CASH</t>
        </is>
      </c>
    </row>
    <row r="84">
      <c r="D84" s="103" t="n"/>
      <c r="E84" s="103" t="n"/>
      <c r="F84" s="103" t="n"/>
      <c r="G84" s="90" t="n"/>
      <c r="H84" s="90" t="n"/>
      <c r="I84" s="90" t="n"/>
      <c r="J84" s="90" t="n"/>
      <c r="K84" s="90" t="n"/>
    </row>
    <row r="85">
      <c r="B85" s="1" t="inlineStr">
        <is>
          <t>Net Debt Issuance</t>
        </is>
      </c>
      <c r="D85" s="1" t="n">
        <v>5247</v>
      </c>
      <c r="E85" s="1" t="n">
        <v>8942</v>
      </c>
      <c r="F85" s="1" t="n">
        <v>2999</v>
      </c>
      <c r="G85" s="90">
        <f>G51+G45-F45-F51</f>
        <v/>
      </c>
      <c r="H85" s="90">
        <f>H51+H45-G45-G51</f>
        <v/>
      </c>
      <c r="I85" s="90">
        <f>I51+I45-H45-H51</f>
        <v/>
      </c>
      <c r="J85" s="90">
        <f>J51+J45-I45-I51</f>
        <v/>
      </c>
      <c r="K85" s="90">
        <f>K51+K45-J45-J51</f>
        <v/>
      </c>
      <c r="ZZ85" t="inlineStr">
        <is>
          <t>BS_DEBT_CURRENT</t>
        </is>
      </c>
    </row>
    <row r="86">
      <c r="B86" s="1" t="inlineStr">
        <is>
          <t>Net Stock Issuance</t>
        </is>
      </c>
      <c r="D86" s="1" t="n">
        <v>-20379</v>
      </c>
      <c r="E86" s="1" t="n">
        <v>-15252</v>
      </c>
      <c r="F86" s="1" t="n">
        <v>-16364</v>
      </c>
      <c r="G86" s="90">
        <f>O70</f>
        <v/>
      </c>
      <c r="H86" s="90">
        <f>P70</f>
        <v/>
      </c>
      <c r="I86" s="90">
        <f>Q70</f>
        <v/>
      </c>
      <c r="J86" s="90">
        <f>R70</f>
        <v/>
      </c>
      <c r="K86" s="90">
        <f>S70</f>
        <v/>
      </c>
    </row>
    <row r="87">
      <c r="B87" s="1" t="inlineStr">
        <is>
          <t>Net Common Stock Issuance</t>
        </is>
      </c>
      <c r="D87" s="1" t="n">
        <v>-20379</v>
      </c>
      <c r="E87" s="1" t="n">
        <v>-15252</v>
      </c>
      <c r="F87" s="1" t="n">
        <v>-16364</v>
      </c>
      <c r="G87" s="90" t="n">
        <v>0</v>
      </c>
      <c r="H87" s="90" t="n">
        <v>0</v>
      </c>
      <c r="I87" s="90" t="n">
        <v>0</v>
      </c>
      <c r="J87" s="90" t="n">
        <v>0</v>
      </c>
      <c r="K87" s="90" t="n">
        <v>0</v>
      </c>
    </row>
    <row r="88">
      <c r="B88" s="1" t="inlineStr">
        <is>
          <t>Common Stock Issued</t>
        </is>
      </c>
      <c r="D88" s="1" t="n">
        <v>1866</v>
      </c>
      <c r="E88" s="1" t="n">
        <v>2002</v>
      </c>
      <c r="F88" s="1" t="n">
        <v>2056</v>
      </c>
      <c r="G88" s="90" t="n">
        <v>0</v>
      </c>
      <c r="H88" s="90" t="n">
        <v>0</v>
      </c>
      <c r="I88" s="90" t="n">
        <v>0</v>
      </c>
      <c r="J88" s="90" t="n">
        <v>0</v>
      </c>
      <c r="K88" s="90" t="n">
        <v>0</v>
      </c>
    </row>
    <row r="89">
      <c r="B89" s="1" t="inlineStr">
        <is>
          <t>Common Stock Repurchased</t>
        </is>
      </c>
      <c r="D89" s="1" t="n">
        <v>-22245</v>
      </c>
      <c r="E89" s="1" t="n">
        <v>-17254</v>
      </c>
      <c r="F89" s="1" t="n">
        <v>-18420</v>
      </c>
      <c r="G89" s="90" t="n">
        <v>0</v>
      </c>
      <c r="H89" s="90" t="n">
        <v>0</v>
      </c>
      <c r="I89" s="90" t="n">
        <v>0</v>
      </c>
      <c r="J89" s="90" t="n">
        <v>0</v>
      </c>
      <c r="K89" s="90" t="n">
        <v>0</v>
      </c>
    </row>
    <row r="90">
      <c r="B90" s="1" t="inlineStr">
        <is>
          <t>Net Preferred Stock Issuance</t>
        </is>
      </c>
      <c r="D90" s="1" t="n">
        <v>0</v>
      </c>
      <c r="E90" s="1" t="n">
        <v>0</v>
      </c>
      <c r="F90" s="1" t="n">
        <v>0</v>
      </c>
      <c r="G90" s="90" t="n">
        <v>0</v>
      </c>
      <c r="H90" s="90" t="n">
        <v>0</v>
      </c>
      <c r="I90" s="90" t="n">
        <v>0</v>
      </c>
      <c r="J90" s="90" t="n">
        <v>0</v>
      </c>
      <c r="K90" s="90" t="n">
        <v>0</v>
      </c>
    </row>
    <row r="91">
      <c r="B91" s="1" t="inlineStr">
        <is>
          <t>Dividends Paid (Net)</t>
        </is>
      </c>
      <c r="D91" s="1" t="n">
        <v>-19800</v>
      </c>
      <c r="E91" s="1" t="n">
        <v>-21771</v>
      </c>
      <c r="F91" s="1" t="n">
        <v>-24082</v>
      </c>
      <c r="G91" s="90">
        <f>-O71*G18</f>
        <v/>
      </c>
      <c r="H91" s="90">
        <f>-P71*H18</f>
        <v/>
      </c>
      <c r="I91" s="90">
        <f>-Q71*I18</f>
        <v/>
      </c>
      <c r="J91" s="90">
        <f>-R71*J18</f>
        <v/>
      </c>
      <c r="K91" s="90">
        <f>-S71*K18</f>
        <v/>
      </c>
      <c r="ZZ91" t="inlineStr">
        <is>
          <t>CF_DIVIDENDS_PAID</t>
        </is>
      </c>
    </row>
    <row r="92">
      <c r="B92" s="1" t="inlineStr">
        <is>
          <t>Common Dividends Paid</t>
        </is>
      </c>
      <c r="D92" s="1" t="n">
        <v>-19800</v>
      </c>
      <c r="E92" s="1" t="n">
        <v>-21771</v>
      </c>
      <c r="F92" s="1" t="n">
        <v>-24082</v>
      </c>
      <c r="G92" s="90" t="n">
        <v>0</v>
      </c>
      <c r="H92" s="90" t="n">
        <v>0</v>
      </c>
      <c r="I92" s="90" t="n">
        <v>0</v>
      </c>
      <c r="J92" s="90" t="n">
        <v>0</v>
      </c>
      <c r="K92" s="90" t="n">
        <v>0</v>
      </c>
      <c r="ZZ92" t="inlineStr">
        <is>
          <t>CF_DIVIDENDS_PAID</t>
        </is>
      </c>
    </row>
    <row r="93">
      <c r="B93" s="1" t="inlineStr">
        <is>
          <t>Preferred Dividends Paid</t>
        </is>
      </c>
      <c r="D93" s="1" t="n">
        <v>-19800</v>
      </c>
      <c r="E93" s="1" t="n">
        <v>-21771</v>
      </c>
      <c r="F93" s="1" t="n">
        <v>-24082</v>
      </c>
      <c r="G93" s="90" t="n">
        <v>0</v>
      </c>
      <c r="H93" s="90" t="n">
        <v>0</v>
      </c>
      <c r="I93" s="90" t="n">
        <v>0</v>
      </c>
      <c r="J93" s="90" t="n">
        <v>0</v>
      </c>
      <c r="K93" s="90" t="n">
        <v>0</v>
      </c>
      <c r="ZZ93" t="inlineStr">
        <is>
          <t>CF_DIVIDENDS_PAID</t>
        </is>
      </c>
    </row>
    <row r="94" ht="17.4" customHeight="1" thickBot="1">
      <c r="B94" s="1" t="inlineStr">
        <is>
          <t>Other Financing Activities</t>
        </is>
      </c>
      <c r="D94" s="142" t="n">
        <v>-1006</v>
      </c>
      <c r="E94" s="142" t="n">
        <v>-1309</v>
      </c>
      <c r="F94" s="142" t="n">
        <v>-2291</v>
      </c>
      <c r="G94" s="115" t="n">
        <v>0</v>
      </c>
      <c r="H94" s="115" t="n">
        <v>0</v>
      </c>
      <c r="I94" s="115" t="n">
        <v>0</v>
      </c>
      <c r="J94" s="115" t="n">
        <v>0</v>
      </c>
      <c r="K94" s="115" t="n">
        <v>0</v>
      </c>
    </row>
    <row r="95" ht="17.4" customHeight="1" thickTop="1">
      <c r="B95" s="21" t="inlineStr">
        <is>
          <t>Net Cash Provided by Financing Activities</t>
        </is>
      </c>
      <c r="D95" s="1" t="n">
        <v>-43935</v>
      </c>
      <c r="E95" s="1" t="n">
        <v>-37757</v>
      </c>
      <c r="F95" s="1" t="n">
        <v>-51699</v>
      </c>
      <c r="G95" s="92">
        <f>SUM(G85:G94)</f>
        <v/>
      </c>
      <c r="H95" s="92">
        <f>SUM(H85:H94)</f>
        <v/>
      </c>
      <c r="I95" s="92">
        <f>SUM(I85:I94)</f>
        <v/>
      </c>
      <c r="J95" s="92">
        <f>SUM(J85:J94)</f>
        <v/>
      </c>
      <c r="K95" s="92">
        <f>SUM(K85:K94)</f>
        <v/>
      </c>
      <c r="ZZ95" t="inlineStr">
        <is>
          <t>BS_CASH</t>
        </is>
      </c>
    </row>
    <row r="96">
      <c r="D96" s="103" t="n"/>
      <c r="E96" s="103" t="n"/>
      <c r="F96" s="103" t="n"/>
      <c r="G96" s="90" t="n"/>
      <c r="H96" s="90" t="n"/>
      <c r="I96" s="90" t="n"/>
      <c r="J96" s="90" t="n"/>
      <c r="K96" s="90" t="n"/>
    </row>
    <row r="97">
      <c r="B97" s="1" t="inlineStr">
        <is>
          <t>Effect of Foreign Exchange on Cash</t>
        </is>
      </c>
      <c r="D97" s="1" t="n">
        <v>34704</v>
      </c>
      <c r="E97" s="1" t="n">
        <v>18315</v>
      </c>
      <c r="F97" s="1" t="n">
        <v>30242</v>
      </c>
      <c r="G97" s="90" t="n">
        <v>0</v>
      </c>
      <c r="H97" s="90" t="n">
        <v>0</v>
      </c>
      <c r="I97" s="90" t="n">
        <v>0</v>
      </c>
      <c r="J97" s="90" t="n">
        <v>0</v>
      </c>
      <c r="K97" s="90" t="n">
        <v>0</v>
      </c>
      <c r="ZZ97" t="inlineStr">
        <is>
          <t>BS_CASH</t>
        </is>
      </c>
    </row>
    <row r="98">
      <c r="D98" s="103" t="n"/>
      <c r="E98" s="103" t="n"/>
      <c r="F98" s="103" t="n"/>
      <c r="G98" s="103" t="n"/>
      <c r="H98" s="103" t="n"/>
      <c r="I98" s="103" t="n"/>
      <c r="J98" s="103" t="n"/>
      <c r="K98" s="103" t="n"/>
    </row>
    <row r="99">
      <c r="B99" s="21" t="inlineStr">
        <is>
          <t>Cash at Beginning of Period</t>
        </is>
      </c>
      <c r="C99" s="21" t="n"/>
      <c r="D99" s="21" t="n">
        <v>34704</v>
      </c>
      <c r="E99" s="21" t="n">
        <v>18315</v>
      </c>
      <c r="F99" s="21" t="n">
        <v>30242</v>
      </c>
      <c r="G99" s="111">
        <f>F101</f>
        <v/>
      </c>
      <c r="H99" s="111">
        <f>G101</f>
        <v/>
      </c>
      <c r="I99" s="111">
        <f>H101</f>
        <v/>
      </c>
      <c r="J99" s="111">
        <f>I101</f>
        <v/>
      </c>
      <c r="K99" s="111">
        <f>J101</f>
        <v/>
      </c>
      <c r="ZZ99" t="inlineStr">
        <is>
          <t>BS_CASH</t>
        </is>
      </c>
    </row>
    <row r="100">
      <c r="B100" s="1" t="inlineStr">
        <is>
          <t>Net Change in Cash</t>
        </is>
      </c>
      <c r="D100" s="1" t="n">
        <v>20773</v>
      </c>
      <c r="E100" s="1" t="n">
        <v>-16389</v>
      </c>
      <c r="F100" s="1" t="n">
        <v>11927</v>
      </c>
      <c r="G100" s="103">
        <f>G95+G97+G83+G76</f>
        <v/>
      </c>
      <c r="H100" s="103">
        <f>H95+H97+H83+H76</f>
        <v/>
      </c>
      <c r="I100" s="103">
        <f>I95+I97+I83+I76</f>
        <v/>
      </c>
      <c r="J100" s="103">
        <f>J95+J97+J83+J76</f>
        <v/>
      </c>
      <c r="K100" s="103">
        <f>K95+K97+K83+K76</f>
        <v/>
      </c>
      <c r="ZZ100" t="inlineStr">
        <is>
          <t>BS_CASH</t>
        </is>
      </c>
    </row>
    <row r="101">
      <c r="B101" s="21" t="inlineStr">
        <is>
          <t>Cash at End of Period</t>
        </is>
      </c>
      <c r="C101" s="21" t="n"/>
      <c r="D101" s="21" t="n">
        <v>34704</v>
      </c>
      <c r="E101" s="21" t="n">
        <v>18315</v>
      </c>
      <c r="F101" s="21" t="n">
        <v>30242</v>
      </c>
      <c r="G101" s="111">
        <f>G99+G100</f>
        <v/>
      </c>
      <c r="H101" s="111">
        <f>H99+H100</f>
        <v/>
      </c>
      <c r="I101" s="111">
        <f>I99+I100</f>
        <v/>
      </c>
      <c r="J101" s="111">
        <f>J99+J100</f>
        <v/>
      </c>
      <c r="K101" s="111">
        <f>K99+K100</f>
        <v/>
      </c>
      <c r="ZZ101" t="inlineStr">
        <is>
          <t>BS_CASH</t>
        </is>
      </c>
    </row>
    <row r="102">
      <c r="D102" s="103" t="n"/>
      <c r="E102" s="103" t="n"/>
      <c r="F102" s="103" t="n"/>
      <c r="G102" s="103" t="n"/>
      <c r="H102" s="103" t="n"/>
      <c r="I102" s="103" t="n"/>
      <c r="J102" s="103" t="n"/>
      <c r="K102" s="103" t="n"/>
    </row>
    <row r="103">
      <c r="B103" s="21" t="inlineStr">
        <is>
          <t>Free Cash Flow</t>
        </is>
      </c>
      <c r="C103" s="21" t="n"/>
      <c r="D103" s="144" t="n">
        <v>34704</v>
      </c>
      <c r="E103" s="144" t="n">
        <v>18315</v>
      </c>
      <c r="F103" s="144" t="n">
        <v>30242</v>
      </c>
      <c r="G103" s="95">
        <f>G$12*(1-$O$9)+G71-G78-G74</f>
        <v/>
      </c>
      <c r="H103" s="95">
        <f>H12*(1-P9)+H71-H78-H74</f>
        <v/>
      </c>
      <c r="I103" s="95">
        <f>I12*(1-Q9)+I71-I78-I74</f>
        <v/>
      </c>
      <c r="J103" s="95">
        <f>J12*(1-R9)+J71-J78-J74</f>
        <v/>
      </c>
      <c r="K103" s="95">
        <f>K12*(1-S9)+K71-K78-K74</f>
        <v/>
      </c>
      <c r="ZZ103" t="inlineStr">
        <is>
          <t>BS_CASH</t>
        </is>
      </c>
    </row>
    <row r="104"/>
    <row r="105"/>
    <row r="106">
      <c r="B106" s="1" t="inlineStr">
        <is>
          <t xml:space="preserve">Balance Check </t>
        </is>
      </c>
      <c r="D106" s="103">
        <f>D40-D67</f>
        <v/>
      </c>
      <c r="E106" s="103">
        <f>E40-E67</f>
        <v/>
      </c>
      <c r="F106" s="103">
        <f>F40-F67</f>
        <v/>
      </c>
      <c r="G106" s="103">
        <f>G40-G67</f>
        <v/>
      </c>
      <c r="H106" s="103">
        <f>H40-H67</f>
        <v/>
      </c>
      <c r="I106" s="103">
        <f>I40-I67</f>
        <v/>
      </c>
      <c r="J106" s="103">
        <f>J40-J67</f>
        <v/>
      </c>
      <c r="K106" s="103">
        <f>K40-K67</f>
        <v/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M21"/>
  <sheetViews>
    <sheetView showGridLines="0" workbookViewId="0">
      <selection activeCell="F21" sqref="F21"/>
    </sheetView>
  </sheetViews>
  <sheetFormatPr baseColWidth="8" defaultColWidth="8.88671875" defaultRowHeight="16.8"/>
  <cols>
    <col width="2.88671875" customWidth="1" style="1" min="1" max="1"/>
    <col width="21.109375" bestFit="1" customWidth="1" style="1" min="2" max="2"/>
    <col width="2.88671875" customWidth="1" style="1" min="3" max="3"/>
    <col width="12.88671875" customWidth="1" style="1" min="4" max="5"/>
    <col width="15.88671875" bestFit="1" customWidth="1" style="1" min="6" max="6"/>
    <col width="18.33203125" bestFit="1" customWidth="1" style="1" min="7" max="7"/>
    <col width="12.88671875" customWidth="1" style="1" min="8" max="8"/>
    <col width="27.109375" bestFit="1" customWidth="1" style="1" min="9" max="9"/>
    <col width="12.88671875" customWidth="1" style="1" min="10" max="13"/>
    <col width="8.88671875" customWidth="1" style="1" min="14" max="16384"/>
  </cols>
  <sheetData>
    <row r="1">
      <c r="A1" s="2" t="n"/>
      <c r="K1" s="2" t="n"/>
    </row>
    <row r="2" ht="21.6" customHeight="1">
      <c r="B2" s="15" t="inlineStr">
        <is>
          <t>Microsoft Corporation Relative Valuation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9" t="n"/>
      <c r="M2" s="2" t="n"/>
    </row>
    <row r="3">
      <c r="G3" s="2" t="n"/>
    </row>
    <row r="4">
      <c r="B4" s="19" t="n"/>
      <c r="C4" s="19" t="n"/>
      <c r="D4" s="18" t="inlineStr">
        <is>
          <t>EV/Sales</t>
        </is>
      </c>
      <c r="E4" s="18" t="inlineStr">
        <is>
          <t>Price/Sales</t>
        </is>
      </c>
      <c r="F4" s="18" t="inlineStr">
        <is>
          <t>Price/Earnings</t>
        </is>
      </c>
      <c r="G4" s="18" t="inlineStr">
        <is>
          <t>Price/Book Value</t>
        </is>
      </c>
      <c r="I4" s="18" t="inlineStr">
        <is>
          <t>Weight</t>
        </is>
      </c>
      <c r="J4" s="19" t="n"/>
    </row>
    <row r="5">
      <c r="B5" s="1" t="inlineStr">
        <is>
          <t>Microsoft Corporation</t>
        </is>
      </c>
      <c r="D5" s="135">
        <f>G16/F16</f>
        <v/>
      </c>
      <c r="E5" s="135">
        <f>E16/(F16/(K16/1000000))</f>
        <v/>
      </c>
      <c r="F5" s="135">
        <f>E16/I16</f>
        <v/>
      </c>
      <c r="G5" s="135">
        <f>E16/(J16/(K16/1000000))</f>
        <v/>
      </c>
      <c r="I5" s="1" t="inlineStr">
        <is>
          <t>EV/Sales</t>
        </is>
      </c>
      <c r="J5" s="69" t="n">
        <v>0.25</v>
      </c>
    </row>
    <row r="6">
      <c r="B6" s="1" t="inlineStr">
        <is>
          <t>AAPL</t>
        </is>
      </c>
      <c r="D6" s="135">
        <f>G17/F17</f>
        <v/>
      </c>
      <c r="E6" s="135">
        <f>E17/(F17/(K17/1000000))</f>
        <v/>
      </c>
      <c r="F6" s="135">
        <f>E17/I17</f>
        <v/>
      </c>
      <c r="G6" s="135">
        <f>E17/(J17/(K17/1000000))</f>
        <v/>
      </c>
      <c r="I6" s="1" t="inlineStr">
        <is>
          <t>Price/Sales</t>
        </is>
      </c>
      <c r="J6" s="69" t="n">
        <v>0.25</v>
      </c>
    </row>
    <row r="7">
      <c r="B7" s="1" t="inlineStr">
        <is>
          <t>AMZN</t>
        </is>
      </c>
      <c r="D7" s="135">
        <f>G18/F18</f>
        <v/>
      </c>
      <c r="E7" s="135">
        <f>E18/(F18/(K18/1000000))</f>
        <v/>
      </c>
      <c r="F7" s="135">
        <f>E18/I18</f>
        <v/>
      </c>
      <c r="G7" s="135">
        <f>E18/(J18/(K18/1000000))</f>
        <v/>
      </c>
      <c r="I7" s="1" t="inlineStr">
        <is>
          <t>Price/Earnings</t>
        </is>
      </c>
      <c r="J7" s="69" t="n">
        <v>0.25</v>
      </c>
    </row>
    <row r="8">
      <c r="B8" s="1" t="inlineStr">
        <is>
          <t>TSLA</t>
        </is>
      </c>
      <c r="D8" s="135">
        <f>G19/F19</f>
        <v/>
      </c>
      <c r="E8" s="135">
        <f>E19/(F19/(K19/1000000))</f>
        <v/>
      </c>
      <c r="F8" s="135">
        <f>E19/I19</f>
        <v/>
      </c>
      <c r="G8" s="135">
        <f>E19/(J19/(K19/1000000))</f>
        <v/>
      </c>
      <c r="I8" s="1" t="inlineStr">
        <is>
          <t>Price/Book Value</t>
        </is>
      </c>
      <c r="J8" s="69" t="n">
        <v>0.25</v>
      </c>
    </row>
    <row r="9">
      <c r="B9" s="1" t="inlineStr">
        <is>
          <t>ORCL</t>
        </is>
      </c>
      <c r="D9" s="135">
        <f>G20/F20</f>
        <v/>
      </c>
      <c r="E9" s="135">
        <f>E20/(F20/(K20/1000000))</f>
        <v/>
      </c>
      <c r="F9" s="135">
        <f>E20/I20</f>
        <v/>
      </c>
      <c r="G9" s="135">
        <f>E20/(J20/(K20/1000000))</f>
        <v/>
      </c>
    </row>
    <row r="10">
      <c r="B10" s="22" t="inlineStr">
        <is>
          <t xml:space="preserve">Low </t>
        </is>
      </c>
      <c r="C10" s="22" t="n"/>
      <c r="D10" s="136">
        <f>MIN(D5:D9)</f>
        <v/>
      </c>
      <c r="E10" s="136">
        <f>MIN(E5:E9)</f>
        <v/>
      </c>
      <c r="F10" s="136">
        <f>MIN(F5:F9)</f>
        <v/>
      </c>
      <c r="G10" s="136">
        <f>MIN(G5:G9)</f>
        <v/>
      </c>
      <c r="I10" s="21" t="inlineStr">
        <is>
          <t>Implied Price Target</t>
        </is>
      </c>
      <c r="J10" s="126">
        <f>(D13*J5)+(E13*J6)+(F13*J7)+(G13*J8)</f>
        <v/>
      </c>
    </row>
    <row r="11">
      <c r="B11" s="1" t="inlineStr">
        <is>
          <t>Average</t>
        </is>
      </c>
      <c r="D11" s="135">
        <f>AVERAGE(D5:D9)</f>
        <v/>
      </c>
      <c r="E11" s="135">
        <f>AVERAGE(E5:E9)</f>
        <v/>
      </c>
      <c r="F11" s="135">
        <f>AVERAGE(F5:F9)</f>
        <v/>
      </c>
      <c r="G11" s="135">
        <f>AVERAGE(G5:G9)</f>
        <v/>
      </c>
      <c r="I11" s="1" t="inlineStr">
        <is>
          <t>Implied Upside/Downside</t>
        </is>
      </c>
      <c r="J11" s="97">
        <f>(J10/E16)-1</f>
        <v/>
      </c>
    </row>
    <row r="12">
      <c r="B12" s="1" t="inlineStr">
        <is>
          <t>High</t>
        </is>
      </c>
      <c r="D12" s="135">
        <f>MAX(D5:D9)</f>
        <v/>
      </c>
      <c r="E12" s="135">
        <f>MAX(E5:E9)</f>
        <v/>
      </c>
      <c r="F12" s="135">
        <f>MAX(F5:F9)</f>
        <v/>
      </c>
      <c r="G12" s="135">
        <f>MAX(G5:G9)</f>
        <v/>
      </c>
    </row>
    <row r="13">
      <c r="B13" s="22" t="inlineStr">
        <is>
          <t>Microsoft Corporation</t>
        </is>
      </c>
      <c r="C13" s="22" t="n"/>
      <c r="D13" s="125">
        <f>(((D11)*F16)-H16)/(K16/1000000)</f>
        <v/>
      </c>
      <c r="E13" s="125">
        <f>E11*(F16/(K16/1000000))</f>
        <v/>
      </c>
      <c r="F13" s="125">
        <f>F11*(I16)</f>
        <v/>
      </c>
      <c r="G13" s="125">
        <f>G11*(J16/(K16/1000000))</f>
        <v/>
      </c>
    </row>
    <row r="15">
      <c r="B15" s="63" t="inlineStr">
        <is>
          <t xml:space="preserve">Financials </t>
        </is>
      </c>
      <c r="C15" s="63" t="n"/>
      <c r="D15" s="63" t="inlineStr">
        <is>
          <t>Market Cap</t>
        </is>
      </c>
      <c r="E15" s="63" t="inlineStr">
        <is>
          <t>Share Price</t>
        </is>
      </c>
      <c r="F15" s="63" t="inlineStr">
        <is>
          <t>Sales</t>
        </is>
      </c>
      <c r="G15" s="63" t="inlineStr">
        <is>
          <t>Enterprise Value</t>
        </is>
      </c>
      <c r="H15" s="63" t="inlineStr">
        <is>
          <t>Net Debt</t>
        </is>
      </c>
      <c r="I15" s="63" t="inlineStr">
        <is>
          <t xml:space="preserve">EPS </t>
        </is>
      </c>
      <c r="J15" s="63" t="inlineStr">
        <is>
          <t>Book Value</t>
        </is>
      </c>
      <c r="K15" s="63" t="inlineStr">
        <is>
          <t>Shares/OS</t>
        </is>
      </c>
    </row>
    <row r="16">
      <c r="B16" s="64" t="inlineStr">
        <is>
          <t>Microsoft Corporation</t>
        </is>
      </c>
      <c r="D16" s="1" t="n">
        <v>3550971.766977</v>
      </c>
      <c r="E16" s="1" t="n">
        <v>477.73</v>
      </c>
      <c r="F16" s="1" t="n">
        <v>281724</v>
      </c>
      <c r="G16" s="1" t="n">
        <v>3581317.766977</v>
      </c>
      <c r="H16" s="1" t="n">
        <v>30346</v>
      </c>
      <c r="I16" s="1" t="n">
        <v>13.64</v>
      </c>
      <c r="J16" s="1" t="n">
        <v>343479</v>
      </c>
      <c r="K16" s="1" t="n">
        <v>7465000000</v>
      </c>
    </row>
    <row r="17">
      <c r="B17" s="64" t="inlineStr">
        <is>
          <t>AAPL</t>
        </is>
      </c>
      <c r="D17" s="145" t="n">
        <v>4143732.67179</v>
      </c>
      <c r="E17" s="1" t="n">
        <v>280.43</v>
      </c>
      <c r="F17" s="145" t="n">
        <v>416161</v>
      </c>
      <c r="G17" s="145" t="n">
        <v>4206455.67179</v>
      </c>
      <c r="H17" s="1" t="n">
        <v>62723</v>
      </c>
      <c r="I17" s="145" t="n">
        <v>7.46</v>
      </c>
      <c r="J17" s="145" t="n">
        <v>73733</v>
      </c>
      <c r="K17" s="145" t="n">
        <v>15004697000</v>
      </c>
    </row>
    <row r="18">
      <c r="B18" s="64" t="inlineStr">
        <is>
          <t>AMZN</t>
        </is>
      </c>
      <c r="D18" s="1" t="n">
        <v>2428854.417718</v>
      </c>
      <c r="E18" s="1" t="n">
        <v>227.216</v>
      </c>
      <c r="F18" s="1" t="n">
        <v>637959</v>
      </c>
      <c r="G18" s="1" t="n">
        <v>2480975.417718</v>
      </c>
      <c r="H18" s="1" t="n">
        <v>52121</v>
      </c>
      <c r="I18" s="1" t="n">
        <v>5.53</v>
      </c>
      <c r="J18" s="1" t="n">
        <v>285970</v>
      </c>
      <c r="K18" s="1" t="n">
        <v>10721000000</v>
      </c>
    </row>
    <row r="19">
      <c r="B19" s="64" t="inlineStr">
        <is>
          <t>TSLA</t>
        </is>
      </c>
      <c r="D19" s="1" t="n">
        <v>1442674.516526</v>
      </c>
      <c r="E19" s="1" t="n">
        <v>447.995</v>
      </c>
      <c r="F19" s="1" t="n">
        <v>97690</v>
      </c>
      <c r="G19" s="1" t="n">
        <v>1440158.516526</v>
      </c>
      <c r="H19" s="1" t="n">
        <v>-2516</v>
      </c>
      <c r="I19" s="1" t="n">
        <v>2.04</v>
      </c>
      <c r="J19" s="1" t="n">
        <v>72913</v>
      </c>
      <c r="K19" s="1" t="n">
        <v>3498000000</v>
      </c>
    </row>
    <row r="20">
      <c r="B20" s="64" t="inlineStr">
        <is>
          <t>ORCL</t>
        </is>
      </c>
      <c r="D20" s="1" t="n">
        <v>591344.465163</v>
      </c>
      <c r="E20" s="1" t="n">
        <v>210.7951</v>
      </c>
      <c r="F20" s="1" t="n">
        <v>57399</v>
      </c>
      <c r="G20" s="1" t="n">
        <v>684662.465163</v>
      </c>
      <c r="H20" s="1" t="n">
        <v>93318</v>
      </c>
      <c r="I20" s="1" t="n">
        <v>4.34</v>
      </c>
      <c r="J20" s="1" t="n">
        <v>20451</v>
      </c>
      <c r="K20" s="1" t="n">
        <v>2866000000</v>
      </c>
    </row>
    <row r="21">
      <c r="G21" s="10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B2:F1261"/>
  <sheetViews>
    <sheetView showGridLines="0" workbookViewId="0">
      <pane ySplit="6" topLeftCell="A1238" activePane="bottomLeft" state="frozen"/>
      <selection pane="bottomLeft" activeCell="E1242" sqref="E1242"/>
    </sheetView>
  </sheetViews>
  <sheetFormatPr baseColWidth="8" defaultRowHeight="14.4"/>
  <cols>
    <col width="2.88671875" customWidth="1" min="1" max="1"/>
    <col width="14.6640625" customWidth="1" min="2" max="2"/>
    <col width="14.33203125" bestFit="1" customWidth="1" min="3" max="3"/>
    <col width="18.6640625" bestFit="1" customWidth="1" min="4" max="4"/>
    <col width="12.6640625" bestFit="1" customWidth="1" min="5" max="5"/>
    <col width="17.33203125" bestFit="1" customWidth="1" min="6" max="6"/>
  </cols>
  <sheetData>
    <row r="2">
      <c r="B2" s="57" t="inlineStr">
        <is>
          <t>Ticker</t>
        </is>
      </c>
      <c r="C2" s="73" t="n"/>
    </row>
    <row r="3">
      <c r="B3" s="57" t="inlineStr">
        <is>
          <t>Benchmark</t>
        </is>
      </c>
      <c r="C3" s="73" t="inlineStr">
        <is>
          <t>S&amp;P 500</t>
        </is>
      </c>
    </row>
    <row r="4">
      <c r="B4" s="57" t="inlineStr">
        <is>
          <t>Lookback (years)</t>
        </is>
      </c>
      <c r="C4" s="73" t="n">
        <v>5</v>
      </c>
    </row>
    <row r="5">
      <c r="B5" s="57" t="inlineStr">
        <is>
          <t>Beta</t>
        </is>
      </c>
      <c r="C5" s="74">
        <f>SLOPE(E8:E1261,F8:F1261)</f>
        <v/>
      </c>
    </row>
    <row r="6">
      <c r="B6" s="78" t="inlineStr">
        <is>
          <t>Date</t>
        </is>
      </c>
      <c r="C6" s="78" t="inlineStr">
        <is>
          <t>Ticker Adj Close</t>
        </is>
      </c>
      <c r="D6" s="78" t="inlineStr">
        <is>
          <t>Benchmark Adj Close</t>
        </is>
      </c>
      <c r="E6" s="78" t="inlineStr">
        <is>
          <t>Ticker Returns</t>
        </is>
      </c>
      <c r="F6" s="78" t="inlineStr">
        <is>
          <t>Benchmark Returns</t>
        </is>
      </c>
    </row>
    <row r="7">
      <c r="B7" s="70" t="n">
        <v>44168</v>
      </c>
      <c r="C7" s="137" t="n">
        <v>119.6762237548828</v>
      </c>
      <c r="D7" s="137" t="n">
        <v>3666.719970703125</v>
      </c>
      <c r="E7" s="72" t="n"/>
      <c r="F7" s="72" t="n"/>
    </row>
    <row r="8">
      <c r="B8" s="70" t="n">
        <v>44169</v>
      </c>
      <c r="C8" s="137" t="n">
        <v>119.0045471191406</v>
      </c>
      <c r="D8" s="137" t="n">
        <v>3699.1201171875</v>
      </c>
      <c r="E8" s="71">
        <f t="array" ref="E8:E1261">((C8:C1261/C7:C1260)-1)*100</f>
        <v/>
      </c>
      <c r="F8" s="71">
        <f t="array" ref="F8:F1261">((D8:D1261/D7:D1260)-1)*100</f>
        <v/>
      </c>
    </row>
    <row r="9">
      <c r="B9" s="70" t="n">
        <v>44172</v>
      </c>
      <c r="C9" s="137" t="n">
        <v>120.4647369384766</v>
      </c>
      <c r="D9" s="137" t="n">
        <v>3691.9599609375</v>
      </c>
      <c r="E9" s="71" t="n">
        <v>1.22700338321875</v>
      </c>
      <c r="F9" s="71" t="n">
        <v>-0.193563767143734</v>
      </c>
    </row>
    <row r="10">
      <c r="B10" s="70" t="n">
        <v>44173</v>
      </c>
      <c r="C10" s="137" t="n">
        <v>121.0779800415039</v>
      </c>
      <c r="D10" s="137" t="n">
        <v>3702.25</v>
      </c>
      <c r="E10" s="71" t="n">
        <v>0.5090644105590014</v>
      </c>
      <c r="F10" s="71" t="n">
        <v>0.2787148065356293</v>
      </c>
    </row>
    <row r="11">
      <c r="B11" s="70" t="n">
        <v>44174</v>
      </c>
      <c r="C11" s="137" t="n">
        <v>118.5470275878906</v>
      </c>
      <c r="D11" s="137" t="n">
        <v>3672.820068359375</v>
      </c>
      <c r="E11" s="71" t="n">
        <v>-2.090349089690569</v>
      </c>
      <c r="F11" s="71" t="n">
        <v>-0.7949201604598555</v>
      </c>
    </row>
    <row r="12">
      <c r="B12" s="70" t="n">
        <v>44175</v>
      </c>
      <c r="C12" s="137" t="n">
        <v>119.96826171875</v>
      </c>
      <c r="D12" s="137" t="n">
        <v>3668.10009765625</v>
      </c>
      <c r="E12" s="71" t="n">
        <v>1.198877913497842</v>
      </c>
      <c r="F12" s="71" t="n">
        <v>-0.1285108068262431</v>
      </c>
    </row>
    <row r="13">
      <c r="B13" s="70" t="n">
        <v>44176</v>
      </c>
      <c r="C13" s="137" t="n">
        <v>119.1603088378906</v>
      </c>
      <c r="D13" s="137" t="n">
        <v>3663.4599609375</v>
      </c>
      <c r="E13" s="71" t="n">
        <v>-0.673472191131308</v>
      </c>
      <c r="F13" s="71" t="n">
        <v>-0.1264997299750603</v>
      </c>
    </row>
    <row r="14">
      <c r="B14" s="70" t="n">
        <v>44179</v>
      </c>
      <c r="C14" s="137" t="n">
        <v>118.5470275878906</v>
      </c>
      <c r="D14" s="137" t="n">
        <v>3647.489990234375</v>
      </c>
      <c r="E14" s="71" t="n">
        <v>-0.5146690672263365</v>
      </c>
      <c r="F14" s="71" t="n">
        <v>-0.4359258971957769</v>
      </c>
    </row>
    <row r="15">
      <c r="B15" s="70" t="n">
        <v>44180</v>
      </c>
      <c r="C15" s="137" t="n">
        <v>124.4850769042969</v>
      </c>
      <c r="D15" s="137" t="n">
        <v>3694.6201171875</v>
      </c>
      <c r="E15" s="71" t="n">
        <v>5.009024213621749</v>
      </c>
      <c r="F15" s="71" t="n">
        <v>1.292124915470882</v>
      </c>
    </row>
    <row r="16">
      <c r="B16" s="70" t="n">
        <v>44181</v>
      </c>
      <c r="C16" s="137" t="n">
        <v>124.4169235229492</v>
      </c>
      <c r="D16" s="137" t="n">
        <v>3701.169921875</v>
      </c>
      <c r="E16" s="71" t="n">
        <v>-0.05474823411973917</v>
      </c>
      <c r="F16" s="71" t="n">
        <v>0.1772795166959051</v>
      </c>
    </row>
    <row r="17">
      <c r="B17" s="70" t="n">
        <v>44182</v>
      </c>
      <c r="C17" s="137" t="n">
        <v>125.2833099365234</v>
      </c>
      <c r="D17" s="137" t="n">
        <v>3722.47998046875</v>
      </c>
      <c r="E17" s="71" t="n">
        <v>0.6963573676650014</v>
      </c>
      <c r="F17" s="71" t="n">
        <v>0.5757654753379748</v>
      </c>
    </row>
    <row r="18">
      <c r="B18" s="70" t="n">
        <v>44183</v>
      </c>
      <c r="C18" s="137" t="n">
        <v>123.2974700927734</v>
      </c>
      <c r="D18" s="137" t="n">
        <v>3709.409912109375</v>
      </c>
      <c r="E18" s="71" t="n">
        <v>-1.58507932521591</v>
      </c>
      <c r="F18" s="71" t="n">
        <v>-0.3511118509152866</v>
      </c>
    </row>
    <row r="19">
      <c r="B19" s="70" t="n">
        <v>44186</v>
      </c>
      <c r="C19" s="137" t="n">
        <v>124.825798034668</v>
      </c>
      <c r="D19" s="137" t="n">
        <v>3694.919921875</v>
      </c>
      <c r="E19" s="71" t="n">
        <v>1.239545256479824</v>
      </c>
      <c r="F19" s="71" t="n">
        <v>-0.3906279051843931</v>
      </c>
    </row>
    <row r="20">
      <c r="B20" s="70" t="n">
        <v>44187</v>
      </c>
      <c r="C20" s="137" t="n">
        <v>128.3788757324219</v>
      </c>
      <c r="D20" s="137" t="n">
        <v>3687.260009765625</v>
      </c>
      <c r="E20" s="71" t="n">
        <v>2.84642898639198</v>
      </c>
      <c r="F20" s="71" t="n">
        <v>-0.2073092860288006</v>
      </c>
    </row>
    <row r="21">
      <c r="B21" s="70" t="n">
        <v>44188</v>
      </c>
      <c r="C21" s="137" t="n">
        <v>127.4833145141602</v>
      </c>
      <c r="D21" s="137" t="n">
        <v>3690.010009765625</v>
      </c>
      <c r="E21" s="71" t="n">
        <v>-0.6975923516640781</v>
      </c>
      <c r="F21" s="71" t="n">
        <v>0.0745811250824957</v>
      </c>
    </row>
    <row r="22">
      <c r="B22" s="70" t="n">
        <v>44189</v>
      </c>
      <c r="C22" s="137" t="n">
        <v>128.4665222167969</v>
      </c>
      <c r="D22" s="137" t="n">
        <v>3703.06005859375</v>
      </c>
      <c r="E22" s="71" t="n">
        <v>0.7712442262610697</v>
      </c>
      <c r="F22" s="71" t="n">
        <v>0.3536589004796253</v>
      </c>
    </row>
    <row r="23">
      <c r="B23" s="70" t="n">
        <v>44193</v>
      </c>
      <c r="C23" s="137" t="n">
        <v>133.0611724853516</v>
      </c>
      <c r="D23" s="137" t="n">
        <v>3735.360107421875</v>
      </c>
      <c r="E23" s="71" t="n">
        <v>3.576535107567458</v>
      </c>
      <c r="F23" s="71" t="n">
        <v>0.8722529021144565</v>
      </c>
    </row>
    <row r="24">
      <c r="B24" s="70" t="n">
        <v>44194</v>
      </c>
      <c r="C24" s="137" t="n">
        <v>131.2895202636719</v>
      </c>
      <c r="D24" s="137" t="n">
        <v>3727.0400390625</v>
      </c>
      <c r="E24" s="71" t="n">
        <v>-1.33145694464305</v>
      </c>
      <c r="F24" s="71" t="n">
        <v>-0.222738052560012</v>
      </c>
    </row>
    <row r="25">
      <c r="B25" s="70" t="n">
        <v>44195</v>
      </c>
      <c r="C25" s="137" t="n">
        <v>130.1700592041016</v>
      </c>
      <c r="D25" s="137" t="n">
        <v>3732.0400390625</v>
      </c>
      <c r="E25" s="71" t="n">
        <v>-0.8526659685571758</v>
      </c>
      <c r="F25" s="71" t="n">
        <v>0.1341547165470747</v>
      </c>
    </row>
    <row r="26">
      <c r="B26" s="70" t="n">
        <v>44196</v>
      </c>
      <c r="C26" s="137" t="n">
        <v>129.1674194335938</v>
      </c>
      <c r="D26" s="137" t="n">
        <v>3756.070068359375</v>
      </c>
      <c r="E26" s="71" t="n">
        <v>-0.7702537562310541</v>
      </c>
      <c r="F26" s="71" t="n">
        <v>0.6438845522919845</v>
      </c>
    </row>
    <row r="27">
      <c r="B27" s="70" t="n">
        <v>44200</v>
      </c>
      <c r="C27" s="137" t="n">
        <v>125.9744567871094</v>
      </c>
      <c r="D27" s="137" t="n">
        <v>3700.64990234375</v>
      </c>
      <c r="E27" s="71" t="n">
        <v>-2.471956674899689</v>
      </c>
      <c r="F27" s="71" t="n">
        <v>-1.475482752105106</v>
      </c>
    </row>
    <row r="28">
      <c r="B28" s="70" t="n">
        <v>44201</v>
      </c>
      <c r="C28" s="137" t="n">
        <v>127.5320053100586</v>
      </c>
      <c r="D28" s="137" t="n">
        <v>3726.860107421875</v>
      </c>
      <c r="E28" s="71" t="n">
        <v>1.236400269287419</v>
      </c>
      <c r="F28" s="71" t="n">
        <v>0.7082595157549276</v>
      </c>
    </row>
    <row r="29">
      <c r="B29" s="70" t="n">
        <v>44202</v>
      </c>
      <c r="C29" s="137" t="n">
        <v>123.2390670776367</v>
      </c>
      <c r="D29" s="137" t="n">
        <v>3748.139892578125</v>
      </c>
      <c r="E29" s="71" t="n">
        <v>-3.366165396666354</v>
      </c>
      <c r="F29" s="71" t="n">
        <v>0.5709842747752214</v>
      </c>
    </row>
    <row r="30">
      <c r="B30" s="70" t="n">
        <v>44203</v>
      </c>
      <c r="C30" s="137" t="n">
        <v>127.4443817138672</v>
      </c>
      <c r="D30" s="137" t="n">
        <v>3803.7900390625</v>
      </c>
      <c r="E30" s="71" t="n">
        <v>3.412322679772717</v>
      </c>
      <c r="F30" s="71" t="n">
        <v>1.484740380010119</v>
      </c>
    </row>
    <row r="31">
      <c r="B31" s="70" t="n">
        <v>44204</v>
      </c>
      <c r="C31" s="137" t="n">
        <v>128.5443725585938</v>
      </c>
      <c r="D31" s="137" t="n">
        <v>3824.679931640625</v>
      </c>
      <c r="E31" s="71" t="n">
        <v>0.8631144268063995</v>
      </c>
      <c r="F31" s="71" t="n">
        <v>0.5491862685268911</v>
      </c>
    </row>
    <row r="32">
      <c r="B32" s="70" t="n">
        <v>44207</v>
      </c>
      <c r="C32" s="137" t="n">
        <v>125.5558624267578</v>
      </c>
      <c r="D32" s="137" t="n">
        <v>3799.610107421875</v>
      </c>
      <c r="E32" s="71" t="n">
        <v>-2.324886008116589</v>
      </c>
      <c r="F32" s="71" t="n">
        <v>-0.6554750898592476</v>
      </c>
    </row>
    <row r="33">
      <c r="B33" s="70" t="n">
        <v>44208</v>
      </c>
      <c r="C33" s="137" t="n">
        <v>125.3806838989258</v>
      </c>
      <c r="D33" s="137" t="n">
        <v>3801.18994140625</v>
      </c>
      <c r="E33" s="71" t="n">
        <v>-0.1395223802745149</v>
      </c>
      <c r="F33" s="71" t="n">
        <v>0.04157884466327033</v>
      </c>
    </row>
    <row r="34">
      <c r="B34" s="70" t="n">
        <v>44209</v>
      </c>
      <c r="C34" s="137" t="n">
        <v>127.415168762207</v>
      </c>
      <c r="D34" s="137" t="n">
        <v>3809.840087890625</v>
      </c>
      <c r="E34" s="71" t="n">
        <v>1.622646168465058</v>
      </c>
      <c r="F34" s="71" t="n">
        <v>0.227564173790662</v>
      </c>
    </row>
    <row r="35">
      <c r="B35" s="70" t="n">
        <v>44210</v>
      </c>
      <c r="C35" s="137" t="n">
        <v>125.4877395629883</v>
      </c>
      <c r="D35" s="137" t="n">
        <v>3795.5400390625</v>
      </c>
      <c r="E35" s="71" t="n">
        <v>-1.512715650689789</v>
      </c>
      <c r="F35" s="71" t="n">
        <v>-0.3753451194336677</v>
      </c>
    </row>
    <row r="36">
      <c r="B36" s="70" t="n">
        <v>44211</v>
      </c>
      <c r="C36" s="137" t="n">
        <v>123.7647323608398</v>
      </c>
      <c r="D36" s="137" t="n">
        <v>3768.25</v>
      </c>
      <c r="E36" s="71" t="n">
        <v>-1.373048242122199</v>
      </c>
      <c r="F36" s="71" t="n">
        <v>-0.7190027975370938</v>
      </c>
    </row>
    <row r="37">
      <c r="B37" s="70" t="n">
        <v>44215</v>
      </c>
      <c r="C37" s="137" t="n">
        <v>124.436408996582</v>
      </c>
      <c r="D37" s="137" t="n">
        <v>3798.909912109375</v>
      </c>
      <c r="E37" s="71" t="n">
        <v>0.5427043899581152</v>
      </c>
      <c r="F37" s="71" t="n">
        <v>0.8136379515524483</v>
      </c>
    </row>
    <row r="38">
      <c r="B38" s="70" t="n">
        <v>44216</v>
      </c>
      <c r="C38" s="137" t="n">
        <v>128.52490234375</v>
      </c>
      <c r="D38" s="137" t="n">
        <v>3851.85009765625</v>
      </c>
      <c r="E38" s="71" t="n">
        <v>3.285608593285838</v>
      </c>
      <c r="F38" s="71" t="n">
        <v>1.393562542194626</v>
      </c>
    </row>
    <row r="39">
      <c r="B39" s="70" t="n">
        <v>44217</v>
      </c>
      <c r="C39" s="137" t="n">
        <v>133.2363891601562</v>
      </c>
      <c r="D39" s="137" t="n">
        <v>3853.070068359375</v>
      </c>
      <c r="E39" s="71" t="n">
        <v>3.665816297455682</v>
      </c>
      <c r="F39" s="71" t="n">
        <v>0.03167233075522802</v>
      </c>
    </row>
    <row r="40">
      <c r="B40" s="70" t="n">
        <v>44218</v>
      </c>
      <c r="C40" s="137" t="n">
        <v>135.3780059814453</v>
      </c>
      <c r="D40" s="137" t="n">
        <v>3841.469970703125</v>
      </c>
      <c r="E40" s="71" t="n">
        <v>1.607381312859513</v>
      </c>
      <c r="F40" s="71" t="n">
        <v>-0.3010611655237638</v>
      </c>
    </row>
    <row r="41">
      <c r="B41" s="70" t="n">
        <v>44221</v>
      </c>
      <c r="C41" s="137" t="n">
        <v>139.1258239746094</v>
      </c>
      <c r="D41" s="137" t="n">
        <v>3855.360107421875</v>
      </c>
      <c r="E41" s="71" t="n">
        <v>2.768409806300265</v>
      </c>
      <c r="F41" s="71" t="n">
        <v>0.3615838943082483</v>
      </c>
    </row>
    <row r="42">
      <c r="B42" s="70" t="n">
        <v>44222</v>
      </c>
      <c r="C42" s="137" t="n">
        <v>139.3594207763672</v>
      </c>
      <c r="D42" s="137" t="n">
        <v>3849.6201171875</v>
      </c>
      <c r="E42" s="71" t="n">
        <v>0.1679032656082713</v>
      </c>
      <c r="F42" s="71" t="n">
        <v>-0.1488833746898233</v>
      </c>
    </row>
    <row r="43">
      <c r="B43" s="70" t="n">
        <v>44223</v>
      </c>
      <c r="C43" s="137" t="n">
        <v>138.2886810302734</v>
      </c>
      <c r="D43" s="137" t="n">
        <v>3750.77001953125</v>
      </c>
      <c r="E43" s="71" t="n">
        <v>-0.7683296472737355</v>
      </c>
      <c r="F43" s="71" t="n">
        <v>-2.5677883699462</v>
      </c>
    </row>
    <row r="44">
      <c r="B44" s="70" t="n">
        <v>44224</v>
      </c>
      <c r="C44" s="137" t="n">
        <v>133.4506072998047</v>
      </c>
      <c r="D44" s="137" t="n">
        <v>3787.3798828125</v>
      </c>
      <c r="E44" s="71" t="n">
        <v>-3.498531979930875</v>
      </c>
      <c r="F44" s="71" t="n">
        <v>0.9760625975629766</v>
      </c>
    </row>
    <row r="45">
      <c r="B45" s="70" t="n">
        <v>44225</v>
      </c>
      <c r="C45" s="137" t="n">
        <v>128.456787109375</v>
      </c>
      <c r="D45" s="137" t="n">
        <v>3714.239990234375</v>
      </c>
      <c r="E45" s="71" t="n">
        <v>-3.742073784056132</v>
      </c>
      <c r="F45" s="71" t="n">
        <v>-1.931147517312459</v>
      </c>
    </row>
    <row r="46">
      <c r="B46" s="70" t="n">
        <v>44228</v>
      </c>
      <c r="C46" s="137" t="n">
        <v>130.5788879394531</v>
      </c>
      <c r="D46" s="137" t="n">
        <v>3773.860107421875</v>
      </c>
      <c r="E46" s="71" t="n">
        <v>1.651995879572499</v>
      </c>
      <c r="F46" s="71" t="n">
        <v>1.605176761443938</v>
      </c>
    </row>
    <row r="47">
      <c r="B47" s="70" t="n">
        <v>44229</v>
      </c>
      <c r="C47" s="137" t="n">
        <v>131.4063110351562</v>
      </c>
      <c r="D47" s="137" t="n">
        <v>3826.31005859375</v>
      </c>
      <c r="E47" s="71" t="n">
        <v>0.6336576369732505</v>
      </c>
      <c r="F47" s="71" t="n">
        <v>1.389822348441694</v>
      </c>
    </row>
    <row r="48">
      <c r="B48" s="70" t="n">
        <v>44230</v>
      </c>
      <c r="C48" s="137" t="n">
        <v>130.3842163085938</v>
      </c>
      <c r="D48" s="137" t="n">
        <v>3830.169921875</v>
      </c>
      <c r="E48" s="71" t="n">
        <v>-0.7778125103054867</v>
      </c>
      <c r="F48" s="71" t="n">
        <v>0.1008769080953265</v>
      </c>
    </row>
    <row r="49">
      <c r="B49" s="70" t="n">
        <v>44231</v>
      </c>
      <c r="C49" s="137" t="n">
        <v>133.7426300048828</v>
      </c>
      <c r="D49" s="137" t="n">
        <v>3871.739990234375</v>
      </c>
      <c r="E49" s="71" t="n">
        <v>2.575782400179705</v>
      </c>
      <c r="F49" s="71" t="n">
        <v>1.085332223042079</v>
      </c>
    </row>
    <row r="50">
      <c r="B50" s="70" t="n">
        <v>44232</v>
      </c>
      <c r="C50" s="137" t="n">
        <v>133.3282623291016</v>
      </c>
      <c r="D50" s="137" t="n">
        <v>3886.830078125</v>
      </c>
      <c r="E50" s="71" t="n">
        <v>-0.3098246802579641</v>
      </c>
      <c r="F50" s="71" t="n">
        <v>0.3897495164625342</v>
      </c>
    </row>
    <row r="51">
      <c r="B51" s="70" t="n">
        <v>44235</v>
      </c>
      <c r="C51" s="137" t="n">
        <v>133.4745330810547</v>
      </c>
      <c r="D51" s="137" t="n">
        <v>3915.590087890625</v>
      </c>
      <c r="E51" s="71" t="n">
        <v>0.1097072364087737</v>
      </c>
      <c r="F51" s="71" t="n">
        <v>0.7399348360373592</v>
      </c>
    </row>
    <row r="52">
      <c r="B52" s="70" t="n">
        <v>44236</v>
      </c>
      <c r="C52" s="137" t="n">
        <v>132.5971069335938</v>
      </c>
      <c r="D52" s="137" t="n">
        <v>3911.22998046875</v>
      </c>
      <c r="E52" s="71" t="n">
        <v>-0.6573734533523723</v>
      </c>
      <c r="F52" s="71" t="n">
        <v>-0.1113524992148451</v>
      </c>
    </row>
    <row r="53">
      <c r="B53" s="70" t="n">
        <v>44237</v>
      </c>
      <c r="C53" s="137" t="n">
        <v>131.9926605224609</v>
      </c>
      <c r="D53" s="137" t="n">
        <v>3909.8798828125</v>
      </c>
      <c r="E53" s="71" t="n">
        <v>-0.4558518847893156</v>
      </c>
      <c r="F53" s="71" t="n">
        <v>-0.03451849323593548</v>
      </c>
    </row>
    <row r="54">
      <c r="B54" s="70" t="n">
        <v>44238</v>
      </c>
      <c r="C54" s="137" t="n">
        <v>131.7391815185547</v>
      </c>
      <c r="D54" s="137" t="n">
        <v>3916.3798828125</v>
      </c>
      <c r="E54" s="71" t="n">
        <v>-0.1920402262541643</v>
      </c>
      <c r="F54" s="71" t="n">
        <v>0.1662455163539356</v>
      </c>
    </row>
    <row r="55">
      <c r="B55" s="70" t="n">
        <v>44239</v>
      </c>
      <c r="C55" s="137" t="n">
        <v>131.9731140136719</v>
      </c>
      <c r="D55" s="137" t="n">
        <v>3934.830078125</v>
      </c>
      <c r="E55" s="71" t="n">
        <v>0.177572452189767</v>
      </c>
      <c r="F55" s="71" t="n">
        <v>0.4711033113378837</v>
      </c>
    </row>
    <row r="56">
      <c r="B56" s="70" t="n">
        <v>44243</v>
      </c>
      <c r="C56" s="137" t="n">
        <v>129.8478546142578</v>
      </c>
      <c r="D56" s="137" t="n">
        <v>3932.590087890625</v>
      </c>
      <c r="E56" s="71" t="n">
        <v>-1.610373003090559</v>
      </c>
      <c r="F56" s="71" t="n">
        <v>-0.05692724183511411</v>
      </c>
    </row>
    <row r="57">
      <c r="B57" s="70" t="n">
        <v>44244</v>
      </c>
      <c r="C57" s="137" t="n">
        <v>127.5568389892578</v>
      </c>
      <c r="D57" s="137" t="n">
        <v>3931.330078125</v>
      </c>
      <c r="E57" s="71" t="n">
        <v>-1.764384657571738</v>
      </c>
      <c r="F57" s="71" t="n">
        <v>-0.03204020092266724</v>
      </c>
    </row>
    <row r="58">
      <c r="B58" s="70" t="n">
        <v>44245</v>
      </c>
      <c r="C58" s="137" t="n">
        <v>126.4551696777344</v>
      </c>
      <c r="D58" s="137" t="n">
        <v>3913.969970703125</v>
      </c>
      <c r="E58" s="71" t="n">
        <v>-0.8636693416463337</v>
      </c>
      <c r="F58" s="71" t="n">
        <v>-0.4415835627354592</v>
      </c>
    </row>
    <row r="59">
      <c r="B59" s="70" t="n">
        <v>44246</v>
      </c>
      <c r="C59" s="137" t="n">
        <v>126.6111831665039</v>
      </c>
      <c r="D59" s="137" t="n">
        <v>3906.7099609375</v>
      </c>
      <c r="E59" s="71" t="n">
        <v>0.1233745438538492</v>
      </c>
      <c r="F59" s="71" t="n">
        <v>-0.1854896644575166</v>
      </c>
    </row>
    <row r="60">
      <c r="B60" s="70" t="n">
        <v>44249</v>
      </c>
      <c r="C60" s="137" t="n">
        <v>122.8382873535156</v>
      </c>
      <c r="D60" s="137" t="n">
        <v>3876.5</v>
      </c>
      <c r="E60" s="71" t="n">
        <v>-2.979907239336554</v>
      </c>
      <c r="F60" s="71" t="n">
        <v>-0.773283945815384</v>
      </c>
    </row>
    <row r="61">
      <c r="B61" s="70" t="n">
        <v>44250</v>
      </c>
      <c r="C61" s="137" t="n">
        <v>122.7017822265625</v>
      </c>
      <c r="D61" s="137" t="n">
        <v>3881.3701171875</v>
      </c>
      <c r="E61" s="71" t="n">
        <v>-0.1111258793117575</v>
      </c>
      <c r="F61" s="71" t="n">
        <v>0.1256318118792787</v>
      </c>
    </row>
    <row r="62">
      <c r="B62" s="70" t="n">
        <v>44251</v>
      </c>
      <c r="C62" s="137" t="n">
        <v>122.2045745849609</v>
      </c>
      <c r="D62" s="137" t="n">
        <v>3925.429931640625</v>
      </c>
      <c r="E62" s="71" t="n">
        <v>-0.4052163159973809</v>
      </c>
      <c r="F62" s="71" t="n">
        <v>1.135161376597904</v>
      </c>
    </row>
    <row r="63">
      <c r="B63" s="70" t="n">
        <v>44252</v>
      </c>
      <c r="C63" s="137" t="n">
        <v>117.953987121582</v>
      </c>
      <c r="D63" s="137" t="n">
        <v>3829.340087890625</v>
      </c>
      <c r="E63" s="71" t="n">
        <v>-3.478255603617963</v>
      </c>
      <c r="F63" s="71" t="n">
        <v>-2.447880752512621</v>
      </c>
    </row>
    <row r="64">
      <c r="B64" s="70" t="n">
        <v>44253</v>
      </c>
      <c r="C64" s="137" t="n">
        <v>118.2172317504883</v>
      </c>
      <c r="D64" s="137" t="n">
        <v>3811.14990234375</v>
      </c>
      <c r="E64" s="71" t="n">
        <v>0.2231756936159845</v>
      </c>
      <c r="F64" s="71" t="n">
        <v>-0.4750214169902844</v>
      </c>
    </row>
    <row r="65">
      <c r="B65" s="70" t="n">
        <v>44256</v>
      </c>
      <c r="C65" s="137" t="n">
        <v>124.5833435058594</v>
      </c>
      <c r="D65" s="137" t="n">
        <v>3901.820068359375</v>
      </c>
      <c r="E65" s="71" t="n">
        <v>5.38509628512327</v>
      </c>
      <c r="F65" s="71" t="n">
        <v>2.379076350680021</v>
      </c>
    </row>
    <row r="66">
      <c r="B66" s="70" t="n">
        <v>44257</v>
      </c>
      <c r="C66" s="137" t="n">
        <v>121.9803695678711</v>
      </c>
      <c r="D66" s="137" t="n">
        <v>3870.2900390625</v>
      </c>
      <c r="E66" s="71" t="n">
        <v>-2.089343458554627</v>
      </c>
      <c r="F66" s="71" t="n">
        <v>-0.8080851690870694</v>
      </c>
    </row>
    <row r="67">
      <c r="B67" s="70" t="n">
        <v>44258</v>
      </c>
      <c r="C67" s="137" t="n">
        <v>118.9971389770508</v>
      </c>
      <c r="D67" s="137" t="n">
        <v>3819.719970703125</v>
      </c>
      <c r="E67" s="71" t="n">
        <v>-2.445664496171573</v>
      </c>
      <c r="F67" s="71" t="n">
        <v>-1.306622187199813</v>
      </c>
    </row>
    <row r="68">
      <c r="B68" s="70" t="n">
        <v>44259</v>
      </c>
      <c r="C68" s="137" t="n">
        <v>117.1155700683594</v>
      </c>
      <c r="D68" s="137" t="n">
        <v>3768.469970703125</v>
      </c>
      <c r="E68" s="71" t="n">
        <v>-1.58118835870017</v>
      </c>
      <c r="F68" s="71" t="n">
        <v>-1.34172139301002</v>
      </c>
    </row>
    <row r="69">
      <c r="B69" s="70" t="n">
        <v>44260</v>
      </c>
      <c r="C69" s="137" t="n">
        <v>118.3731994628906</v>
      </c>
      <c r="D69" s="137" t="n">
        <v>3841.93994140625</v>
      </c>
      <c r="E69" s="71" t="n">
        <v>1.073836206233825</v>
      </c>
      <c r="F69" s="71" t="n">
        <v>1.949596819778221</v>
      </c>
    </row>
    <row r="70">
      <c r="B70" s="70" t="n">
        <v>44263</v>
      </c>
      <c r="C70" s="137" t="n">
        <v>113.4401931762695</v>
      </c>
      <c r="D70" s="137" t="n">
        <v>3821.35009765625</v>
      </c>
      <c r="E70" s="71" t="n">
        <v>-4.167333745310797</v>
      </c>
      <c r="F70" s="71" t="n">
        <v>-0.5359231030161227</v>
      </c>
    </row>
    <row r="71">
      <c r="B71" s="70" t="n">
        <v>44264</v>
      </c>
      <c r="C71" s="137" t="n">
        <v>118.0515060424805</v>
      </c>
      <c r="D71" s="137" t="n">
        <v>3875.43994140625</v>
      </c>
      <c r="E71" s="71" t="n">
        <v>4.064972684809942</v>
      </c>
      <c r="F71" s="71" t="n">
        <v>1.415464230382213</v>
      </c>
    </row>
    <row r="72">
      <c r="B72" s="70" t="n">
        <v>44265</v>
      </c>
      <c r="C72" s="137" t="n">
        <v>116.969352722168</v>
      </c>
      <c r="D72" s="137" t="n">
        <v>3898.81005859375</v>
      </c>
      <c r="E72" s="71" t="n">
        <v>-0.916678962082107</v>
      </c>
      <c r="F72" s="71" t="n">
        <v>0.6030313342701321</v>
      </c>
    </row>
    <row r="73">
      <c r="B73" s="70" t="n">
        <v>44266</v>
      </c>
      <c r="C73" s="137" t="n">
        <v>118.8996505737305</v>
      </c>
      <c r="D73" s="137" t="n">
        <v>3939.340087890625</v>
      </c>
      <c r="E73" s="71" t="n">
        <v>1.650259496731121</v>
      </c>
      <c r="F73" s="71" t="n">
        <v>1.039548700443582</v>
      </c>
    </row>
    <row r="74">
      <c r="B74" s="70" t="n">
        <v>44267</v>
      </c>
      <c r="C74" s="137" t="n">
        <v>117.9929885864258</v>
      </c>
      <c r="D74" s="137" t="n">
        <v>3943.340087890625</v>
      </c>
      <c r="E74" s="71" t="n">
        <v>-0.7625438619287439</v>
      </c>
      <c r="F74" s="71" t="n">
        <v>0.101539849587895</v>
      </c>
    </row>
    <row r="75">
      <c r="B75" s="70" t="n">
        <v>44270</v>
      </c>
      <c r="C75" s="137" t="n">
        <v>120.8787078857422</v>
      </c>
      <c r="D75" s="137" t="n">
        <v>3968.93994140625</v>
      </c>
      <c r="E75" s="71" t="n">
        <v>2.445670148614565</v>
      </c>
      <c r="F75" s="71" t="n">
        <v>0.6491921301497117</v>
      </c>
    </row>
    <row r="76">
      <c r="B76" s="70" t="n">
        <v>44271</v>
      </c>
      <c r="C76" s="137" t="n">
        <v>122.4190521240234</v>
      </c>
      <c r="D76" s="137" t="n">
        <v>3962.7099609375</v>
      </c>
      <c r="E76" s="71" t="n">
        <v>1.274289132654505</v>
      </c>
      <c r="F76" s="71" t="n">
        <v>-0.156968373437838</v>
      </c>
    </row>
    <row r="77">
      <c r="B77" s="70" t="n">
        <v>44272</v>
      </c>
      <c r="C77" s="137" t="n">
        <v>121.62939453125</v>
      </c>
      <c r="D77" s="137" t="n">
        <v>3974.1201171875</v>
      </c>
      <c r="E77" s="71" t="n">
        <v>-0.6450446879570526</v>
      </c>
      <c r="F77" s="71" t="n">
        <v>0.287938213053085</v>
      </c>
    </row>
    <row r="78">
      <c r="B78" s="70" t="n">
        <v>44273</v>
      </c>
      <c r="C78" s="137" t="n">
        <v>117.5055313110352</v>
      </c>
      <c r="D78" s="137" t="n">
        <v>3915.4599609375</v>
      </c>
      <c r="E78" s="71" t="n">
        <v>-3.390515291231899</v>
      </c>
      <c r="F78" s="71" t="n">
        <v>-1.47605393194592</v>
      </c>
    </row>
    <row r="79">
      <c r="B79" s="70" t="n">
        <v>44274</v>
      </c>
      <c r="C79" s="137" t="n">
        <v>116.9790725708008</v>
      </c>
      <c r="D79" s="137" t="n">
        <v>3913.10009765625</v>
      </c>
      <c r="E79" s="71" t="n">
        <v>-0.4480289007339322</v>
      </c>
      <c r="F79" s="71" t="n">
        <v>-0.06027039747036333</v>
      </c>
    </row>
    <row r="80">
      <c r="B80" s="70" t="n">
        <v>44277</v>
      </c>
      <c r="C80" s="137" t="n">
        <v>120.2937622070312</v>
      </c>
      <c r="D80" s="137" t="n">
        <v>3940.590087890625</v>
      </c>
      <c r="E80" s="71" t="n">
        <v>2.833574897958102</v>
      </c>
      <c r="F80" s="71" t="n">
        <v>0.7025118077311765</v>
      </c>
    </row>
    <row r="81">
      <c r="B81" s="70" t="n">
        <v>44278</v>
      </c>
      <c r="C81" s="137" t="n">
        <v>119.4651031494141</v>
      </c>
      <c r="D81" s="137" t="n">
        <v>3910.52001953125</v>
      </c>
      <c r="E81" s="71" t="n">
        <v>-0.6888628657161222</v>
      </c>
      <c r="F81" s="71" t="n">
        <v>-0.7630854183940605</v>
      </c>
    </row>
    <row r="82">
      <c r="B82" s="70" t="n">
        <v>44279</v>
      </c>
      <c r="C82" s="137" t="n">
        <v>117.0765762329102</v>
      </c>
      <c r="D82" s="137" t="n">
        <v>3889.139892578125</v>
      </c>
      <c r="E82" s="71" t="n">
        <v>-1.999351152375095</v>
      </c>
      <c r="F82" s="71" t="n">
        <v>-0.546733601831495</v>
      </c>
    </row>
    <row r="83">
      <c r="B83" s="70" t="n">
        <v>44280</v>
      </c>
      <c r="C83" s="137" t="n">
        <v>117.5640182495117</v>
      </c>
      <c r="D83" s="137" t="n">
        <v>3909.52001953125</v>
      </c>
      <c r="E83" s="71" t="n">
        <v>0.4163446116085545</v>
      </c>
      <c r="F83" s="71" t="n">
        <v>0.5240265846959469</v>
      </c>
    </row>
    <row r="84">
      <c r="B84" s="70" t="n">
        <v>44281</v>
      </c>
      <c r="C84" s="137" t="n">
        <v>118.1684722900391</v>
      </c>
      <c r="D84" s="137" t="n">
        <v>3974.5400390625</v>
      </c>
      <c r="E84" s="71" t="n">
        <v>0.5141488437767849</v>
      </c>
      <c r="F84" s="71" t="n">
        <v>1.663120260451967</v>
      </c>
    </row>
    <row r="85">
      <c r="B85" s="70" t="n">
        <v>44284</v>
      </c>
      <c r="C85" s="137" t="n">
        <v>118.3439559936523</v>
      </c>
      <c r="D85" s="137" t="n">
        <v>3971.090087890625</v>
      </c>
      <c r="E85" s="71" t="n">
        <v>0.1485029807125615</v>
      </c>
      <c r="F85" s="71" t="n">
        <v>-0.08680126852336212</v>
      </c>
    </row>
    <row r="86">
      <c r="B86" s="70" t="n">
        <v>44285</v>
      </c>
      <c r="C86" s="137" t="n">
        <v>116.8913421630859</v>
      </c>
      <c r="D86" s="137" t="n">
        <v>3958.550048828125</v>
      </c>
      <c r="E86" s="71" t="n">
        <v>-1.227450796595242</v>
      </c>
      <c r="F86" s="71" t="n">
        <v>-0.3157832933767812</v>
      </c>
    </row>
    <row r="87">
      <c r="B87" s="70" t="n">
        <v>44286</v>
      </c>
      <c r="C87" s="137" t="n">
        <v>119.0848770141602</v>
      </c>
      <c r="D87" s="137" t="n">
        <v>3972.889892578125</v>
      </c>
      <c r="E87" s="71" t="n">
        <v>1.876558871241207</v>
      </c>
      <c r="F87" s="71" t="n">
        <v>0.3622499039577676</v>
      </c>
    </row>
    <row r="88">
      <c r="B88" s="70" t="n">
        <v>44287</v>
      </c>
      <c r="C88" s="137" t="n">
        <v>119.9135513305664</v>
      </c>
      <c r="D88" s="137" t="n">
        <v>4019.8701171875</v>
      </c>
      <c r="E88" s="71" t="n">
        <v>0.6958686419163529</v>
      </c>
      <c r="F88" s="71" t="n">
        <v>1.182520177494473</v>
      </c>
    </row>
    <row r="89">
      <c r="B89" s="70" t="n">
        <v>44291</v>
      </c>
      <c r="C89" s="137" t="n">
        <v>122.7407760620117</v>
      </c>
      <c r="D89" s="137" t="n">
        <v>4077.909912109375</v>
      </c>
      <c r="E89" s="71" t="n">
        <v>2.357719123547164</v>
      </c>
      <c r="F89" s="71" t="n">
        <v>1.443822641774362</v>
      </c>
    </row>
    <row r="90">
      <c r="B90" s="70" t="n">
        <v>44292</v>
      </c>
      <c r="C90" s="137" t="n">
        <v>123.0430221557617</v>
      </c>
      <c r="D90" s="137" t="n">
        <v>4073.93994140625</v>
      </c>
      <c r="E90" s="71" t="n">
        <v>0.2462475009912701</v>
      </c>
      <c r="F90" s="71" t="n">
        <v>-0.09735307519511682</v>
      </c>
    </row>
    <row r="91">
      <c r="B91" s="70" t="n">
        <v>44293</v>
      </c>
      <c r="C91" s="137" t="n">
        <v>124.6905899047852</v>
      </c>
      <c r="D91" s="137" t="n">
        <v>4079.949951171875</v>
      </c>
      <c r="E91" s="71" t="n">
        <v>1.339017621769578</v>
      </c>
      <c r="F91" s="71" t="n">
        <v>0.1475232784985625</v>
      </c>
    </row>
    <row r="92">
      <c r="B92" s="70" t="n">
        <v>44294</v>
      </c>
      <c r="C92" s="137" t="n">
        <v>127.0888900756836</v>
      </c>
      <c r="D92" s="137" t="n">
        <v>4097.169921875</v>
      </c>
      <c r="E92" s="71" t="n">
        <v>1.923401094444865</v>
      </c>
      <c r="F92" s="71" t="n">
        <v>0.4220632828640269</v>
      </c>
    </row>
    <row r="93">
      <c r="B93" s="70" t="n">
        <v>44295</v>
      </c>
      <c r="C93" s="137" t="n">
        <v>129.6625823974609</v>
      </c>
      <c r="D93" s="137" t="n">
        <v>4128.7998046875</v>
      </c>
      <c r="E93" s="71" t="n">
        <v>2.025111967100068</v>
      </c>
      <c r="F93" s="71" t="n">
        <v>0.7719934348738189</v>
      </c>
    </row>
    <row r="94">
      <c r="B94" s="70" t="n">
        <v>44298</v>
      </c>
      <c r="C94" s="137" t="n">
        <v>127.9468002319336</v>
      </c>
      <c r="D94" s="137" t="n">
        <v>4127.990234375</v>
      </c>
      <c r="E94" s="71" t="n">
        <v>-1.323267001013329</v>
      </c>
      <c r="F94" s="71" t="n">
        <v>-0.01960788487688214</v>
      </c>
    </row>
    <row r="95">
      <c r="B95" s="70" t="n">
        <v>44299</v>
      </c>
      <c r="C95" s="137" t="n">
        <v>131.0567321777344</v>
      </c>
      <c r="D95" s="137" t="n">
        <v>4141.58984375</v>
      </c>
      <c r="E95" s="71" t="n">
        <v>2.430644564899898</v>
      </c>
      <c r="F95" s="71" t="n">
        <v>0.329448680904143</v>
      </c>
    </row>
    <row r="96">
      <c r="B96" s="70" t="n">
        <v>44300</v>
      </c>
      <c r="C96" s="137" t="n">
        <v>128.7169647216797</v>
      </c>
      <c r="D96" s="137" t="n">
        <v>4124.66015625</v>
      </c>
      <c r="E96" s="71" t="n">
        <v>-1.785308863707669</v>
      </c>
      <c r="F96" s="71" t="n">
        <v>-0.4087726727828533</v>
      </c>
    </row>
    <row r="97">
      <c r="B97" s="70" t="n">
        <v>44301</v>
      </c>
      <c r="C97" s="137" t="n">
        <v>131.1249847412109</v>
      </c>
      <c r="D97" s="137" t="n">
        <v>4170.419921875</v>
      </c>
      <c r="E97" s="71" t="n">
        <v>1.870786826536808</v>
      </c>
      <c r="F97" s="71" t="n">
        <v>1.109419052516647</v>
      </c>
    </row>
    <row r="98">
      <c r="B98" s="70" t="n">
        <v>44302</v>
      </c>
      <c r="C98" s="137" t="n">
        <v>130.7935028076172</v>
      </c>
      <c r="D98" s="137" t="n">
        <v>4185.47021484375</v>
      </c>
      <c r="E98" s="71" t="n">
        <v>-0.2527984535120709</v>
      </c>
      <c r="F98" s="71" t="n">
        <v>0.3608819555509735</v>
      </c>
    </row>
    <row r="99">
      <c r="B99" s="70" t="n">
        <v>44305</v>
      </c>
      <c r="C99" s="137" t="n">
        <v>131.4564666748047</v>
      </c>
      <c r="D99" s="137" t="n">
        <v>4163.259765625</v>
      </c>
      <c r="E99" s="71" t="n">
        <v>0.5068782874961597</v>
      </c>
      <c r="F99" s="71" t="n">
        <v>-0.5306560094486046</v>
      </c>
    </row>
    <row r="100">
      <c r="B100" s="70" t="n">
        <v>44306</v>
      </c>
      <c r="C100" s="137" t="n">
        <v>129.7698516845703</v>
      </c>
      <c r="D100" s="137" t="n">
        <v>4134.93994140625</v>
      </c>
      <c r="E100" s="71" t="n">
        <v>-1.283021697522646</v>
      </c>
      <c r="F100" s="71" t="n">
        <v>-0.6802319771775922</v>
      </c>
    </row>
    <row r="101">
      <c r="B101" s="70" t="n">
        <v>44307</v>
      </c>
      <c r="C101" s="137" t="n">
        <v>130.1500549316406</v>
      </c>
      <c r="D101" s="137" t="n">
        <v>4173.419921875</v>
      </c>
      <c r="E101" s="71" t="n">
        <v>0.2929827245194305</v>
      </c>
      <c r="F101" s="71" t="n">
        <v>0.9306055472153574</v>
      </c>
    </row>
    <row r="102">
      <c r="B102" s="70" t="n">
        <v>44308</v>
      </c>
      <c r="C102" s="137" t="n">
        <v>128.6292114257812</v>
      </c>
      <c r="D102" s="137" t="n">
        <v>4134.97998046875</v>
      </c>
      <c r="E102" s="71" t="n">
        <v>-1.168530821334035</v>
      </c>
      <c r="F102" s="71" t="n">
        <v>-0.9210657476561801</v>
      </c>
    </row>
    <row r="103">
      <c r="B103" s="70" t="n">
        <v>44309</v>
      </c>
      <c r="C103" s="137" t="n">
        <v>130.949462890625</v>
      </c>
      <c r="D103" s="137" t="n">
        <v>4180.169921875</v>
      </c>
      <c r="E103" s="71" t="n">
        <v>1.803829347257246</v>
      </c>
      <c r="F103" s="71" t="n">
        <v>1.092869654017692</v>
      </c>
    </row>
    <row r="104">
      <c r="B104" s="70" t="n">
        <v>44312</v>
      </c>
      <c r="C104" s="137" t="n">
        <v>131.3394622802734</v>
      </c>
      <c r="D104" s="137" t="n">
        <v>4187.6201171875</v>
      </c>
      <c r="E104" s="71" t="n">
        <v>0.2978243522649304</v>
      </c>
      <c r="F104" s="71" t="n">
        <v>0.1782270924804541</v>
      </c>
    </row>
    <row r="105">
      <c r="B105" s="70" t="n">
        <v>44313</v>
      </c>
      <c r="C105" s="137" t="n">
        <v>131.0177459716797</v>
      </c>
      <c r="D105" s="137" t="n">
        <v>4186.72021484375</v>
      </c>
      <c r="E105" s="71" t="n">
        <v>-0.2449502251708591</v>
      </c>
      <c r="F105" s="71" t="n">
        <v>-0.0214895888014377</v>
      </c>
    </row>
    <row r="106">
      <c r="B106" s="70" t="n">
        <v>44314</v>
      </c>
      <c r="C106" s="137" t="n">
        <v>130.2280731201172</v>
      </c>
      <c r="D106" s="137" t="n">
        <v>4183.18017578125</v>
      </c>
      <c r="E106" s="71" t="n">
        <v>-0.6027220554787993</v>
      </c>
      <c r="F106" s="71" t="n">
        <v>-0.08455399168898481</v>
      </c>
    </row>
    <row r="107">
      <c r="B107" s="70" t="n">
        <v>44315</v>
      </c>
      <c r="C107" s="137" t="n">
        <v>130.1305847167969</v>
      </c>
      <c r="D107" s="137" t="n">
        <v>4211.47021484375</v>
      </c>
      <c r="E107" s="71" t="n">
        <v>-0.07485974489568337</v>
      </c>
      <c r="F107" s="71" t="n">
        <v>0.6762806734045723</v>
      </c>
    </row>
    <row r="108">
      <c r="B108" s="70" t="n">
        <v>44316</v>
      </c>
      <c r="C108" s="137" t="n">
        <v>128.1613006591797</v>
      </c>
      <c r="D108" s="137" t="n">
        <v>4181.169921875</v>
      </c>
      <c r="E108" s="71" t="n">
        <v>-1.513313770089464</v>
      </c>
      <c r="F108" s="71" t="n">
        <v>-0.7194706699326425</v>
      </c>
    </row>
    <row r="109">
      <c r="B109" s="70" t="n">
        <v>44319</v>
      </c>
      <c r="C109" s="137" t="n">
        <v>129.2141571044922</v>
      </c>
      <c r="D109" s="137" t="n">
        <v>4192.66015625</v>
      </c>
      <c r="E109" s="71" t="n">
        <v>0.8215088641401636</v>
      </c>
      <c r="F109" s="71" t="n">
        <v>0.2748090747253684</v>
      </c>
    </row>
    <row r="110">
      <c r="B110" s="70" t="n">
        <v>44320</v>
      </c>
      <c r="C110" s="137" t="n">
        <v>124.641845703125</v>
      </c>
      <c r="D110" s="137" t="n">
        <v>4164.66015625</v>
      </c>
      <c r="E110" s="71" t="n">
        <v>-3.538552975793263</v>
      </c>
      <c r="F110" s="71" t="n">
        <v>-0.6678337608227225</v>
      </c>
    </row>
    <row r="111">
      <c r="B111" s="70" t="n">
        <v>44321</v>
      </c>
      <c r="C111" s="137" t="n">
        <v>124.8855819702148</v>
      </c>
      <c r="D111" s="137" t="n">
        <v>4167.58984375</v>
      </c>
      <c r="E111" s="71" t="n">
        <v>0.1955493082719029</v>
      </c>
      <c r="F111" s="71" t="n">
        <v>0.07034637617677753</v>
      </c>
    </row>
    <row r="112">
      <c r="B112" s="70" t="n">
        <v>44322</v>
      </c>
      <c r="C112" s="137" t="n">
        <v>126.4844284057617</v>
      </c>
      <c r="D112" s="137" t="n">
        <v>4201.6201171875</v>
      </c>
      <c r="E112" s="71" t="n">
        <v>1.280249016998791</v>
      </c>
      <c r="F112" s="71" t="n">
        <v>0.8165456466051824</v>
      </c>
    </row>
    <row r="113">
      <c r="B113" s="70" t="n">
        <v>44323</v>
      </c>
      <c r="C113" s="137" t="n">
        <v>127.1582565307617</v>
      </c>
      <c r="D113" s="137" t="n">
        <v>4232.60009765625</v>
      </c>
      <c r="E113" s="71" t="n">
        <v>0.5327360320104946</v>
      </c>
      <c r="F113" s="71" t="n">
        <v>0.7373341616968343</v>
      </c>
    </row>
    <row r="114">
      <c r="B114" s="70" t="n">
        <v>44326</v>
      </c>
      <c r="C114" s="137" t="n">
        <v>123.8769989013672</v>
      </c>
      <c r="D114" s="137" t="n">
        <v>4188.43017578125</v>
      </c>
      <c r="E114" s="71" t="n">
        <v>-2.580451886426038</v>
      </c>
      <c r="F114" s="71" t="n">
        <v>-1.043564732218816</v>
      </c>
    </row>
    <row r="115">
      <c r="B115" s="70" t="n">
        <v>44327</v>
      </c>
      <c r="C115" s="137" t="n">
        <v>122.9590377807617</v>
      </c>
      <c r="D115" s="137" t="n">
        <v>4152.10009765625</v>
      </c>
      <c r="E115" s="71" t="n">
        <v>-0.7410262831249237</v>
      </c>
      <c r="F115" s="71" t="n">
        <v>-0.867391280271812</v>
      </c>
    </row>
    <row r="116">
      <c r="B116" s="70" t="n">
        <v>44328</v>
      </c>
      <c r="C116" s="137" t="n">
        <v>119.8926315307617</v>
      </c>
      <c r="D116" s="137" t="n">
        <v>4063.0400390625</v>
      </c>
      <c r="E116" s="71" t="n">
        <v>-2.49384372661362</v>
      </c>
      <c r="F116" s="71" t="n">
        <v>-2.144940066450274</v>
      </c>
    </row>
    <row r="117">
      <c r="B117" s="70" t="n">
        <v>44329</v>
      </c>
      <c r="C117" s="137" t="n">
        <v>122.0410690307617</v>
      </c>
      <c r="D117" s="137" t="n">
        <v>4112.5</v>
      </c>
      <c r="E117" s="71" t="n">
        <v>1.791967923774163</v>
      </c>
      <c r="F117" s="71" t="n">
        <v>1.217314140692349</v>
      </c>
    </row>
    <row r="118">
      <c r="B118" s="70" t="n">
        <v>44330</v>
      </c>
      <c r="C118" s="137" t="n">
        <v>124.4629364013672</v>
      </c>
      <c r="D118" s="137" t="n">
        <v>4173.85009765625</v>
      </c>
      <c r="E118" s="71" t="n">
        <v>1.984469154391832</v>
      </c>
      <c r="F118" s="71" t="n">
        <v>1.491795687689979</v>
      </c>
    </row>
    <row r="119">
      <c r="B119" s="70" t="n">
        <v>44333</v>
      </c>
      <c r="C119" s="137" t="n">
        <v>123.3105926513672</v>
      </c>
      <c r="D119" s="137" t="n">
        <v>4163.2900390625</v>
      </c>
      <c r="E119" s="71" t="n">
        <v>-0.9258529352737854</v>
      </c>
      <c r="F119" s="71" t="n">
        <v>-0.2530052193220778</v>
      </c>
    </row>
    <row r="120">
      <c r="B120" s="70" t="n">
        <v>44334</v>
      </c>
      <c r="C120" s="137" t="n">
        <v>121.9238891601562</v>
      </c>
      <c r="D120" s="137" t="n">
        <v>4127.830078125</v>
      </c>
      <c r="E120" s="71" t="n">
        <v>-1.124561533113055</v>
      </c>
      <c r="F120" s="71" t="n">
        <v>-0.8517292959364653</v>
      </c>
    </row>
    <row r="121">
      <c r="B121" s="70" t="n">
        <v>44335</v>
      </c>
      <c r="C121" s="137" t="n">
        <v>121.7676162719727</v>
      </c>
      <c r="D121" s="137" t="n">
        <v>4115.68017578125</v>
      </c>
      <c r="E121" s="71" t="n">
        <v>-0.1281724929051542</v>
      </c>
      <c r="F121" s="71" t="n">
        <v>-0.2943411456817757</v>
      </c>
    </row>
    <row r="122">
      <c r="B122" s="70" t="n">
        <v>44336</v>
      </c>
      <c r="C122" s="137" t="n">
        <v>124.3262329101562</v>
      </c>
      <c r="D122" s="137" t="n">
        <v>4159.1201171875</v>
      </c>
      <c r="E122" s="71" t="n">
        <v>2.101229141637062</v>
      </c>
      <c r="F122" s="71" t="n">
        <v>1.055474175614335</v>
      </c>
    </row>
    <row r="123">
      <c r="B123" s="70" t="n">
        <v>44337</v>
      </c>
      <c r="C123" s="137" t="n">
        <v>122.4902801513672</v>
      </c>
      <c r="D123" s="137" t="n">
        <v>4155.85986328125</v>
      </c>
      <c r="E123" s="71" t="n">
        <v>-1.476721940184367</v>
      </c>
      <c r="F123" s="71" t="n">
        <v>-0.07838806801412357</v>
      </c>
    </row>
    <row r="124">
      <c r="B124" s="70" t="n">
        <v>44340</v>
      </c>
      <c r="C124" s="137" t="n">
        <v>124.1211547851562</v>
      </c>
      <c r="D124" s="137" t="n">
        <v>4197.0498046875</v>
      </c>
      <c r="E124" s="71" t="n">
        <v>1.331431875062772</v>
      </c>
      <c r="F124" s="71" t="n">
        <v>0.9911292190138532</v>
      </c>
    </row>
    <row r="125">
      <c r="B125" s="70" t="n">
        <v>44341</v>
      </c>
      <c r="C125" s="137" t="n">
        <v>123.9258193969727</v>
      </c>
      <c r="D125" s="137" t="n">
        <v>4188.1298828125</v>
      </c>
      <c r="E125" s="71" t="n">
        <v>-0.1573747750910015</v>
      </c>
      <c r="F125" s="71" t="n">
        <v>-0.2125283780296749</v>
      </c>
    </row>
    <row r="126">
      <c r="B126" s="70" t="n">
        <v>44342</v>
      </c>
      <c r="C126" s="137" t="n">
        <v>123.8769989013672</v>
      </c>
      <c r="D126" s="137" t="n">
        <v>4195.990234375</v>
      </c>
      <c r="E126" s="71" t="n">
        <v>-0.03939493468193556</v>
      </c>
      <c r="F126" s="71" t="n">
        <v>0.1876816570268725</v>
      </c>
    </row>
    <row r="127">
      <c r="B127" s="70" t="n">
        <v>44343</v>
      </c>
      <c r="C127" s="137" t="n">
        <v>122.3438110351562</v>
      </c>
      <c r="D127" s="137" t="n">
        <v>4200.8798828125</v>
      </c>
      <c r="E127" s="71" t="n">
        <v>-1.237669526876217</v>
      </c>
      <c r="F127" s="71" t="n">
        <v>0.1165314541831552</v>
      </c>
    </row>
    <row r="128">
      <c r="B128" s="70" t="n">
        <v>44344</v>
      </c>
      <c r="C128" s="137" t="n">
        <v>121.6895065307617</v>
      </c>
      <c r="D128" s="137" t="n">
        <v>4204.10986328125</v>
      </c>
      <c r="E128" s="71" t="n">
        <v>-0.5348080126476251</v>
      </c>
      <c r="F128" s="71" t="n">
        <v>0.07688818911402162</v>
      </c>
    </row>
    <row r="129">
      <c r="B129" s="70" t="n">
        <v>44348</v>
      </c>
      <c r="C129" s="137" t="n">
        <v>121.3672485351562</v>
      </c>
      <c r="D129" s="137" t="n">
        <v>4202.0400390625</v>
      </c>
      <c r="E129" s="71" t="n">
        <v>-0.26481987214243</v>
      </c>
      <c r="F129" s="71" t="n">
        <v>-0.04923335226864056</v>
      </c>
    </row>
    <row r="130">
      <c r="B130" s="70" t="n">
        <v>44349</v>
      </c>
      <c r="C130" s="137" t="n">
        <v>122.1289520263672</v>
      </c>
      <c r="D130" s="137" t="n">
        <v>4208.1201171875</v>
      </c>
      <c r="E130" s="71" t="n">
        <v>0.6276021747253946</v>
      </c>
      <c r="F130" s="71" t="n">
        <v>0.1446934838430725</v>
      </c>
    </row>
    <row r="131">
      <c r="B131" s="70" t="n">
        <v>44350</v>
      </c>
      <c r="C131" s="137" t="n">
        <v>120.6445770263672</v>
      </c>
      <c r="D131" s="137" t="n">
        <v>4192.85009765625</v>
      </c>
      <c r="E131" s="71" t="n">
        <v>-1.215416144469605</v>
      </c>
      <c r="F131" s="71" t="n">
        <v>-0.3628703341637451</v>
      </c>
    </row>
    <row r="132">
      <c r="B132" s="70" t="n">
        <v>44351</v>
      </c>
      <c r="C132" s="137" t="n">
        <v>122.9394989013672</v>
      </c>
      <c r="D132" s="137" t="n">
        <v>4229.89013671875</v>
      </c>
      <c r="E132" s="71" t="n">
        <v>1.902217183370314</v>
      </c>
      <c r="F132" s="71" t="n">
        <v>0.8834095710505974</v>
      </c>
    </row>
    <row r="133">
      <c r="B133" s="70" t="n">
        <v>44354</v>
      </c>
      <c r="C133" s="137" t="n">
        <v>122.9492568969727</v>
      </c>
      <c r="D133" s="137" t="n">
        <v>4226.52001953125</v>
      </c>
      <c r="E133" s="71" t="n">
        <v>0.007937233918053899</v>
      </c>
      <c r="F133" s="71" t="n">
        <v>-0.07967387044511831</v>
      </c>
    </row>
    <row r="134">
      <c r="B134" s="70" t="n">
        <v>44355</v>
      </c>
      <c r="C134" s="137" t="n">
        <v>123.7695846557617</v>
      </c>
      <c r="D134" s="137" t="n">
        <v>4227.259765625</v>
      </c>
      <c r="E134" s="71" t="n">
        <v>0.6672083910815418</v>
      </c>
      <c r="F134" s="71" t="n">
        <v>0.01750248645058239</v>
      </c>
    </row>
    <row r="135">
      <c r="B135" s="70" t="n">
        <v>44356</v>
      </c>
      <c r="C135" s="137" t="n">
        <v>124.1504135131836</v>
      </c>
      <c r="D135" s="137" t="n">
        <v>4219.5498046875</v>
      </c>
      <c r="E135" s="71" t="n">
        <v>0.3076917955902259</v>
      </c>
      <c r="F135" s="71" t="n">
        <v>-0.1823867319485695</v>
      </c>
    </row>
    <row r="136">
      <c r="B136" s="70" t="n">
        <v>44357</v>
      </c>
      <c r="C136" s="137" t="n">
        <v>123.1543426513672</v>
      </c>
      <c r="D136" s="137" t="n">
        <v>4239.18017578125</v>
      </c>
      <c r="E136" s="71" t="n">
        <v>-0.8023097415705505</v>
      </c>
      <c r="F136" s="71" t="n">
        <v>0.4652243012262192</v>
      </c>
    </row>
    <row r="137">
      <c r="B137" s="70" t="n">
        <v>44358</v>
      </c>
      <c r="C137" s="137" t="n">
        <v>124.3653030395508</v>
      </c>
      <c r="D137" s="137" t="n">
        <v>4247.43994140625</v>
      </c>
      <c r="E137" s="71" t="n">
        <v>0.9832867945320123</v>
      </c>
      <c r="F137" s="71" t="n">
        <v>0.1948434669559074</v>
      </c>
    </row>
    <row r="138">
      <c r="B138" s="70" t="n">
        <v>44361</v>
      </c>
      <c r="C138" s="137" t="n">
        <v>127.4219360351562</v>
      </c>
      <c r="D138" s="137" t="n">
        <v>4255.14990234375</v>
      </c>
      <c r="E138" s="71" t="n">
        <v>2.457785990867012</v>
      </c>
      <c r="F138" s="71" t="n">
        <v>0.1815201873095251</v>
      </c>
    </row>
    <row r="139">
      <c r="B139" s="70" t="n">
        <v>44362</v>
      </c>
      <c r="C139" s="137" t="n">
        <v>126.6016082763672</v>
      </c>
      <c r="D139" s="137" t="n">
        <v>4246.58984375</v>
      </c>
      <c r="E139" s="71" t="n">
        <v>-0.6437884906745239</v>
      </c>
      <c r="F139" s="71" t="n">
        <v>-0.2011693780525792</v>
      </c>
    </row>
    <row r="140">
      <c r="B140" s="70" t="n">
        <v>44363</v>
      </c>
      <c r="C140" s="137" t="n">
        <v>127.0996780395508</v>
      </c>
      <c r="D140" s="137" t="n">
        <v>4223.7001953125</v>
      </c>
      <c r="E140" s="71" t="n">
        <v>0.393415036321132</v>
      </c>
      <c r="F140" s="71" t="n">
        <v>-0.5390124612855707</v>
      </c>
    </row>
    <row r="141">
      <c r="B141" s="70" t="n">
        <v>44364</v>
      </c>
      <c r="C141" s="137" t="n">
        <v>128.7012176513672</v>
      </c>
      <c r="D141" s="137" t="n">
        <v>4221.85986328125</v>
      </c>
      <c r="E141" s="71" t="n">
        <v>1.260065829055868</v>
      </c>
      <c r="F141" s="71" t="n">
        <v>-0.04357155920517997</v>
      </c>
    </row>
    <row r="142">
      <c r="B142" s="70" t="n">
        <v>44365</v>
      </c>
      <c r="C142" s="137" t="n">
        <v>127.4023895263672</v>
      </c>
      <c r="D142" s="137" t="n">
        <v>4166.4501953125</v>
      </c>
      <c r="E142" s="71" t="n">
        <v>-1.009180914292762</v>
      </c>
      <c r="F142" s="71" t="n">
        <v>-1.312446877990059</v>
      </c>
    </row>
    <row r="143">
      <c r="B143" s="70" t="n">
        <v>44368</v>
      </c>
      <c r="C143" s="137" t="n">
        <v>129.1992797851562</v>
      </c>
      <c r="D143" s="137" t="n">
        <v>4224.7900390625</v>
      </c>
      <c r="E143" s="71" t="n">
        <v>1.410405460579778</v>
      </c>
      <c r="F143" s="71" t="n">
        <v>1.400228996272079</v>
      </c>
    </row>
    <row r="144">
      <c r="B144" s="70" t="n">
        <v>44369</v>
      </c>
      <c r="C144" s="137" t="n">
        <v>130.8398895263672</v>
      </c>
      <c r="D144" s="137" t="n">
        <v>4246.43994140625</v>
      </c>
      <c r="E144" s="71" t="n">
        <v>1.269828859680278</v>
      </c>
      <c r="F144" s="71" t="n">
        <v>0.5124491902218642</v>
      </c>
    </row>
    <row r="145">
      <c r="B145" s="70" t="n">
        <v>44370</v>
      </c>
      <c r="C145" s="137" t="n">
        <v>130.5664520263672</v>
      </c>
      <c r="D145" s="137" t="n">
        <v>4241.83984375</v>
      </c>
      <c r="E145" s="71" t="n">
        <v>-0.2089863427658267</v>
      </c>
      <c r="F145" s="71" t="n">
        <v>-0.1083283343158881</v>
      </c>
    </row>
    <row r="146">
      <c r="B146" s="70" t="n">
        <v>44371</v>
      </c>
      <c r="C146" s="137" t="n">
        <v>130.2832489013672</v>
      </c>
      <c r="D146" s="137" t="n">
        <v>4266.490234375</v>
      </c>
      <c r="E146" s="71" t="n">
        <v>-0.2169034392868419</v>
      </c>
      <c r="F146" s="71" t="n">
        <v>0.5811249724885448</v>
      </c>
    </row>
    <row r="147">
      <c r="B147" s="70" t="n">
        <v>44372</v>
      </c>
      <c r="C147" s="137" t="n">
        <v>129.9902801513672</v>
      </c>
      <c r="D147" s="137" t="n">
        <v>4280.7001953125</v>
      </c>
      <c r="E147" s="71" t="n">
        <v>-0.2248706203372253</v>
      </c>
      <c r="F147" s="71" t="n">
        <v>0.333059731931673</v>
      </c>
    </row>
    <row r="148">
      <c r="B148" s="70" t="n">
        <v>44375</v>
      </c>
      <c r="C148" s="137" t="n">
        <v>131.6211547851562</v>
      </c>
      <c r="D148" s="137" t="n">
        <v>4290.60986328125</v>
      </c>
      <c r="E148" s="71" t="n">
        <v>1.254612754038176</v>
      </c>
      <c r="F148" s="71" t="n">
        <v>0.2314964262061903</v>
      </c>
    </row>
    <row r="149">
      <c r="B149" s="70" t="n">
        <v>44376</v>
      </c>
      <c r="C149" s="137" t="n">
        <v>133.1348114013672</v>
      </c>
      <c r="D149" s="137" t="n">
        <v>4291.7998046875</v>
      </c>
      <c r="E149" s="71" t="n">
        <v>1.150010132247914</v>
      </c>
      <c r="F149" s="71" t="n">
        <v>0.02773361932608687</v>
      </c>
    </row>
    <row r="150">
      <c r="B150" s="70" t="n">
        <v>44377</v>
      </c>
      <c r="C150" s="137" t="n">
        <v>133.7500305175781</v>
      </c>
      <c r="D150" s="137" t="n">
        <v>4297.5</v>
      </c>
      <c r="E150" s="71" t="n">
        <v>0.4621023680697389</v>
      </c>
      <c r="F150" s="71" t="n">
        <v>0.1328159646746485</v>
      </c>
    </row>
    <row r="151">
      <c r="B151" s="70" t="n">
        <v>44378</v>
      </c>
      <c r="C151" s="137" t="n">
        <v>134.0527801513672</v>
      </c>
      <c r="D151" s="137" t="n">
        <v>4319.93994140625</v>
      </c>
      <c r="E151" s="71" t="n">
        <v>0.2263548147372507</v>
      </c>
      <c r="F151" s="71" t="n">
        <v>0.522162685427574</v>
      </c>
    </row>
    <row r="152">
      <c r="B152" s="70" t="n">
        <v>44379</v>
      </c>
      <c r="C152" s="137" t="n">
        <v>136.6797485351562</v>
      </c>
      <c r="D152" s="137" t="n">
        <v>4352.33984375</v>
      </c>
      <c r="E152" s="71" t="n">
        <v>1.959652295776881</v>
      </c>
      <c r="F152" s="71" t="n">
        <v>0.7500081663913916</v>
      </c>
    </row>
    <row r="153">
      <c r="B153" s="70" t="n">
        <v>44383</v>
      </c>
      <c r="C153" s="137" t="n">
        <v>138.6914672851562</v>
      </c>
      <c r="D153" s="137" t="n">
        <v>4343.5400390625</v>
      </c>
      <c r="E153" s="71" t="n">
        <v>1.471848442479806</v>
      </c>
      <c r="F153" s="71" t="n">
        <v>-0.202185605982419</v>
      </c>
    </row>
    <row r="154">
      <c r="B154" s="70" t="n">
        <v>44384</v>
      </c>
      <c r="C154" s="137" t="n">
        <v>141.1817016601562</v>
      </c>
      <c r="D154" s="137" t="n">
        <v>4358.1298828125</v>
      </c>
      <c r="E154" s="71" t="n">
        <v>1.795520967328113</v>
      </c>
      <c r="F154" s="71" t="n">
        <v>0.3358975310182588</v>
      </c>
    </row>
    <row r="155">
      <c r="B155" s="70" t="n">
        <v>44385</v>
      </c>
      <c r="C155" s="137" t="n">
        <v>139.8828582763672</v>
      </c>
      <c r="D155" s="137" t="n">
        <v>4320.81982421875</v>
      </c>
      <c r="E155" s="71" t="n">
        <v>-0.919979975107188</v>
      </c>
      <c r="F155" s="71" t="n">
        <v>-0.8561024934316985</v>
      </c>
    </row>
    <row r="156">
      <c r="B156" s="70" t="n">
        <v>44386</v>
      </c>
      <c r="C156" s="137" t="n">
        <v>141.7090606689453</v>
      </c>
      <c r="D156" s="137" t="n">
        <v>4369.5498046875</v>
      </c>
      <c r="E156" s="71" t="n">
        <v>1.305522645934287</v>
      </c>
      <c r="F156" s="71" t="n">
        <v>1.127794780879587</v>
      </c>
    </row>
    <row r="157">
      <c r="B157" s="70" t="n">
        <v>44389</v>
      </c>
      <c r="C157" s="137" t="n">
        <v>141.1133270263672</v>
      </c>
      <c r="D157" s="137" t="n">
        <v>4384.6298828125</v>
      </c>
      <c r="E157" s="71" t="n">
        <v>-0.4203920622759982</v>
      </c>
      <c r="F157" s="71" t="n">
        <v>0.3451174331237095</v>
      </c>
    </row>
    <row r="158">
      <c r="B158" s="70" t="n">
        <v>44390</v>
      </c>
      <c r="C158" s="137" t="n">
        <v>142.2266082763672</v>
      </c>
      <c r="D158" s="137" t="n">
        <v>4369.2099609375</v>
      </c>
      <c r="E158" s="71" t="n">
        <v>0.7889270797165615</v>
      </c>
      <c r="F158" s="71" t="n">
        <v>-0.3516812658565627</v>
      </c>
    </row>
    <row r="159">
      <c r="B159" s="70" t="n">
        <v>44391</v>
      </c>
      <c r="C159" s="137" t="n">
        <v>145.6543426513672</v>
      </c>
      <c r="D159" s="137" t="n">
        <v>4374.2998046875</v>
      </c>
      <c r="E159" s="71" t="n">
        <v>2.410051407778369</v>
      </c>
      <c r="F159" s="71" t="n">
        <v>0.1164934575244692</v>
      </c>
    </row>
    <row r="160">
      <c r="B160" s="70" t="n">
        <v>44392</v>
      </c>
      <c r="C160" s="137" t="n">
        <v>145.0000457763672</v>
      </c>
      <c r="D160" s="137" t="n">
        <v>4360.02978515625</v>
      </c>
      <c r="E160" s="71" t="n">
        <v>-0.4492120613019401</v>
      </c>
      <c r="F160" s="71" t="n">
        <v>-0.3262240854172371</v>
      </c>
    </row>
    <row r="161">
      <c r="B161" s="70" t="n">
        <v>44393</v>
      </c>
      <c r="C161" s="137" t="n">
        <v>142.9590759277344</v>
      </c>
      <c r="D161" s="137" t="n">
        <v>4327.16015625</v>
      </c>
      <c r="E161" s="71" t="n">
        <v>-1.407564968483221</v>
      </c>
      <c r="F161" s="71" t="n">
        <v>-0.7538854211077806</v>
      </c>
    </row>
    <row r="162">
      <c r="B162" s="70" t="n">
        <v>44396</v>
      </c>
      <c r="C162" s="137" t="n">
        <v>139.1113739013672</v>
      </c>
      <c r="D162" s="137" t="n">
        <v>4258.490234375</v>
      </c>
      <c r="E162" s="71" t="n">
        <v>-2.691470969154997</v>
      </c>
      <c r="F162" s="71" t="n">
        <v>-1.58695124274093</v>
      </c>
    </row>
    <row r="163">
      <c r="B163" s="70" t="n">
        <v>44397</v>
      </c>
      <c r="C163" s="137" t="n">
        <v>142.7247009277344</v>
      </c>
      <c r="D163" s="137" t="n">
        <v>4323.06005859375</v>
      </c>
      <c r="E163" s="71" t="n">
        <v>2.597434648966335</v>
      </c>
      <c r="F163" s="71" t="n">
        <v>1.516260943785563</v>
      </c>
    </row>
    <row r="164">
      <c r="B164" s="70" t="n">
        <v>44398</v>
      </c>
      <c r="C164" s="137" t="n">
        <v>141.9922180175781</v>
      </c>
      <c r="D164" s="137" t="n">
        <v>4358.68994140625</v>
      </c>
      <c r="E164" s="71" t="n">
        <v>-0.5132138343223347</v>
      </c>
      <c r="F164" s="71" t="n">
        <v>0.8241819990835397</v>
      </c>
    </row>
    <row r="165">
      <c r="B165" s="70" t="n">
        <v>44399</v>
      </c>
      <c r="C165" s="137" t="n">
        <v>143.3594207763672</v>
      </c>
      <c r="D165" s="137" t="n">
        <v>4367.47998046875</v>
      </c>
      <c r="E165" s="71" t="n">
        <v>0.9628716121751424</v>
      </c>
      <c r="F165" s="71" t="n">
        <v>0.2016669958327943</v>
      </c>
    </row>
    <row r="166">
      <c r="B166" s="70" t="n">
        <v>44400</v>
      </c>
      <c r="C166" s="137" t="n">
        <v>145.0781402587891</v>
      </c>
      <c r="D166" s="137" t="n">
        <v>4411.7900390625</v>
      </c>
      <c r="E166" s="71" t="n">
        <v>1.198888411458499</v>
      </c>
      <c r="F166" s="71" t="n">
        <v>1.014545202082284</v>
      </c>
    </row>
    <row r="167">
      <c r="B167" s="70" t="n">
        <v>44403</v>
      </c>
      <c r="C167" s="137" t="n">
        <v>145.4981079101562</v>
      </c>
      <c r="D167" s="137" t="n">
        <v>4422.2998046875</v>
      </c>
      <c r="E167" s="71" t="n">
        <v>0.2894768644111201</v>
      </c>
      <c r="F167" s="71" t="n">
        <v>0.2382199862628331</v>
      </c>
    </row>
    <row r="168">
      <c r="B168" s="70" t="n">
        <v>44404</v>
      </c>
      <c r="C168" s="137" t="n">
        <v>143.3301696777344</v>
      </c>
      <c r="D168" s="137" t="n">
        <v>4401.4599609375</v>
      </c>
      <c r="E168" s="71" t="n">
        <v>-1.4900112885045</v>
      </c>
      <c r="F168" s="71" t="n">
        <v>-0.4712444807091209</v>
      </c>
    </row>
    <row r="169">
      <c r="B169" s="70" t="n">
        <v>44405</v>
      </c>
      <c r="C169" s="137" t="n">
        <v>141.5821075439453</v>
      </c>
      <c r="D169" s="137" t="n">
        <v>4400.64013671875</v>
      </c>
      <c r="E169" s="71" t="n">
        <v>-1.219605152020298</v>
      </c>
      <c r="F169" s="71" t="n">
        <v>-0.01862618826539153</v>
      </c>
    </row>
    <row r="170">
      <c r="B170" s="70" t="n">
        <v>44406</v>
      </c>
      <c r="C170" s="137" t="n">
        <v>142.2266082763672</v>
      </c>
      <c r="D170" s="137" t="n">
        <v>4419.14990234375</v>
      </c>
      <c r="E170" s="71" t="n">
        <v>0.4552134048589673</v>
      </c>
      <c r="F170" s="71" t="n">
        <v>0.4206152980007483</v>
      </c>
    </row>
    <row r="171">
      <c r="B171" s="70" t="n">
        <v>44407</v>
      </c>
      <c r="C171" s="137" t="n">
        <v>142.4414520263672</v>
      </c>
      <c r="D171" s="137" t="n">
        <v>4395.259765625</v>
      </c>
      <c r="E171" s="71" t="n">
        <v>0.1510573531940951</v>
      </c>
      <c r="F171" s="71" t="n">
        <v>-0.540604805147693</v>
      </c>
    </row>
    <row r="172">
      <c r="B172" s="70" t="n">
        <v>44410</v>
      </c>
      <c r="C172" s="137" t="n">
        <v>142.1094512939453</v>
      </c>
      <c r="D172" s="137" t="n">
        <v>4387.16015625</v>
      </c>
      <c r="E172" s="71" t="n">
        <v>-0.2330787335419915</v>
      </c>
      <c r="F172" s="71" t="n">
        <v>-0.1842805614891363</v>
      </c>
    </row>
    <row r="173">
      <c r="B173" s="70" t="n">
        <v>44411</v>
      </c>
      <c r="C173" s="137" t="n">
        <v>143.9063415527344</v>
      </c>
      <c r="D173" s="137" t="n">
        <v>4423.14990234375</v>
      </c>
      <c r="E173" s="71" t="n">
        <v>1.264441064565314</v>
      </c>
      <c r="F173" s="71" t="n">
        <v>0.82034265474622</v>
      </c>
    </row>
    <row r="174">
      <c r="B174" s="70" t="n">
        <v>44412</v>
      </c>
      <c r="C174" s="137" t="n">
        <v>143.5059051513672</v>
      </c>
      <c r="D174" s="137" t="n">
        <v>4402.66015625</v>
      </c>
      <c r="E174" s="71" t="n">
        <v>-0.2782618174060669</v>
      </c>
      <c r="F174" s="71" t="n">
        <v>-0.4632387901412294</v>
      </c>
    </row>
    <row r="175">
      <c r="B175" s="70" t="n">
        <v>44413</v>
      </c>
      <c r="C175" s="137" t="n">
        <v>143.6133270263672</v>
      </c>
      <c r="D175" s="137" t="n">
        <v>4429.10009765625</v>
      </c>
      <c r="E175" s="71" t="n">
        <v>0.07485536911300272</v>
      </c>
      <c r="F175" s="71" t="n">
        <v>0.6005446813494242</v>
      </c>
    </row>
    <row r="176">
      <c r="B176" s="70" t="n">
        <v>44414</v>
      </c>
      <c r="C176" s="137" t="n">
        <v>142.9287261962891</v>
      </c>
      <c r="D176" s="137" t="n">
        <v>4436.52001953125</v>
      </c>
      <c r="E176" s="71" t="n">
        <v>-0.4766972844744477</v>
      </c>
      <c r="F176" s="71" t="n">
        <v>0.1675266241764728</v>
      </c>
    </row>
    <row r="177">
      <c r="B177" s="70" t="n">
        <v>44417</v>
      </c>
      <c r="C177" s="137" t="n">
        <v>142.8798217773438</v>
      </c>
      <c r="D177" s="137" t="n">
        <v>4432.35009765625</v>
      </c>
      <c r="E177" s="71" t="n">
        <v>-0.0342159482189186</v>
      </c>
      <c r="F177" s="71" t="n">
        <v>-0.09399082741974318</v>
      </c>
    </row>
    <row r="178">
      <c r="B178" s="70" t="n">
        <v>44418</v>
      </c>
      <c r="C178" s="137" t="n">
        <v>142.4005584716797</v>
      </c>
      <c r="D178" s="137" t="n">
        <v>4436.75</v>
      </c>
      <c r="E178" s="71" t="n">
        <v>-0.3354310634646307</v>
      </c>
      <c r="F178" s="71" t="n">
        <v>0.09926793341701323</v>
      </c>
    </row>
    <row r="179">
      <c r="B179" s="70" t="n">
        <v>44419</v>
      </c>
      <c r="C179" s="137" t="n">
        <v>142.6548614501953</v>
      </c>
      <c r="D179" s="137" t="n">
        <v>4442.41015625</v>
      </c>
      <c r="E179" s="71" t="n">
        <v>0.1785828519529353</v>
      </c>
      <c r="F179" s="71" t="n">
        <v>0.1275743787682471</v>
      </c>
    </row>
    <row r="180">
      <c r="B180" s="70" t="n">
        <v>44420</v>
      </c>
      <c r="C180" s="137" t="n">
        <v>145.6182861328125</v>
      </c>
      <c r="D180" s="137" t="n">
        <v>4460.830078125</v>
      </c>
      <c r="E180" s="71" t="n">
        <v>2.077338726834621</v>
      </c>
      <c r="F180" s="71" t="n">
        <v>0.4146380281677686</v>
      </c>
    </row>
    <row r="181">
      <c r="B181" s="70" t="n">
        <v>44421</v>
      </c>
      <c r="C181" s="137" t="n">
        <v>145.8237152099609</v>
      </c>
      <c r="D181" s="137" t="n">
        <v>4468</v>
      </c>
      <c r="E181" s="71" t="n">
        <v>0.1410736814750457</v>
      </c>
      <c r="F181" s="71" t="n">
        <v>0.1607306655808216</v>
      </c>
    </row>
    <row r="182">
      <c r="B182" s="70" t="n">
        <v>44424</v>
      </c>
      <c r="C182" s="137" t="n">
        <v>147.7992706298828</v>
      </c>
      <c r="D182" s="137" t="n">
        <v>4479.7099609375</v>
      </c>
      <c r="E182" s="71" t="n">
        <v>1.354755923669515</v>
      </c>
      <c r="F182" s="71" t="n">
        <v>0.2620850702215849</v>
      </c>
    </row>
    <row r="183">
      <c r="B183" s="70" t="n">
        <v>44425</v>
      </c>
      <c r="C183" s="137" t="n">
        <v>146.8897552490234</v>
      </c>
      <c r="D183" s="137" t="n">
        <v>4448.080078125</v>
      </c>
      <c r="E183" s="71" t="n">
        <v>-0.6153720359940107</v>
      </c>
      <c r="F183" s="71" t="n">
        <v>-0.706069881494753</v>
      </c>
    </row>
    <row r="184">
      <c r="B184" s="70" t="n">
        <v>44426</v>
      </c>
      <c r="C184" s="137" t="n">
        <v>143.1438751220703</v>
      </c>
      <c r="D184" s="137" t="n">
        <v>4400.27001953125</v>
      </c>
      <c r="E184" s="71" t="n">
        <v>-2.550130280088403</v>
      </c>
      <c r="F184" s="71" t="n">
        <v>-1.074847074558594</v>
      </c>
    </row>
    <row r="185">
      <c r="B185" s="70" t="n">
        <v>44427</v>
      </c>
      <c r="C185" s="137" t="n">
        <v>143.4764404296875</v>
      </c>
      <c r="D185" s="137" t="n">
        <v>4405.7998046875</v>
      </c>
      <c r="E185" s="71" t="n">
        <v>0.2323294009845656</v>
      </c>
      <c r="F185" s="71" t="n">
        <v>0.1256692232909584</v>
      </c>
    </row>
    <row r="186">
      <c r="B186" s="70" t="n">
        <v>44428</v>
      </c>
      <c r="C186" s="137" t="n">
        <v>144.9337005615234</v>
      </c>
      <c r="D186" s="137" t="n">
        <v>4441.669921875</v>
      </c>
      <c r="E186" s="71" t="n">
        <v>1.0156790393403</v>
      </c>
      <c r="F186" s="71" t="n">
        <v>0.8141567655737925</v>
      </c>
    </row>
    <row r="187">
      <c r="B187" s="70" t="n">
        <v>44431</v>
      </c>
      <c r="C187" s="137" t="n">
        <v>146.4203033447266</v>
      </c>
      <c r="D187" s="137" t="n">
        <v>4479.52978515625</v>
      </c>
      <c r="E187" s="71" t="n">
        <v>1.025712292892256</v>
      </c>
      <c r="F187" s="71" t="n">
        <v>0.8523790364248329</v>
      </c>
    </row>
    <row r="188">
      <c r="B188" s="70" t="n">
        <v>44432</v>
      </c>
      <c r="C188" s="137" t="n">
        <v>146.3322296142578</v>
      </c>
      <c r="D188" s="137" t="n">
        <v>4486.22998046875</v>
      </c>
      <c r="E188" s="71" t="n">
        <v>-0.06015130993235474</v>
      </c>
      <c r="F188" s="71" t="n">
        <v>0.1495736301319495</v>
      </c>
    </row>
    <row r="189">
      <c r="B189" s="70" t="n">
        <v>44433</v>
      </c>
      <c r="C189" s="137" t="n">
        <v>145.0999298095703</v>
      </c>
      <c r="D189" s="137" t="n">
        <v>4496.18994140625</v>
      </c>
      <c r="E189" s="71" t="n">
        <v>-0.8421246692788986</v>
      </c>
      <c r="F189" s="71" t="n">
        <v>0.2220118224179668</v>
      </c>
    </row>
    <row r="190">
      <c r="B190" s="70" t="n">
        <v>44434</v>
      </c>
      <c r="C190" s="137" t="n">
        <v>144.2979278564453</v>
      </c>
      <c r="D190" s="137" t="n">
        <v>4470</v>
      </c>
      <c r="E190" s="71" t="n">
        <v>-0.5527238739381546</v>
      </c>
      <c r="F190" s="71" t="n">
        <v>-0.5824918819612557</v>
      </c>
    </row>
    <row r="191">
      <c r="B191" s="70" t="n">
        <v>44435</v>
      </c>
      <c r="C191" s="137" t="n">
        <v>145.3347015380859</v>
      </c>
      <c r="D191" s="137" t="n">
        <v>4509.3701171875</v>
      </c>
      <c r="E191" s="71" t="n">
        <v>0.7184951974307241</v>
      </c>
      <c r="F191" s="71" t="n">
        <v>0.8807632480425154</v>
      </c>
    </row>
    <row r="192">
      <c r="B192" s="70" t="n">
        <v>44438</v>
      </c>
      <c r="C192" s="137" t="n">
        <v>149.7553558349609</v>
      </c>
      <c r="D192" s="137" t="n">
        <v>4528.7900390625</v>
      </c>
      <c r="E192" s="71" t="n">
        <v>3.041705972552289</v>
      </c>
      <c r="F192" s="71" t="n">
        <v>0.4306570844779589</v>
      </c>
    </row>
    <row r="193">
      <c r="B193" s="70" t="n">
        <v>44439</v>
      </c>
      <c r="C193" s="137" t="n">
        <v>148.4936981201172</v>
      </c>
      <c r="D193" s="137" t="n">
        <v>4522.68017578125</v>
      </c>
      <c r="E193" s="71" t="n">
        <v>-0.8424791940223719</v>
      </c>
      <c r="F193" s="71" t="n">
        <v>-0.1349116039505049</v>
      </c>
    </row>
    <row r="194">
      <c r="B194" s="70" t="n">
        <v>44440</v>
      </c>
      <c r="C194" s="137" t="n">
        <v>149.1587219238281</v>
      </c>
      <c r="D194" s="137" t="n">
        <v>4524.08984375</v>
      </c>
      <c r="E194" s="71" t="n">
        <v>0.4478464824634987</v>
      </c>
      <c r="F194" s="71" t="n">
        <v>0.03116886257619189</v>
      </c>
    </row>
    <row r="195">
      <c r="B195" s="70" t="n">
        <v>44441</v>
      </c>
      <c r="C195" s="137" t="n">
        <v>150.2737121582031</v>
      </c>
      <c r="D195" s="137" t="n">
        <v>4536.9501953125</v>
      </c>
      <c r="E195" s="71" t="n">
        <v>0.747519300242061</v>
      </c>
      <c r="F195" s="71" t="n">
        <v>0.2842638410522902</v>
      </c>
    </row>
    <row r="196">
      <c r="B196" s="70" t="n">
        <v>44442</v>
      </c>
      <c r="C196" s="137" t="n">
        <v>150.9094543457031</v>
      </c>
      <c r="D196" s="137" t="n">
        <v>4535.43017578125</v>
      </c>
      <c r="E196" s="71" t="n">
        <v>0.4230561542465372</v>
      </c>
      <c r="F196" s="71" t="n">
        <v>-0.03350311257153127</v>
      </c>
    </row>
    <row r="197">
      <c r="B197" s="70" t="n">
        <v>44446</v>
      </c>
      <c r="C197" s="137" t="n">
        <v>153.2469177246094</v>
      </c>
      <c r="D197" s="137" t="n">
        <v>4520.02978515625</v>
      </c>
      <c r="E197" s="71" t="n">
        <v>1.548917785860948</v>
      </c>
      <c r="F197" s="71" t="n">
        <v>-0.3395574405981705</v>
      </c>
    </row>
    <row r="198">
      <c r="B198" s="70" t="n">
        <v>44447</v>
      </c>
      <c r="C198" s="137" t="n">
        <v>151.7016143798828</v>
      </c>
      <c r="D198" s="137" t="n">
        <v>4514.06982421875</v>
      </c>
      <c r="E198" s="71" t="n">
        <v>-1.008374829113079</v>
      </c>
      <c r="F198" s="71" t="n">
        <v>-0.1318566739775151</v>
      </c>
    </row>
    <row r="199">
      <c r="B199" s="70" t="n">
        <v>44448</v>
      </c>
      <c r="C199" s="137" t="n">
        <v>150.6844787597656</v>
      </c>
      <c r="D199" s="137" t="n">
        <v>4493.27978515625</v>
      </c>
      <c r="E199" s="71" t="n">
        <v>-0.6704843743917999</v>
      </c>
      <c r="F199" s="71" t="n">
        <v>-0.4605608657393345</v>
      </c>
    </row>
    <row r="200">
      <c r="B200" s="70" t="n">
        <v>44449</v>
      </c>
      <c r="C200" s="137" t="n">
        <v>145.6965484619141</v>
      </c>
      <c r="D200" s="137" t="n">
        <v>4458.580078125</v>
      </c>
      <c r="E200" s="71" t="n">
        <v>-3.310181870691342</v>
      </c>
      <c r="F200" s="71" t="n">
        <v>-0.7722578759925436</v>
      </c>
    </row>
    <row r="201">
      <c r="B201" s="70" t="n">
        <v>44452</v>
      </c>
      <c r="C201" s="137" t="n">
        <v>146.2638092041016</v>
      </c>
      <c r="D201" s="137" t="n">
        <v>4468.72998046875</v>
      </c>
      <c r="E201" s="71" t="n">
        <v>0.3893439811553101</v>
      </c>
      <c r="F201" s="71" t="n">
        <v>0.2276487618456891</v>
      </c>
    </row>
    <row r="202">
      <c r="B202" s="70" t="n">
        <v>44453</v>
      </c>
      <c r="C202" s="137" t="n">
        <v>144.8652038574219</v>
      </c>
      <c r="D202" s="137" t="n">
        <v>4443.0498046875</v>
      </c>
      <c r="E202" s="71" t="n">
        <v>-0.9562210599397325</v>
      </c>
      <c r="F202" s="71" t="n">
        <v>-0.574663850657553</v>
      </c>
    </row>
    <row r="203">
      <c r="B203" s="70" t="n">
        <v>44454</v>
      </c>
      <c r="C203" s="137" t="n">
        <v>145.7552490234375</v>
      </c>
      <c r="D203" s="137" t="n">
        <v>4480.7001953125</v>
      </c>
      <c r="E203" s="71" t="n">
        <v>0.614395411952473</v>
      </c>
      <c r="F203" s="71" t="n">
        <v>0.8473996979569742</v>
      </c>
    </row>
    <row r="204">
      <c r="B204" s="70" t="n">
        <v>44455</v>
      </c>
      <c r="C204" s="137" t="n">
        <v>145.5204925537109</v>
      </c>
      <c r="D204" s="137" t="n">
        <v>4473.75</v>
      </c>
      <c r="E204" s="71" t="n">
        <v>-0.1610621032857917</v>
      </c>
      <c r="F204" s="71" t="n">
        <v>-0.1551140448935007</v>
      </c>
    </row>
    <row r="205">
      <c r="B205" s="70" t="n">
        <v>44456</v>
      </c>
      <c r="C205" s="137" t="n">
        <v>142.8504943847656</v>
      </c>
      <c r="D205" s="137" t="n">
        <v>4432.990234375</v>
      </c>
      <c r="E205" s="71" t="n">
        <v>-1.834791871639541</v>
      </c>
      <c r="F205" s="71" t="n">
        <v>-0.9110872450405094</v>
      </c>
    </row>
    <row r="206">
      <c r="B206" s="70" t="n">
        <v>44459</v>
      </c>
      <c r="C206" s="137" t="n">
        <v>139.7990570068359</v>
      </c>
      <c r="D206" s="137" t="n">
        <v>4357.72998046875</v>
      </c>
      <c r="E206" s="71" t="n">
        <v>-2.136105577423264</v>
      </c>
      <c r="F206" s="71" t="n">
        <v>-1.697731100841482</v>
      </c>
    </row>
    <row r="207">
      <c r="B207" s="70" t="n">
        <v>44460</v>
      </c>
      <c r="C207" s="137" t="n">
        <v>140.2782287597656</v>
      </c>
      <c r="D207" s="137" t="n">
        <v>4354.18994140625</v>
      </c>
      <c r="E207" s="71" t="n">
        <v>0.3427575000783056</v>
      </c>
      <c r="F207" s="71" t="n">
        <v>-0.08123585165593639</v>
      </c>
    </row>
    <row r="208">
      <c r="B208" s="70" t="n">
        <v>44461</v>
      </c>
      <c r="C208" s="137" t="n">
        <v>142.6450805664062</v>
      </c>
      <c r="D208" s="137" t="n">
        <v>4395.64013671875</v>
      </c>
      <c r="E208" s="71" t="n">
        <v>1.687255269450239</v>
      </c>
      <c r="F208" s="71" t="n">
        <v>0.9519611195260236</v>
      </c>
    </row>
    <row r="209">
      <c r="B209" s="70" t="n">
        <v>44462</v>
      </c>
      <c r="C209" s="137" t="n">
        <v>143.6035919189453</v>
      </c>
      <c r="D209" s="137" t="n">
        <v>4448.97998046875</v>
      </c>
      <c r="E209" s="71" t="n">
        <v>0.6719554216192636</v>
      </c>
      <c r="F209" s="71" t="n">
        <v>1.213471578449488</v>
      </c>
    </row>
    <row r="210">
      <c r="B210" s="70" t="n">
        <v>44463</v>
      </c>
      <c r="C210" s="137" t="n">
        <v>143.6915740966797</v>
      </c>
      <c r="D210" s="137" t="n">
        <v>4455.47998046875</v>
      </c>
      <c r="E210" s="71" t="n">
        <v>0.06126739349530119</v>
      </c>
      <c r="F210" s="71" t="n">
        <v>0.1461009046688222</v>
      </c>
    </row>
    <row r="211">
      <c r="B211" s="70" t="n">
        <v>44466</v>
      </c>
      <c r="C211" s="137" t="n">
        <v>142.1756439208984</v>
      </c>
      <c r="D211" s="137" t="n">
        <v>4443.10986328125</v>
      </c>
      <c r="E211" s="71" t="n">
        <v>-1.054988913101695</v>
      </c>
      <c r="F211" s="71" t="n">
        <v>-0.2776382621339613</v>
      </c>
    </row>
    <row r="212">
      <c r="B212" s="70" t="n">
        <v>44467</v>
      </c>
      <c r="C212" s="137" t="n">
        <v>138.7916717529297</v>
      </c>
      <c r="D212" s="137" t="n">
        <v>4352.6298828125</v>
      </c>
      <c r="E212" s="71" t="n">
        <v>-2.380134933555456</v>
      </c>
      <c r="F212" s="71" t="n">
        <v>-2.036411055609821</v>
      </c>
    </row>
    <row r="213">
      <c r="B213" s="70" t="n">
        <v>44468</v>
      </c>
      <c r="C213" s="137" t="n">
        <v>139.6914520263672</v>
      </c>
      <c r="D213" s="137" t="n">
        <v>4359.4599609375</v>
      </c>
      <c r="E213" s="71" t="n">
        <v>0.6482955800397372</v>
      </c>
      <c r="F213" s="71" t="n">
        <v>0.1569184219400332</v>
      </c>
    </row>
    <row r="214">
      <c r="B214" s="70" t="n">
        <v>44469</v>
      </c>
      <c r="C214" s="137" t="n">
        <v>138.3906860351562</v>
      </c>
      <c r="D214" s="137" t="n">
        <v>4307.5400390625</v>
      </c>
      <c r="E214" s="71" t="n">
        <v>-0.9311707855720996</v>
      </c>
      <c r="F214" s="71" t="n">
        <v>-1.190971412519515</v>
      </c>
    </row>
    <row r="215">
      <c r="B215" s="70" t="n">
        <v>44470</v>
      </c>
      <c r="C215" s="137" t="n">
        <v>139.515380859375</v>
      </c>
      <c r="D215" s="137" t="n">
        <v>4357.0400390625</v>
      </c>
      <c r="E215" s="71" t="n">
        <v>0.8126954612632575</v>
      </c>
      <c r="F215" s="71" t="n">
        <v>1.149147763018199</v>
      </c>
    </row>
    <row r="216">
      <c r="B216" s="70" t="n">
        <v>44473</v>
      </c>
      <c r="C216" s="137" t="n">
        <v>136.08251953125</v>
      </c>
      <c r="D216" s="137" t="n">
        <v>4300.4599609375</v>
      </c>
      <c r="E216" s="71" t="n">
        <v>-2.460561199044542</v>
      </c>
      <c r="F216" s="71" t="n">
        <v>-1.298589813674844</v>
      </c>
    </row>
    <row r="217">
      <c r="B217" s="70" t="n">
        <v>44474</v>
      </c>
      <c r="C217" s="137" t="n">
        <v>138.0092620849609</v>
      </c>
      <c r="D217" s="137" t="n">
        <v>4345.72021484375</v>
      </c>
      <c r="E217" s="71" t="n">
        <v>1.415863374919701</v>
      </c>
      <c r="F217" s="71" t="n">
        <v>1.052451466060922</v>
      </c>
    </row>
    <row r="218">
      <c r="B218" s="70" t="n">
        <v>44475</v>
      </c>
      <c r="C218" s="137" t="n">
        <v>138.8797149658203</v>
      </c>
      <c r="D218" s="137" t="n">
        <v>4363.5498046875</v>
      </c>
      <c r="E218" s="71" t="n">
        <v>0.6307206253472586</v>
      </c>
      <c r="F218" s="71" t="n">
        <v>0.4102792854185466</v>
      </c>
    </row>
    <row r="219">
      <c r="B219" s="70" t="n">
        <v>44476</v>
      </c>
      <c r="C219" s="137" t="n">
        <v>140.1413421630859</v>
      </c>
      <c r="D219" s="137" t="n">
        <v>4399.759765625</v>
      </c>
      <c r="E219" s="71" t="n">
        <v>0.9084315859779091</v>
      </c>
      <c r="F219" s="71" t="n">
        <v>0.8298280656405366</v>
      </c>
    </row>
    <row r="220">
      <c r="B220" s="70" t="n">
        <v>44477</v>
      </c>
      <c r="C220" s="137" t="n">
        <v>139.7599029541016</v>
      </c>
      <c r="D220" s="137" t="n">
        <v>4391.33984375</v>
      </c>
      <c r="E220" s="71" t="n">
        <v>-0.2721817866853549</v>
      </c>
      <c r="F220" s="71" t="n">
        <v>-0.1913723094788988</v>
      </c>
    </row>
    <row r="221">
      <c r="B221" s="70" t="n">
        <v>44480</v>
      </c>
      <c r="C221" s="137" t="n">
        <v>139.6719055175781</v>
      </c>
      <c r="D221" s="137" t="n">
        <v>4361.18994140625</v>
      </c>
      <c r="E221" s="71" t="n">
        <v>-0.0629632925206014</v>
      </c>
      <c r="F221" s="71" t="n">
        <v>-0.6865763848056816</v>
      </c>
    </row>
    <row r="222">
      <c r="B222" s="70" t="n">
        <v>44481</v>
      </c>
      <c r="C222" s="137" t="n">
        <v>138.4004516601562</v>
      </c>
      <c r="D222" s="137" t="n">
        <v>4350.64990234375</v>
      </c>
      <c r="E222" s="71" t="n">
        <v>-0.9103146783243976</v>
      </c>
      <c r="F222" s="71" t="n">
        <v>-0.2416780558542109</v>
      </c>
    </row>
    <row r="223">
      <c r="B223" s="70" t="n">
        <v>44482</v>
      </c>
      <c r="C223" s="137" t="n">
        <v>137.8136596679688</v>
      </c>
      <c r="D223" s="137" t="n">
        <v>4363.7998046875</v>
      </c>
      <c r="E223" s="71" t="n">
        <v>-0.4239812696769651</v>
      </c>
      <c r="F223" s="71" t="n">
        <v>0.302251448379387</v>
      </c>
    </row>
    <row r="224">
      <c r="B224" s="70" t="n">
        <v>44483</v>
      </c>
      <c r="C224" s="137" t="n">
        <v>140.6010284423828</v>
      </c>
      <c r="D224" s="137" t="n">
        <v>4438.259765625</v>
      </c>
      <c r="E224" s="71" t="n">
        <v>2.0225634970652</v>
      </c>
      <c r="F224" s="71" t="n">
        <v>1.706310194558336</v>
      </c>
    </row>
    <row r="225">
      <c r="B225" s="70" t="n">
        <v>44484</v>
      </c>
      <c r="C225" s="137" t="n">
        <v>141.6573028564453</v>
      </c>
      <c r="D225" s="137" t="n">
        <v>4471.3701171875</v>
      </c>
      <c r="E225" s="71" t="n">
        <v>0.7512565347239653</v>
      </c>
      <c r="F225" s="71" t="n">
        <v>0.7460210377712606</v>
      </c>
    </row>
    <row r="226">
      <c r="B226" s="70" t="n">
        <v>44487</v>
      </c>
      <c r="C226" s="137" t="n">
        <v>143.3297576904297</v>
      </c>
      <c r="D226" s="137" t="n">
        <v>4486.4599609375</v>
      </c>
      <c r="E226" s="71" t="n">
        <v>1.180634390363355</v>
      </c>
      <c r="F226" s="71" t="n">
        <v>0.337476955709759</v>
      </c>
    </row>
    <row r="227">
      <c r="B227" s="70" t="n">
        <v>44488</v>
      </c>
      <c r="C227" s="137" t="n">
        <v>145.4911499023438</v>
      </c>
      <c r="D227" s="137" t="n">
        <v>4519.6298828125</v>
      </c>
      <c r="E227" s="71" t="n">
        <v>1.507985673555945</v>
      </c>
      <c r="F227" s="71" t="n">
        <v>0.7393339551406308</v>
      </c>
    </row>
    <row r="228">
      <c r="B228" s="70" t="n">
        <v>44489</v>
      </c>
      <c r="C228" s="137" t="n">
        <v>145.9801788330078</v>
      </c>
      <c r="D228" s="137" t="n">
        <v>4536.18994140625</v>
      </c>
      <c r="E228" s="71" t="n">
        <v>0.336122802653116</v>
      </c>
      <c r="F228" s="71" t="n">
        <v>0.36640298040167</v>
      </c>
    </row>
    <row r="229">
      <c r="B229" s="70" t="n">
        <v>44490</v>
      </c>
      <c r="C229" s="137" t="n">
        <v>146.1953277587891</v>
      </c>
      <c r="D229" s="137" t="n">
        <v>4549.77978515625</v>
      </c>
      <c r="E229" s="71" t="n">
        <v>0.147382286760589</v>
      </c>
      <c r="F229" s="71" t="n">
        <v>0.2995871849622578</v>
      </c>
    </row>
    <row r="230">
      <c r="B230" s="70" t="n">
        <v>44491</v>
      </c>
      <c r="C230" s="137" t="n">
        <v>145.4227142333984</v>
      </c>
      <c r="D230" s="137" t="n">
        <v>4544.89990234375</v>
      </c>
      <c r="E230" s="71" t="n">
        <v>-0.5284803127671989</v>
      </c>
      <c r="F230" s="71" t="n">
        <v>-0.1072553627413098</v>
      </c>
    </row>
    <row r="231">
      <c r="B231" s="70" t="n">
        <v>44494</v>
      </c>
      <c r="C231" s="137" t="n">
        <v>145.3738098144531</v>
      </c>
      <c r="D231" s="137" t="n">
        <v>4566.47998046875</v>
      </c>
      <c r="E231" s="71" t="n">
        <v>-0.03362914741559253</v>
      </c>
      <c r="F231" s="71" t="n">
        <v>0.4748196569493546</v>
      </c>
    </row>
    <row r="232">
      <c r="B232" s="70" t="n">
        <v>44495</v>
      </c>
      <c r="C232" s="137" t="n">
        <v>146.0388336181641</v>
      </c>
      <c r="D232" s="137" t="n">
        <v>4574.7900390625</v>
      </c>
      <c r="E232" s="71" t="n">
        <v>0.457457780435</v>
      </c>
      <c r="F232" s="71" t="n">
        <v>0.1819795253519718</v>
      </c>
    </row>
    <row r="233">
      <c r="B233" s="70" t="n">
        <v>44496</v>
      </c>
      <c r="C233" s="137" t="n">
        <v>145.5791931152344</v>
      </c>
      <c r="D233" s="137" t="n">
        <v>4551.68017578125</v>
      </c>
      <c r="E233" s="71" t="n">
        <v>-0.3147385469617459</v>
      </c>
      <c r="F233" s="71" t="n">
        <v>-0.5051568068462853</v>
      </c>
    </row>
    <row r="234">
      <c r="B234" s="70" t="n">
        <v>44497</v>
      </c>
      <c r="C234" s="137" t="n">
        <v>149.2174224853516</v>
      </c>
      <c r="D234" s="137" t="n">
        <v>4596.419921875</v>
      </c>
      <c r="E234" s="71" t="n">
        <v>2.499141046370079</v>
      </c>
      <c r="F234" s="71" t="n">
        <v>0.9829281576461124</v>
      </c>
    </row>
    <row r="235">
      <c r="B235" s="70" t="n">
        <v>44498</v>
      </c>
      <c r="C235" s="137" t="n">
        <v>146.5083160400391</v>
      </c>
      <c r="D235" s="137" t="n">
        <v>4605.3798828125</v>
      </c>
      <c r="E235" s="71" t="n">
        <v>-1.815542984317697</v>
      </c>
      <c r="F235" s="71" t="n">
        <v>0.1949334719149265</v>
      </c>
    </row>
    <row r="236">
      <c r="B236" s="70" t="n">
        <v>44501</v>
      </c>
      <c r="C236" s="137" t="n">
        <v>145.6867828369141</v>
      </c>
      <c r="D236" s="137" t="n">
        <v>4613.669921875</v>
      </c>
      <c r="E236" s="71" t="n">
        <v>-0.5607416871138415</v>
      </c>
      <c r="F236" s="71" t="n">
        <v>0.1800077143134127</v>
      </c>
    </row>
    <row r="237">
      <c r="B237" s="70" t="n">
        <v>44502</v>
      </c>
      <c r="C237" s="137" t="n">
        <v>146.7234497070312</v>
      </c>
      <c r="D237" s="137" t="n">
        <v>4630.64990234375</v>
      </c>
      <c r="E237" s="71" t="n">
        <v>0.7115723540120911</v>
      </c>
      <c r="F237" s="71" t="n">
        <v>0.3680363085413196</v>
      </c>
    </row>
    <row r="238">
      <c r="B238" s="70" t="n">
        <v>44503</v>
      </c>
      <c r="C238" s="137" t="n">
        <v>148.1611938476562</v>
      </c>
      <c r="D238" s="137" t="n">
        <v>4660.56982421875</v>
      </c>
      <c r="E238" s="71" t="n">
        <v>0.9799007203659782</v>
      </c>
      <c r="F238" s="71" t="n">
        <v>0.6461279195357994</v>
      </c>
    </row>
    <row r="239">
      <c r="B239" s="70" t="n">
        <v>44504</v>
      </c>
      <c r="C239" s="137" t="n">
        <v>147.6428070068359</v>
      </c>
      <c r="D239" s="137" t="n">
        <v>4680.06005859375</v>
      </c>
      <c r="E239" s="71" t="n">
        <v>-0.3498803076285362</v>
      </c>
      <c r="F239" s="71" t="n">
        <v>0.4181942361150437</v>
      </c>
    </row>
    <row r="240">
      <c r="B240" s="70" t="n">
        <v>44505</v>
      </c>
      <c r="C240" s="137" t="n">
        <v>148.1717224121094</v>
      </c>
      <c r="D240" s="137" t="n">
        <v>4697.52978515625</v>
      </c>
      <c r="E240" s="71" t="n">
        <v>0.3582398736492465</v>
      </c>
      <c r="F240" s="71" t="n">
        <v>0.3732799652949259</v>
      </c>
    </row>
    <row r="241">
      <c r="B241" s="70" t="n">
        <v>44508</v>
      </c>
      <c r="C241" s="137" t="n">
        <v>147.3490142822266</v>
      </c>
      <c r="D241" s="137" t="n">
        <v>4701.7001953125</v>
      </c>
      <c r="E241" s="71" t="n">
        <v>-0.555239634452398</v>
      </c>
      <c r="F241" s="71" t="n">
        <v>0.08877879113036169</v>
      </c>
    </row>
    <row r="242">
      <c r="B242" s="70" t="n">
        <v>44509</v>
      </c>
      <c r="C242" s="137" t="n">
        <v>147.7113647460938</v>
      </c>
      <c r="D242" s="137" t="n">
        <v>4685.25</v>
      </c>
      <c r="E242" s="71" t="n">
        <v>0.2459130559049338</v>
      </c>
      <c r="F242" s="71" t="n">
        <v>-0.3498775895770745</v>
      </c>
    </row>
    <row r="243">
      <c r="B243" s="70" t="n">
        <v>44510</v>
      </c>
      <c r="C243" s="137" t="n">
        <v>144.8807678222656</v>
      </c>
      <c r="D243" s="137" t="n">
        <v>4646.7099609375</v>
      </c>
      <c r="E243" s="71" t="n">
        <v>-1.916302735875353</v>
      </c>
      <c r="F243" s="71" t="n">
        <v>-0.8225823395229703</v>
      </c>
    </row>
    <row r="244">
      <c r="B244" s="70" t="n">
        <v>44511</v>
      </c>
      <c r="C244" s="137" t="n">
        <v>144.831787109375</v>
      </c>
      <c r="D244" s="137" t="n">
        <v>4649.27001953125</v>
      </c>
      <c r="E244" s="71" t="n">
        <v>-0.03380760167608354</v>
      </c>
      <c r="F244" s="71" t="n">
        <v>0.05509400447352153</v>
      </c>
    </row>
    <row r="245">
      <c r="B245" s="70" t="n">
        <v>44512</v>
      </c>
      <c r="C245" s="137" t="n">
        <v>146.9082336425781</v>
      </c>
      <c r="D245" s="137" t="n">
        <v>4682.85009765625</v>
      </c>
      <c r="E245" s="71" t="n">
        <v>1.43369530587576</v>
      </c>
      <c r="F245" s="71" t="n">
        <v>0.7222656026415475</v>
      </c>
    </row>
    <row r="246">
      <c r="B246" s="70" t="n">
        <v>44515</v>
      </c>
      <c r="C246" s="137" t="n">
        <v>146.91796875</v>
      </c>
      <c r="D246" s="137" t="n">
        <v>4682.7998046875</v>
      </c>
      <c r="E246" s="71" t="n">
        <v>0.006626658819941511</v>
      </c>
      <c r="F246" s="71" t="n">
        <v>-0.001073982034471843</v>
      </c>
    </row>
    <row r="247">
      <c r="B247" s="70" t="n">
        <v>44516</v>
      </c>
      <c r="C247" s="137" t="n">
        <v>147.8974761962891</v>
      </c>
      <c r="D247" s="137" t="n">
        <v>4700.89990234375</v>
      </c>
      <c r="E247" s="71" t="n">
        <v>0.6667036405572979</v>
      </c>
      <c r="F247" s="71" t="n">
        <v>0.3865229864862485</v>
      </c>
    </row>
    <row r="248">
      <c r="B248" s="70" t="n">
        <v>44517</v>
      </c>
      <c r="C248" s="137" t="n">
        <v>150.3363189697266</v>
      </c>
      <c r="D248" s="137" t="n">
        <v>4688.669921875</v>
      </c>
      <c r="E248" s="71" t="n">
        <v>1.64900905421852</v>
      </c>
      <c r="F248" s="71" t="n">
        <v>-0.2601625374463401</v>
      </c>
    </row>
    <row r="249">
      <c r="B249" s="70" t="n">
        <v>44518</v>
      </c>
      <c r="C249" s="137" t="n">
        <v>154.6263427734375</v>
      </c>
      <c r="D249" s="137" t="n">
        <v>4704.5400390625</v>
      </c>
      <c r="E249" s="71" t="n">
        <v>2.853617697380773</v>
      </c>
      <c r="F249" s="71" t="n">
        <v>0.3384780215271332</v>
      </c>
    </row>
    <row r="250">
      <c r="B250" s="70" t="n">
        <v>44519</v>
      </c>
      <c r="C250" s="137" t="n">
        <v>157.2512664794922</v>
      </c>
      <c r="D250" s="137" t="n">
        <v>4697.9599609375</v>
      </c>
      <c r="E250" s="71" t="n">
        <v>1.697591535163445</v>
      </c>
      <c r="F250" s="71" t="n">
        <v>-0.1398665559303236</v>
      </c>
    </row>
    <row r="251">
      <c r="B251" s="70" t="n">
        <v>44522</v>
      </c>
      <c r="C251" s="137" t="n">
        <v>157.7115936279297</v>
      </c>
      <c r="D251" s="137" t="n">
        <v>4682.93994140625</v>
      </c>
      <c r="E251" s="71" t="n">
        <v>0.2927335078077409</v>
      </c>
      <c r="F251" s="71" t="n">
        <v>-0.3197136556321922</v>
      </c>
    </row>
    <row r="252">
      <c r="B252" s="70" t="n">
        <v>44523</v>
      </c>
      <c r="C252" s="137" t="n">
        <v>158.0935821533203</v>
      </c>
      <c r="D252" s="137" t="n">
        <v>4690.7001953125</v>
      </c>
      <c r="E252" s="71" t="n">
        <v>0.2422070036853574</v>
      </c>
      <c r="F252" s="71" t="n">
        <v>0.1657132912945114</v>
      </c>
    </row>
    <row r="253">
      <c r="B253" s="70" t="n">
        <v>44524</v>
      </c>
      <c r="C253" s="137" t="n">
        <v>158.6127166748047</v>
      </c>
      <c r="D253" s="137" t="n">
        <v>4701.4599609375</v>
      </c>
      <c r="E253" s="71" t="n">
        <v>0.3283716608944331</v>
      </c>
      <c r="F253" s="71" t="n">
        <v>0.2293850635722183</v>
      </c>
    </row>
    <row r="254">
      <c r="B254" s="70" t="n">
        <v>44526</v>
      </c>
      <c r="C254" s="137" t="n">
        <v>153.5880889892578</v>
      </c>
      <c r="D254" s="137" t="n">
        <v>4594.6201171875</v>
      </c>
      <c r="E254" s="71" t="n">
        <v>-3.167859293305342</v>
      </c>
      <c r="F254" s="71" t="n">
        <v>-2.272482263758246</v>
      </c>
    </row>
    <row r="255">
      <c r="B255" s="70" t="n">
        <v>44529</v>
      </c>
      <c r="C255" s="137" t="n">
        <v>156.9476318359375</v>
      </c>
      <c r="D255" s="137" t="n">
        <v>4655.27001953125</v>
      </c>
      <c r="E255" s="71" t="n">
        <v>2.187371995307963</v>
      </c>
      <c r="F255" s="71" t="n">
        <v>1.3200199537035</v>
      </c>
    </row>
    <row r="256">
      <c r="B256" s="70" t="n">
        <v>44530</v>
      </c>
      <c r="C256" s="137" t="n">
        <v>161.9036560058594</v>
      </c>
      <c r="D256" s="137" t="n">
        <v>4567</v>
      </c>
      <c r="E256" s="71" t="n">
        <v>3.157756579024151</v>
      </c>
      <c r="F256" s="71" t="n">
        <v>-1.896131033450521</v>
      </c>
    </row>
    <row r="257">
      <c r="B257" s="70" t="n">
        <v>44531</v>
      </c>
      <c r="C257" s="137" t="n">
        <v>161.3845367431641</v>
      </c>
      <c r="D257" s="137" t="n">
        <v>4513.0400390625</v>
      </c>
      <c r="E257" s="71" t="n">
        <v>-0.320634675894238</v>
      </c>
      <c r="F257" s="71" t="n">
        <v>-1.181518741788923</v>
      </c>
    </row>
    <row r="258">
      <c r="B258" s="70" t="n">
        <v>44532</v>
      </c>
      <c r="C258" s="137" t="n">
        <v>160.3952941894531</v>
      </c>
      <c r="D258" s="137" t="n">
        <v>4577.10009765625</v>
      </c>
      <c r="E258" s="71" t="n">
        <v>-0.6129723291180778</v>
      </c>
      <c r="F258" s="71" t="n">
        <v>1.419443613158311</v>
      </c>
    </row>
    <row r="259">
      <c r="B259" s="70" t="n">
        <v>44533</v>
      </c>
      <c r="C259" s="137" t="n">
        <v>158.5147552490234</v>
      </c>
      <c r="D259" s="137" t="n">
        <v>4538.43017578125</v>
      </c>
      <c r="E259" s="71" t="n">
        <v>-1.1724402202277</v>
      </c>
      <c r="F259" s="71" t="n">
        <v>-0.8448563730297565</v>
      </c>
    </row>
    <row r="260">
      <c r="B260" s="70" t="n">
        <v>44536</v>
      </c>
      <c r="C260" s="137" t="n">
        <v>161.9232330322266</v>
      </c>
      <c r="D260" s="137" t="n">
        <v>4591.669921875</v>
      </c>
      <c r="E260" s="71" t="n">
        <v>2.150258995037113</v>
      </c>
      <c r="F260" s="71" t="n">
        <v>1.173087257745142</v>
      </c>
    </row>
    <row r="261">
      <c r="B261" s="70" t="n">
        <v>44537</v>
      </c>
      <c r="C261" s="137" t="n">
        <v>167.662841796875</v>
      </c>
      <c r="D261" s="137" t="n">
        <v>4686.75</v>
      </c>
      <c r="E261" s="71" t="n">
        <v>3.544648076231338</v>
      </c>
      <c r="F261" s="71" t="n">
        <v>2.070708037440427</v>
      </c>
    </row>
    <row r="262">
      <c r="B262" s="70" t="n">
        <v>44538</v>
      </c>
      <c r="C262" s="137" t="n">
        <v>171.4826965332031</v>
      </c>
      <c r="D262" s="137" t="n">
        <v>4701.2099609375</v>
      </c>
      <c r="E262" s="71" t="n">
        <v>2.278295354766735</v>
      </c>
      <c r="F262" s="71" t="n">
        <v>0.3085285312316666</v>
      </c>
    </row>
    <row r="263">
      <c r="B263" s="70" t="n">
        <v>44539</v>
      </c>
      <c r="C263" s="137" t="n">
        <v>170.973388671875</v>
      </c>
      <c r="D263" s="137" t="n">
        <v>4667.4501953125</v>
      </c>
      <c r="E263" s="71" t="n">
        <v>-0.297002479914632</v>
      </c>
      <c r="F263" s="71" t="n">
        <v>-0.7181080169894716</v>
      </c>
    </row>
    <row r="264">
      <c r="B264" s="70" t="n">
        <v>44540</v>
      </c>
      <c r="C264" s="137" t="n">
        <v>175.7629241943359</v>
      </c>
      <c r="D264" s="137" t="n">
        <v>4712.02001953125</v>
      </c>
      <c r="E264" s="71" t="n">
        <v>2.801333914982984</v>
      </c>
      <c r="F264" s="71" t="n">
        <v>0.9549073338481762</v>
      </c>
    </row>
    <row r="265">
      <c r="B265" s="70" t="n">
        <v>44543</v>
      </c>
      <c r="C265" s="137" t="n">
        <v>172.1291351318359</v>
      </c>
      <c r="D265" s="137" t="n">
        <v>4668.97021484375</v>
      </c>
      <c r="E265" s="71" t="n">
        <v>-2.067437759787283</v>
      </c>
      <c r="F265" s="71" t="n">
        <v>-0.9136167611567658</v>
      </c>
    </row>
    <row r="266">
      <c r="B266" s="70" t="n">
        <v>44544</v>
      </c>
      <c r="C266" s="137" t="n">
        <v>170.7481231689453</v>
      </c>
      <c r="D266" s="137" t="n">
        <v>4634.08984375</v>
      </c>
      <c r="E266" s="71" t="n">
        <v>-0.8023115679009596</v>
      </c>
      <c r="F266" s="71" t="n">
        <v>-0.7470677577436025</v>
      </c>
    </row>
    <row r="267">
      <c r="B267" s="70" t="n">
        <v>44545</v>
      </c>
      <c r="C267" s="137" t="n">
        <v>175.6159820556641</v>
      </c>
      <c r="D267" s="137" t="n">
        <v>4709.85009765625</v>
      </c>
      <c r="E267" s="71" t="n">
        <v>2.850900376751042</v>
      </c>
      <c r="F267" s="71" t="n">
        <v>1.63484646307468</v>
      </c>
    </row>
    <row r="268">
      <c r="B268" s="70" t="n">
        <v>44546</v>
      </c>
      <c r="C268" s="137" t="n">
        <v>168.7206420898438</v>
      </c>
      <c r="D268" s="137" t="n">
        <v>4668.669921875</v>
      </c>
      <c r="E268" s="71" t="n">
        <v>-3.926373832897911</v>
      </c>
      <c r="F268" s="71" t="n">
        <v>-0.8743415379980468</v>
      </c>
    </row>
    <row r="269">
      <c r="B269" s="70" t="n">
        <v>44547</v>
      </c>
      <c r="C269" s="137" t="n">
        <v>167.6236419677734</v>
      </c>
      <c r="D269" s="137" t="n">
        <v>4620.64013671875</v>
      </c>
      <c r="E269" s="71" t="n">
        <v>-0.6501872613110637</v>
      </c>
      <c r="F269" s="71" t="n">
        <v>-1.028768063709262</v>
      </c>
    </row>
    <row r="270">
      <c r="B270" s="70" t="n">
        <v>44550</v>
      </c>
      <c r="C270" s="137" t="n">
        <v>166.2622375488281</v>
      </c>
      <c r="D270" s="137" t="n">
        <v>4568.02001953125</v>
      </c>
      <c r="E270" s="71" t="n">
        <v>-0.812179238539068</v>
      </c>
      <c r="F270" s="71" t="n">
        <v>-1.138805785140995</v>
      </c>
    </row>
    <row r="271">
      <c r="B271" s="70" t="n">
        <v>44551</v>
      </c>
      <c r="C271" s="137" t="n">
        <v>169.4356536865234</v>
      </c>
      <c r="D271" s="137" t="n">
        <v>4649.22998046875</v>
      </c>
      <c r="E271" s="71" t="n">
        <v>1.90868124023853</v>
      </c>
      <c r="F271" s="71" t="n">
        <v>1.777793455157251</v>
      </c>
    </row>
    <row r="272">
      <c r="B272" s="70" t="n">
        <v>44552</v>
      </c>
      <c r="C272" s="137" t="n">
        <v>172.0311889648438</v>
      </c>
      <c r="D272" s="137" t="n">
        <v>4696.56005859375</v>
      </c>
      <c r="E272" s="71" t="n">
        <v>1.531870785072464</v>
      </c>
      <c r="F272" s="71" t="n">
        <v>1.018019722057883</v>
      </c>
    </row>
    <row r="273">
      <c r="B273" s="70" t="n">
        <v>44553</v>
      </c>
      <c r="C273" s="137" t="n">
        <v>172.6580657958984</v>
      </c>
      <c r="D273" s="137" t="n">
        <v>4725.7900390625</v>
      </c>
      <c r="E273" s="71" t="n">
        <v>0.3643971972911997</v>
      </c>
      <c r="F273" s="71" t="n">
        <v>0.6223699921661829</v>
      </c>
    </row>
    <row r="274">
      <c r="B274" s="70" t="n">
        <v>44557</v>
      </c>
      <c r="C274" s="137" t="n">
        <v>176.6248321533203</v>
      </c>
      <c r="D274" s="137" t="n">
        <v>4791.18994140625</v>
      </c>
      <c r="E274" s="71" t="n">
        <v>2.297469474789016</v>
      </c>
      <c r="F274" s="71" t="n">
        <v>1.383893524747526</v>
      </c>
    </row>
    <row r="275">
      <c r="B275" s="70" t="n">
        <v>44558</v>
      </c>
      <c r="C275" s="137" t="n">
        <v>175.6062164306641</v>
      </c>
      <c r="D275" s="137" t="n">
        <v>4786.35009765625</v>
      </c>
      <c r="E275" s="71" t="n">
        <v>-0.5767115021357849</v>
      </c>
      <c r="F275" s="71" t="n">
        <v>-0.1010154848626099</v>
      </c>
    </row>
    <row r="276">
      <c r="B276" s="70" t="n">
        <v>44559</v>
      </c>
      <c r="C276" s="137" t="n">
        <v>175.6943817138672</v>
      </c>
      <c r="D276" s="137" t="n">
        <v>4793.06005859375</v>
      </c>
      <c r="E276" s="71" t="n">
        <v>0.05020624269180818</v>
      </c>
      <c r="F276" s="71" t="n">
        <v>0.1401895139427012</v>
      </c>
    </row>
    <row r="277">
      <c r="B277" s="70" t="n">
        <v>44560</v>
      </c>
      <c r="C277" s="137" t="n">
        <v>174.5386199951172</v>
      </c>
      <c r="D277" s="137" t="n">
        <v>4778.72998046875</v>
      </c>
      <c r="E277" s="71" t="n">
        <v>-0.6578250866508983</v>
      </c>
      <c r="F277" s="71" t="n">
        <v>-0.2989755594509313</v>
      </c>
    </row>
    <row r="278">
      <c r="B278" s="70" t="n">
        <v>44561</v>
      </c>
      <c r="C278" s="137" t="n">
        <v>173.9215545654297</v>
      </c>
      <c r="D278" s="137" t="n">
        <v>4766.18017578125</v>
      </c>
      <c r="E278" s="71" t="n">
        <v>-0.353540912438044</v>
      </c>
      <c r="F278" s="71" t="n">
        <v>-0.2626179913657545</v>
      </c>
    </row>
    <row r="279">
      <c r="B279" s="70" t="n">
        <v>44564</v>
      </c>
      <c r="C279" s="137" t="n">
        <v>178.2703552246094</v>
      </c>
      <c r="D279" s="137" t="n">
        <v>4796.56005859375</v>
      </c>
      <c r="E279" s="71" t="n">
        <v>2.500438010714578</v>
      </c>
      <c r="F279" s="71" t="n">
        <v>0.6374052530970564</v>
      </c>
    </row>
    <row r="280">
      <c r="B280" s="70" t="n">
        <v>44565</v>
      </c>
      <c r="C280" s="137" t="n">
        <v>176.0077819824219</v>
      </c>
      <c r="D280" s="137" t="n">
        <v>4793.5400390625</v>
      </c>
      <c r="E280" s="71" t="n">
        <v>-1.269180868202568</v>
      </c>
      <c r="F280" s="71" t="n">
        <v>-0.06296219570605111</v>
      </c>
    </row>
    <row r="281">
      <c r="B281" s="70" t="n">
        <v>44566</v>
      </c>
      <c r="C281" s="137" t="n">
        <v>171.3259887695312</v>
      </c>
      <c r="D281" s="137" t="n">
        <v>4700.580078125</v>
      </c>
      <c r="E281" s="71" t="n">
        <v>-2.659992166345393</v>
      </c>
      <c r="F281" s="71" t="n">
        <v>-1.939275779068717</v>
      </c>
    </row>
    <row r="282">
      <c r="B282" s="70" t="n">
        <v>44567</v>
      </c>
      <c r="C282" s="137" t="n">
        <v>168.4659881591797</v>
      </c>
      <c r="D282" s="137" t="n">
        <v>4696.0498046875</v>
      </c>
      <c r="E282" s="71" t="n">
        <v>-1.669332616080099</v>
      </c>
      <c r="F282" s="71" t="n">
        <v>-0.09637690162076495</v>
      </c>
    </row>
    <row r="283">
      <c r="B283" s="70" t="n">
        <v>44568</v>
      </c>
      <c r="C283" s="137" t="n">
        <v>168.6324920654297</v>
      </c>
      <c r="D283" s="137" t="n">
        <v>4677.02978515625</v>
      </c>
      <c r="E283" s="71" t="n">
        <v>0.09883532460728262</v>
      </c>
      <c r="F283" s="71" t="n">
        <v>-0.4050216740091761</v>
      </c>
    </row>
    <row r="284">
      <c r="B284" s="70" t="n">
        <v>44571</v>
      </c>
      <c r="C284" s="137" t="n">
        <v>168.6520843505859</v>
      </c>
      <c r="D284" s="137" t="n">
        <v>4670.2900390625</v>
      </c>
      <c r="E284" s="71" t="n">
        <v>0.0116183334043507</v>
      </c>
      <c r="F284" s="71" t="n">
        <v>-0.1441031253454961</v>
      </c>
    </row>
    <row r="285">
      <c r="B285" s="70" t="n">
        <v>44572</v>
      </c>
      <c r="C285" s="137" t="n">
        <v>171.4826965332031</v>
      </c>
      <c r="D285" s="137" t="n">
        <v>4713.06982421875</v>
      </c>
      <c r="E285" s="71" t="n">
        <v>1.678373672947342</v>
      </c>
      <c r="F285" s="71" t="n">
        <v>0.9159984668711818</v>
      </c>
    </row>
    <row r="286">
      <c r="B286" s="70" t="n">
        <v>44573</v>
      </c>
      <c r="C286" s="137" t="n">
        <v>171.9234771728516</v>
      </c>
      <c r="D286" s="137" t="n">
        <v>4726.35009765625</v>
      </c>
      <c r="E286" s="71" t="n">
        <v>0.2570408843338701</v>
      </c>
      <c r="F286" s="71" t="n">
        <v>0.2817754443029452</v>
      </c>
    </row>
    <row r="287">
      <c r="B287" s="70" t="n">
        <v>44574</v>
      </c>
      <c r="C287" s="137" t="n">
        <v>168.6520843505859</v>
      </c>
      <c r="D287" s="137" t="n">
        <v>4659.02978515625</v>
      </c>
      <c r="E287" s="71" t="n">
        <v>-1.902819135618472</v>
      </c>
      <c r="F287" s="71" t="n">
        <v>-1.42436152864307</v>
      </c>
    </row>
    <row r="288">
      <c r="B288" s="70" t="n">
        <v>44575</v>
      </c>
      <c r="C288" s="137" t="n">
        <v>169.5140228271484</v>
      </c>
      <c r="D288" s="137" t="n">
        <v>4662.85009765625</v>
      </c>
      <c r="E288" s="71" t="n">
        <v>0.5110749030357242</v>
      </c>
      <c r="F288" s="71" t="n">
        <v>0.08199802697488323</v>
      </c>
    </row>
    <row r="289">
      <c r="B289" s="70" t="n">
        <v>44579</v>
      </c>
      <c r="C289" s="137" t="n">
        <v>166.3111724853516</v>
      </c>
      <c r="D289" s="137" t="n">
        <v>4577.10986328125</v>
      </c>
      <c r="E289" s="71" t="n">
        <v>-1.889430908652745</v>
      </c>
      <c r="F289" s="71" t="n">
        <v>-1.838794569400737</v>
      </c>
    </row>
    <row r="290">
      <c r="B290" s="70" t="n">
        <v>44580</v>
      </c>
      <c r="C290" s="137" t="n">
        <v>162.8145294189453</v>
      </c>
      <c r="D290" s="137" t="n">
        <v>4532.759765625</v>
      </c>
      <c r="E290" s="71" t="n">
        <v>-2.102470335668072</v>
      </c>
      <c r="F290" s="71" t="n">
        <v>-0.9689541868338813</v>
      </c>
    </row>
    <row r="291">
      <c r="B291" s="70" t="n">
        <v>44581</v>
      </c>
      <c r="C291" s="137" t="n">
        <v>161.1298675537109</v>
      </c>
      <c r="D291" s="137" t="n">
        <v>4482.72998046875</v>
      </c>
      <c r="E291" s="71" t="n">
        <v>-1.034712240514801</v>
      </c>
      <c r="F291" s="71" t="n">
        <v>-1.103737849414832</v>
      </c>
    </row>
    <row r="292">
      <c r="B292" s="70" t="n">
        <v>44582</v>
      </c>
      <c r="C292" s="137" t="n">
        <v>159.0730285644531</v>
      </c>
      <c r="D292" s="137" t="n">
        <v>4397.93994140625</v>
      </c>
      <c r="E292" s="71" t="n">
        <v>-1.276510072579928</v>
      </c>
      <c r="F292" s="71" t="n">
        <v>-1.89148218679086</v>
      </c>
    </row>
    <row r="293">
      <c r="B293" s="70" t="n">
        <v>44585</v>
      </c>
      <c r="C293" s="137" t="n">
        <v>158.2992553710938</v>
      </c>
      <c r="D293" s="137" t="n">
        <v>4410.1298828125</v>
      </c>
      <c r="E293" s="71" t="n">
        <v>-0.4864263919170719</v>
      </c>
      <c r="F293" s="71" t="n">
        <v>0.2771738943381896</v>
      </c>
    </row>
    <row r="294">
      <c r="B294" s="70" t="n">
        <v>44586</v>
      </c>
      <c r="C294" s="137" t="n">
        <v>156.4971008300781</v>
      </c>
      <c r="D294" s="137" t="n">
        <v>4356.4501953125</v>
      </c>
      <c r="E294" s="71" t="n">
        <v>-1.138447895279737</v>
      </c>
      <c r="F294" s="71" t="n">
        <v>-1.217190625364672</v>
      </c>
    </row>
    <row r="295">
      <c r="B295" s="70" t="n">
        <v>44587</v>
      </c>
      <c r="C295" s="137" t="n">
        <v>156.408935546875</v>
      </c>
      <c r="D295" s="137" t="n">
        <v>4349.93017578125</v>
      </c>
      <c r="E295" s="71" t="n">
        <v>-0.05633668785904877</v>
      </c>
      <c r="F295" s="71" t="n">
        <v>-0.1496635847751837</v>
      </c>
    </row>
    <row r="296">
      <c r="B296" s="70" t="n">
        <v>44588</v>
      </c>
      <c r="C296" s="137" t="n">
        <v>155.9485778808594</v>
      </c>
      <c r="D296" s="137" t="n">
        <v>4326.509765625</v>
      </c>
      <c r="E296" s="71" t="n">
        <v>-0.294329517943448</v>
      </c>
      <c r="F296" s="71" t="n">
        <v>-0.538408875771057</v>
      </c>
    </row>
    <row r="297">
      <c r="B297" s="70" t="n">
        <v>44589</v>
      </c>
      <c r="C297" s="137" t="n">
        <v>166.8302917480469</v>
      </c>
      <c r="D297" s="137" t="n">
        <v>4431.85009765625</v>
      </c>
      <c r="E297" s="71" t="n">
        <v>6.977757678239827</v>
      </c>
      <c r="F297" s="71" t="n">
        <v>2.434764688807611</v>
      </c>
    </row>
    <row r="298">
      <c r="B298" s="70" t="n">
        <v>44592</v>
      </c>
      <c r="C298" s="137" t="n">
        <v>171.1888580322266</v>
      </c>
      <c r="D298" s="137" t="n">
        <v>4515.5498046875</v>
      </c>
      <c r="E298" s="71" t="n">
        <v>2.612574873849738</v>
      </c>
      <c r="F298" s="71" t="n">
        <v>1.888595173277952</v>
      </c>
    </row>
    <row r="299">
      <c r="B299" s="70" t="n">
        <v>44593</v>
      </c>
      <c r="C299" s="137" t="n">
        <v>171.0223693847656</v>
      </c>
      <c r="D299" s="137" t="n">
        <v>4546.5400390625</v>
      </c>
      <c r="E299" s="71" t="n">
        <v>-0.09725437121009817</v>
      </c>
      <c r="F299" s="71" t="n">
        <v>0.686300355780145</v>
      </c>
    </row>
    <row r="300">
      <c r="B300" s="70" t="n">
        <v>44594</v>
      </c>
      <c r="C300" s="137" t="n">
        <v>172.2270812988281</v>
      </c>
      <c r="D300" s="137" t="n">
        <v>4589.3798828125</v>
      </c>
      <c r="E300" s="71" t="n">
        <v>0.7044177427761866</v>
      </c>
      <c r="F300" s="71" t="n">
        <v>0.942251544733641</v>
      </c>
    </row>
    <row r="301">
      <c r="B301" s="70" t="n">
        <v>44595</v>
      </c>
      <c r="C301" s="137" t="n">
        <v>169.3474426269531</v>
      </c>
      <c r="D301" s="137" t="n">
        <v>4477.43994140625</v>
      </c>
      <c r="E301" s="71" t="n">
        <v>-1.67200108726141</v>
      </c>
      <c r="F301" s="71" t="n">
        <v>-2.4391082077444</v>
      </c>
    </row>
    <row r="302">
      <c r="B302" s="70" t="n">
        <v>44596</v>
      </c>
      <c r="C302" s="137" t="n">
        <v>169.0631103515625</v>
      </c>
      <c r="D302" s="137" t="n">
        <v>4500.52978515625</v>
      </c>
      <c r="E302" s="71" t="n">
        <v>-0.1678987712952607</v>
      </c>
      <c r="F302" s="71" t="n">
        <v>0.5156929864423399</v>
      </c>
    </row>
    <row r="303">
      <c r="B303" s="70" t="n">
        <v>44599</v>
      </c>
      <c r="C303" s="137" t="n">
        <v>168.3472137451172</v>
      </c>
      <c r="D303" s="137" t="n">
        <v>4483.8701171875</v>
      </c>
      <c r="E303" s="71" t="n">
        <v>-0.4234493290444119</v>
      </c>
      <c r="F303" s="71" t="n">
        <v>-0.3701712634742949</v>
      </c>
    </row>
    <row r="304">
      <c r="B304" s="70" t="n">
        <v>44600</v>
      </c>
      <c r="C304" s="137" t="n">
        <v>171.4559936523438</v>
      </c>
      <c r="D304" s="137" t="n">
        <v>4521.5400390625</v>
      </c>
      <c r="E304" s="71" t="n">
        <v>1.846647674213009</v>
      </c>
      <c r="F304" s="71" t="n">
        <v>0.8401207191663262</v>
      </c>
    </row>
    <row r="305">
      <c r="B305" s="70" t="n">
        <v>44601</v>
      </c>
      <c r="C305" s="137" t="n">
        <v>172.8780364990234</v>
      </c>
      <c r="D305" s="137" t="n">
        <v>4587.18017578125</v>
      </c>
      <c r="E305" s="71" t="n">
        <v>0.8293923218356758</v>
      </c>
      <c r="F305" s="71" t="n">
        <v>1.451720788750555</v>
      </c>
    </row>
    <row r="306">
      <c r="B306" s="70" t="n">
        <v>44602</v>
      </c>
      <c r="C306" s="137" t="n">
        <v>168.79833984375</v>
      </c>
      <c r="D306" s="137" t="n">
        <v>4504.080078125</v>
      </c>
      <c r="E306" s="71" t="n">
        <v>-2.359869846911677</v>
      </c>
      <c r="F306" s="71" t="n">
        <v>-1.811572566845976</v>
      </c>
    </row>
    <row r="307">
      <c r="B307" s="70" t="n">
        <v>44603</v>
      </c>
      <c r="C307" s="137" t="n">
        <v>165.3854522705078</v>
      </c>
      <c r="D307" s="137" t="n">
        <v>4418.64013671875</v>
      </c>
      <c r="E307" s="71" t="n">
        <v>-2.021872712967065</v>
      </c>
      <c r="F307" s="71" t="n">
        <v>-1.896945434456343</v>
      </c>
    </row>
    <row r="308">
      <c r="B308" s="70" t="n">
        <v>44606</v>
      </c>
      <c r="C308" s="137" t="n">
        <v>165.6208801269531</v>
      </c>
      <c r="D308" s="137" t="n">
        <v>4401.669921875</v>
      </c>
      <c r="E308" s="71" t="n">
        <v>0.1423510068226719</v>
      </c>
      <c r="F308" s="71" t="n">
        <v>-0.3840596726293222</v>
      </c>
    </row>
    <row r="309">
      <c r="B309" s="70" t="n">
        <v>44607</v>
      </c>
      <c r="C309" s="137" t="n">
        <v>169.4553680419922</v>
      </c>
      <c r="D309" s="137" t="n">
        <v>4471.06982421875</v>
      </c>
      <c r="E309" s="71" t="n">
        <v>2.315220105158144</v>
      </c>
      <c r="F309" s="71" t="n">
        <v>1.576672117072042</v>
      </c>
    </row>
    <row r="310">
      <c r="B310" s="70" t="n">
        <v>44608</v>
      </c>
      <c r="C310" s="137" t="n">
        <v>169.2200012207031</v>
      </c>
      <c r="D310" s="137" t="n">
        <v>4475.009765625</v>
      </c>
      <c r="E310" s="71" t="n">
        <v>-0.1388960550549045</v>
      </c>
      <c r="F310" s="71" t="n">
        <v>0.08812077558950637</v>
      </c>
    </row>
    <row r="311">
      <c r="B311" s="70" t="n">
        <v>44609</v>
      </c>
      <c r="C311" s="137" t="n">
        <v>165.6208801269531</v>
      </c>
      <c r="D311" s="137" t="n">
        <v>4380.259765625</v>
      </c>
      <c r="E311" s="71" t="n">
        <v>-2.126888705700869</v>
      </c>
      <c r="F311" s="71" t="n">
        <v>-2.117313815219501</v>
      </c>
    </row>
    <row r="312">
      <c r="B312" s="70" t="n">
        <v>44610</v>
      </c>
      <c r="C312" s="137" t="n">
        <v>164.0713348388672</v>
      </c>
      <c r="D312" s="137" t="n">
        <v>4348.8701171875</v>
      </c>
      <c r="E312" s="71" t="n">
        <v>-0.9355977862804177</v>
      </c>
      <c r="F312" s="71" t="n">
        <v>-0.71661613961429</v>
      </c>
    </row>
    <row r="313">
      <c r="B313" s="70" t="n">
        <v>44614</v>
      </c>
      <c r="C313" s="137" t="n">
        <v>161.1488342285156</v>
      </c>
      <c r="D313" s="137" t="n">
        <v>4304.759765625</v>
      </c>
      <c r="E313" s="71" t="n">
        <v>-1.781237784907252</v>
      </c>
      <c r="F313" s="71" t="n">
        <v>-1.014294526483284</v>
      </c>
    </row>
    <row r="314">
      <c r="B314" s="70" t="n">
        <v>44615</v>
      </c>
      <c r="C314" s="137" t="n">
        <v>156.9808349609375</v>
      </c>
      <c r="D314" s="137" t="n">
        <v>4225.5</v>
      </c>
      <c r="E314" s="71" t="n">
        <v>-2.58642843277892</v>
      </c>
      <c r="F314" s="71" t="n">
        <v>-1.841212284548766</v>
      </c>
    </row>
    <row r="315">
      <c r="B315" s="70" t="n">
        <v>44616</v>
      </c>
      <c r="C315" s="137" t="n">
        <v>159.5993347167969</v>
      </c>
      <c r="D315" s="137" t="n">
        <v>4288.7001953125</v>
      </c>
      <c r="E315" s="71" t="n">
        <v>1.668037857303406</v>
      </c>
      <c r="F315" s="71" t="n">
        <v>1.495685606732922</v>
      </c>
    </row>
    <row r="316">
      <c r="B316" s="70" t="n">
        <v>44617</v>
      </c>
      <c r="C316" s="137" t="n">
        <v>161.6686401367188</v>
      </c>
      <c r="D316" s="137" t="n">
        <v>4384.64990234375</v>
      </c>
      <c r="E316" s="71" t="n">
        <v>1.296562685298031</v>
      </c>
      <c r="F316" s="71" t="n">
        <v>2.237267765560347</v>
      </c>
    </row>
    <row r="317">
      <c r="B317" s="70" t="n">
        <v>44620</v>
      </c>
      <c r="C317" s="137" t="n">
        <v>161.9333801269531</v>
      </c>
      <c r="D317" s="137" t="n">
        <v>4373.93994140625</v>
      </c>
      <c r="E317" s="71" t="n">
        <v>0.1637546960315817</v>
      </c>
      <c r="F317" s="71" t="n">
        <v>-0.2442603440647617</v>
      </c>
    </row>
    <row r="318">
      <c r="B318" s="70" t="n">
        <v>44621</v>
      </c>
      <c r="C318" s="137" t="n">
        <v>160.0504913330078</v>
      </c>
      <c r="D318" s="137" t="n">
        <v>4306.259765625</v>
      </c>
      <c r="E318" s="71" t="n">
        <v>-1.162755197519583</v>
      </c>
      <c r="F318" s="71" t="n">
        <v>-1.547350368041189</v>
      </c>
    </row>
    <row r="319">
      <c r="B319" s="70" t="n">
        <v>44622</v>
      </c>
      <c r="C319" s="137" t="n">
        <v>163.3456115722656</v>
      </c>
      <c r="D319" s="137" t="n">
        <v>4386.5400390625</v>
      </c>
      <c r="E319" s="71" t="n">
        <v>2.058800452165954</v>
      </c>
      <c r="F319" s="71" t="n">
        <v>1.864269175732103</v>
      </c>
    </row>
    <row r="320">
      <c r="B320" s="70" t="n">
        <v>44623</v>
      </c>
      <c r="C320" s="137" t="n">
        <v>163.02197265625</v>
      </c>
      <c r="D320" s="137" t="n">
        <v>4363.490234375</v>
      </c>
      <c r="E320" s="71" t="n">
        <v>-0.1981313810027974</v>
      </c>
      <c r="F320" s="71" t="n">
        <v>-0.5254666430088317</v>
      </c>
    </row>
    <row r="321">
      <c r="B321" s="70" t="n">
        <v>44624</v>
      </c>
      <c r="C321" s="137" t="n">
        <v>160.0210113525391</v>
      </c>
      <c r="D321" s="137" t="n">
        <v>4328.8701171875</v>
      </c>
      <c r="E321" s="71" t="n">
        <v>-1.840832407321413</v>
      </c>
      <c r="F321" s="71" t="n">
        <v>-0.7934042550334475</v>
      </c>
    </row>
    <row r="322">
      <c r="B322" s="70" t="n">
        <v>44627</v>
      </c>
      <c r="C322" s="137" t="n">
        <v>156.2257080078125</v>
      </c>
      <c r="D322" s="137" t="n">
        <v>4201.08984375</v>
      </c>
      <c r="E322" s="71" t="n">
        <v>-2.371753129571985</v>
      </c>
      <c r="F322" s="71" t="n">
        <v>-2.951815831344917</v>
      </c>
    </row>
    <row r="323">
      <c r="B323" s="70" t="n">
        <v>44628</v>
      </c>
      <c r="C323" s="137" t="n">
        <v>154.4016418457031</v>
      </c>
      <c r="D323" s="137" t="n">
        <v>4170.7001953125</v>
      </c>
      <c r="E323" s="71" t="n">
        <v>-1.167583866554267</v>
      </c>
      <c r="F323" s="71" t="n">
        <v>-0.723375351819977</v>
      </c>
    </row>
    <row r="324">
      <c r="B324" s="70" t="n">
        <v>44629</v>
      </c>
      <c r="C324" s="137" t="n">
        <v>159.8052978515625</v>
      </c>
      <c r="D324" s="137" t="n">
        <v>4277.8798828125</v>
      </c>
      <c r="E324" s="71" t="n">
        <v>3.499739990627426</v>
      </c>
      <c r="F324" s="71" t="n">
        <v>2.569824789143582</v>
      </c>
    </row>
    <row r="325">
      <c r="B325" s="70" t="n">
        <v>44630</v>
      </c>
      <c r="C325" s="137" t="n">
        <v>155.4608001708984</v>
      </c>
      <c r="D325" s="137" t="n">
        <v>4259.52001953125</v>
      </c>
      <c r="E325" s="71" t="n">
        <v>-2.718619306788905</v>
      </c>
      <c r="F325" s="71" t="n">
        <v>-0.4291813651667864</v>
      </c>
    </row>
    <row r="326">
      <c r="B326" s="70" t="n">
        <v>44631</v>
      </c>
      <c r="C326" s="137" t="n">
        <v>151.7439117431641</v>
      </c>
      <c r="D326" s="137" t="n">
        <v>4204.31005859375</v>
      </c>
      <c r="E326" s="71" t="n">
        <v>-2.390884662659865</v>
      </c>
      <c r="F326" s="71" t="n">
        <v>-1.296154512347514</v>
      </c>
    </row>
    <row r="327">
      <c r="B327" s="70" t="n">
        <v>44634</v>
      </c>
      <c r="C327" s="137" t="n">
        <v>147.7132415771484</v>
      </c>
      <c r="D327" s="137" t="n">
        <v>4173.10986328125</v>
      </c>
      <c r="E327" s="71" t="n">
        <v>-2.656231884174598</v>
      </c>
      <c r="F327" s="71" t="n">
        <v>-0.7421002465963666</v>
      </c>
    </row>
    <row r="328">
      <c r="B328" s="70" t="n">
        <v>44635</v>
      </c>
      <c r="C328" s="137" t="n">
        <v>152.0969696044922</v>
      </c>
      <c r="D328" s="137" t="n">
        <v>4262.4501953125</v>
      </c>
      <c r="E328" s="71" t="n">
        <v>2.967728539796632</v>
      </c>
      <c r="F328" s="71" t="n">
        <v>2.140857417087094</v>
      </c>
    </row>
    <row r="329">
      <c r="B329" s="70" t="n">
        <v>44636</v>
      </c>
      <c r="C329" s="137" t="n">
        <v>156.5101165771484</v>
      </c>
      <c r="D329" s="137" t="n">
        <v>4357.85986328125</v>
      </c>
      <c r="E329" s="71" t="n">
        <v>2.901535108905873</v>
      </c>
      <c r="F329" s="71" t="n">
        <v>2.238376135718223</v>
      </c>
    </row>
    <row r="330">
      <c r="B330" s="70" t="n">
        <v>44637</v>
      </c>
      <c r="C330" s="137" t="n">
        <v>157.5202331542969</v>
      </c>
      <c r="D330" s="137" t="n">
        <v>4411.669921875</v>
      </c>
      <c r="E330" s="71" t="n">
        <v>0.6454001819432342</v>
      </c>
      <c r="F330" s="71" t="n">
        <v>1.234781757145198</v>
      </c>
    </row>
    <row r="331">
      <c r="B331" s="70" t="n">
        <v>44638</v>
      </c>
      <c r="C331" s="137" t="n">
        <v>160.8153839111328</v>
      </c>
      <c r="D331" s="137" t="n">
        <v>4463.1201171875</v>
      </c>
      <c r="E331" s="71" t="n">
        <v>2.091890477084424</v>
      </c>
      <c r="F331" s="71" t="n">
        <v>1.166229482794878</v>
      </c>
    </row>
    <row r="332">
      <c r="B332" s="70" t="n">
        <v>44641</v>
      </c>
      <c r="C332" s="137" t="n">
        <v>162.1883850097656</v>
      </c>
      <c r="D332" s="137" t="n">
        <v>4461.18017578125</v>
      </c>
      <c r="E332" s="71" t="n">
        <v>0.8537747230647375</v>
      </c>
      <c r="F332" s="71" t="n">
        <v>-0.04346603621039336</v>
      </c>
    </row>
    <row r="333">
      <c r="B333" s="70" t="n">
        <v>44642</v>
      </c>
      <c r="C333" s="137" t="n">
        <v>165.56201171875</v>
      </c>
      <c r="D333" s="137" t="n">
        <v>4511.60986328125</v>
      </c>
      <c r="E333" s="71" t="n">
        <v>2.08006677468382</v>
      </c>
      <c r="F333" s="71" t="n">
        <v>1.13041136006502</v>
      </c>
    </row>
    <row r="334">
      <c r="B334" s="70" t="n">
        <v>44643</v>
      </c>
      <c r="C334" s="137" t="n">
        <v>166.9251556396484</v>
      </c>
      <c r="D334" s="137" t="n">
        <v>4456.240234375</v>
      </c>
      <c r="E334" s="71" t="n">
        <v>0.8233434148010144</v>
      </c>
      <c r="F334" s="71" t="n">
        <v>-1.227269878915904</v>
      </c>
    </row>
    <row r="335">
      <c r="B335" s="70" t="n">
        <v>44644</v>
      </c>
      <c r="C335" s="137" t="n">
        <v>170.7106781005859</v>
      </c>
      <c r="D335" s="137" t="n">
        <v>4520.16015625</v>
      </c>
      <c r="E335" s="71" t="n">
        <v>2.267796274582801</v>
      </c>
      <c r="F335" s="71" t="n">
        <v>1.434391292056647</v>
      </c>
    </row>
    <row r="336">
      <c r="B336" s="70" t="n">
        <v>44645</v>
      </c>
      <c r="C336" s="137" t="n">
        <v>171.3481140136719</v>
      </c>
      <c r="D336" s="137" t="n">
        <v>4543.06005859375</v>
      </c>
      <c r="E336" s="71" t="n">
        <v>0.3734013127816294</v>
      </c>
      <c r="F336" s="71" t="n">
        <v>0.5066170567449069</v>
      </c>
    </row>
    <row r="337">
      <c r="B337" s="70" t="n">
        <v>44648</v>
      </c>
      <c r="C337" s="137" t="n">
        <v>172.211181640625</v>
      </c>
      <c r="D337" s="137" t="n">
        <v>4575.52001953125</v>
      </c>
      <c r="E337" s="71" t="n">
        <v>0.503692516209564</v>
      </c>
      <c r="F337" s="71" t="n">
        <v>0.7144955276586762</v>
      </c>
    </row>
    <row r="338">
      <c r="B338" s="70" t="n">
        <v>44649</v>
      </c>
      <c r="C338" s="137" t="n">
        <v>175.5063323974609</v>
      </c>
      <c r="D338" s="137" t="n">
        <v>4631.60009765625</v>
      </c>
      <c r="E338" s="71" t="n">
        <v>1.91343600656102</v>
      </c>
      <c r="F338" s="71" t="n">
        <v>1.225654742753046</v>
      </c>
    </row>
    <row r="339">
      <c r="B339" s="70" t="n">
        <v>44650</v>
      </c>
      <c r="C339" s="137" t="n">
        <v>174.3392791748047</v>
      </c>
      <c r="D339" s="137" t="n">
        <v>4602.4501953125</v>
      </c>
      <c r="E339" s="71" t="n">
        <v>-0.6649635980160773</v>
      </c>
      <c r="F339" s="71" t="n">
        <v>-0.629370017469788</v>
      </c>
    </row>
    <row r="340">
      <c r="B340" s="70" t="n">
        <v>44651</v>
      </c>
      <c r="C340" s="137" t="n">
        <v>171.2402648925781</v>
      </c>
      <c r="D340" s="137" t="n">
        <v>4530.41015625</v>
      </c>
      <c r="E340" s="71" t="n">
        <v>-1.777576629257083</v>
      </c>
      <c r="F340" s="71" t="n">
        <v>-1.565254071317734</v>
      </c>
    </row>
    <row r="341">
      <c r="B341" s="70" t="n">
        <v>44652</v>
      </c>
      <c r="C341" s="137" t="n">
        <v>170.946044921875</v>
      </c>
      <c r="D341" s="137" t="n">
        <v>4545.85986328125</v>
      </c>
      <c r="E341" s="71" t="n">
        <v>-0.1718170495050741</v>
      </c>
      <c r="F341" s="71" t="n">
        <v>0.3410222584358413</v>
      </c>
    </row>
    <row r="342">
      <c r="B342" s="70" t="n">
        <v>44655</v>
      </c>
      <c r="C342" s="137" t="n">
        <v>174.9963226318359</v>
      </c>
      <c r="D342" s="137" t="n">
        <v>4582.64013671875</v>
      </c>
      <c r="E342" s="71" t="n">
        <v>2.369331043495015</v>
      </c>
      <c r="F342" s="71" t="n">
        <v>0.8090938687879357</v>
      </c>
    </row>
    <row r="343">
      <c r="B343" s="70" t="n">
        <v>44656</v>
      </c>
      <c r="C343" s="137" t="n">
        <v>171.6815948486328</v>
      </c>
      <c r="D343" s="137" t="n">
        <v>4525.1201171875</v>
      </c>
      <c r="E343" s="71" t="n">
        <v>-1.894169965032211</v>
      </c>
      <c r="F343" s="71" t="n">
        <v>-1.255172080180733</v>
      </c>
    </row>
    <row r="344">
      <c r="B344" s="70" t="n">
        <v>44657</v>
      </c>
      <c r="C344" s="137" t="n">
        <v>168.5139007568359</v>
      </c>
      <c r="D344" s="137" t="n">
        <v>4481.14990234375</v>
      </c>
      <c r="E344" s="71" t="n">
        <v>-1.845098243984611</v>
      </c>
      <c r="F344" s="71" t="n">
        <v>-0.9716916613271898</v>
      </c>
    </row>
    <row r="345">
      <c r="B345" s="70" t="n">
        <v>44658</v>
      </c>
      <c r="C345" s="137" t="n">
        <v>168.8179321289062</v>
      </c>
      <c r="D345" s="137" t="n">
        <v>4500.2099609375</v>
      </c>
      <c r="E345" s="71" t="n">
        <v>0.180419164653367</v>
      </c>
      <c r="F345" s="71" t="n">
        <v>0.4253385628492534</v>
      </c>
    </row>
    <row r="346">
      <c r="B346" s="70" t="n">
        <v>44659</v>
      </c>
      <c r="C346" s="137" t="n">
        <v>166.8074645996094</v>
      </c>
      <c r="D346" s="137" t="n">
        <v>4488.27978515625</v>
      </c>
      <c r="E346" s="71" t="n">
        <v>-1.190908752372133</v>
      </c>
      <c r="F346" s="71" t="n">
        <v>-0.2651026482054286</v>
      </c>
    </row>
    <row r="347">
      <c r="B347" s="70" t="n">
        <v>44662</v>
      </c>
      <c r="C347" s="137" t="n">
        <v>162.5512237548828</v>
      </c>
      <c r="D347" s="137" t="n">
        <v>4412.52978515625</v>
      </c>
      <c r="E347" s="71" t="n">
        <v>-2.551588956131501</v>
      </c>
      <c r="F347" s="71" t="n">
        <v>-1.687729010355421</v>
      </c>
    </row>
    <row r="348">
      <c r="B348" s="70" t="n">
        <v>44663</v>
      </c>
      <c r="C348" s="137" t="n">
        <v>164.4243774414062</v>
      </c>
      <c r="D348" s="137" t="n">
        <v>4397.4501953125</v>
      </c>
      <c r="E348" s="71" t="n">
        <v>1.152346714625763</v>
      </c>
      <c r="F348" s="71" t="n">
        <v>-0.3417447717741773</v>
      </c>
    </row>
    <row r="349">
      <c r="B349" s="70" t="n">
        <v>44664</v>
      </c>
      <c r="C349" s="137" t="n">
        <v>167.1114654541016</v>
      </c>
      <c r="D349" s="137" t="n">
        <v>4446.58984375</v>
      </c>
      <c r="E349" s="71" t="n">
        <v>1.634239432442408</v>
      </c>
      <c r="F349" s="71" t="n">
        <v>1.117457759723606</v>
      </c>
    </row>
    <row r="350">
      <c r="B350" s="70" t="n">
        <v>44665</v>
      </c>
      <c r="C350" s="137" t="n">
        <v>162.1001129150391</v>
      </c>
      <c r="D350" s="137" t="n">
        <v>4392.58984375</v>
      </c>
      <c r="E350" s="71" t="n">
        <v>-2.998808325595648</v>
      </c>
      <c r="F350" s="71" t="n">
        <v>-1.214413784439794</v>
      </c>
    </row>
    <row r="351">
      <c r="B351" s="70" t="n">
        <v>44669</v>
      </c>
      <c r="C351" s="137" t="n">
        <v>161.8843536376953</v>
      </c>
      <c r="D351" s="137" t="n">
        <v>4391.68994140625</v>
      </c>
      <c r="E351" s="71" t="n">
        <v>-0.1331024843004625</v>
      </c>
      <c r="F351" s="71" t="n">
        <v>-0.02048682840329885</v>
      </c>
    </row>
    <row r="352">
      <c r="B352" s="70" t="n">
        <v>44670</v>
      </c>
      <c r="C352" s="137" t="n">
        <v>164.1693725585938</v>
      </c>
      <c r="D352" s="137" t="n">
        <v>4462.2099609375</v>
      </c>
      <c r="E352" s="71" t="n">
        <v>1.411513138578213</v>
      </c>
      <c r="F352" s="71" t="n">
        <v>1.605760435552717</v>
      </c>
    </row>
    <row r="353">
      <c r="B353" s="70" t="n">
        <v>44671</v>
      </c>
      <c r="C353" s="137" t="n">
        <v>164.0026550292969</v>
      </c>
      <c r="D353" s="137" t="n">
        <v>4459.4501953125</v>
      </c>
      <c r="E353" s="71" t="n">
        <v>-0.1015521511099182</v>
      </c>
      <c r="F353" s="71" t="n">
        <v>-0.06184750715809706</v>
      </c>
    </row>
    <row r="354">
      <c r="B354" s="70" t="n">
        <v>44672</v>
      </c>
      <c r="C354" s="137" t="n">
        <v>163.2082977294922</v>
      </c>
      <c r="D354" s="137" t="n">
        <v>4393.66015625</v>
      </c>
      <c r="E354" s="71" t="n">
        <v>-0.4843563658544547</v>
      </c>
      <c r="F354" s="71" t="n">
        <v>-1.475294849837194</v>
      </c>
    </row>
    <row r="355">
      <c r="B355" s="70" t="n">
        <v>44673</v>
      </c>
      <c r="C355" s="137" t="n">
        <v>158.6676483154297</v>
      </c>
      <c r="D355" s="137" t="n">
        <v>4271.77978515625</v>
      </c>
      <c r="E355" s="71" t="n">
        <v>-2.782119216504753</v>
      </c>
      <c r="F355" s="71" t="n">
        <v>-2.774005425075365</v>
      </c>
    </row>
    <row r="356">
      <c r="B356" s="70" t="n">
        <v>44676</v>
      </c>
      <c r="C356" s="137" t="n">
        <v>159.7366485595703</v>
      </c>
      <c r="D356" s="137" t="n">
        <v>4296.1201171875</v>
      </c>
      <c r="E356" s="71" t="n">
        <v>0.6737354813600493</v>
      </c>
      <c r="F356" s="71" t="n">
        <v>0.5697936985382235</v>
      </c>
    </row>
    <row r="357">
      <c r="B357" s="70" t="n">
        <v>44677</v>
      </c>
      <c r="C357" s="137" t="n">
        <v>153.7739715576172</v>
      </c>
      <c r="D357" s="137" t="n">
        <v>4175.2001953125</v>
      </c>
      <c r="E357" s="71" t="n">
        <v>-3.732817143543288</v>
      </c>
      <c r="F357" s="71" t="n">
        <v>-2.814630843100385</v>
      </c>
    </row>
    <row r="358">
      <c r="B358" s="70" t="n">
        <v>44678</v>
      </c>
      <c r="C358" s="137" t="n">
        <v>153.5484161376953</v>
      </c>
      <c r="D358" s="137" t="n">
        <v>4183.9599609375</v>
      </c>
      <c r="E358" s="71" t="n">
        <v>-0.1466798429130556</v>
      </c>
      <c r="F358" s="71" t="n">
        <v>0.2098046851701785</v>
      </c>
    </row>
    <row r="359">
      <c r="B359" s="70" t="n">
        <v>44679</v>
      </c>
      <c r="C359" s="137" t="n">
        <v>160.4819793701172</v>
      </c>
      <c r="D359" s="137" t="n">
        <v>4287.5</v>
      </c>
      <c r="E359" s="71" t="n">
        <v>4.515555032625129</v>
      </c>
      <c r="F359" s="71" t="n">
        <v>2.474690007293945</v>
      </c>
    </row>
    <row r="360">
      <c r="B360" s="70" t="n">
        <v>44680</v>
      </c>
      <c r="C360" s="137" t="n">
        <v>154.6075897216797</v>
      </c>
      <c r="D360" s="137" t="n">
        <v>4131.93017578125</v>
      </c>
      <c r="E360" s="71" t="n">
        <v>-3.660466845869015</v>
      </c>
      <c r="F360" s="71" t="n">
        <v>-3.628450710641395</v>
      </c>
    </row>
    <row r="361">
      <c r="B361" s="70" t="n">
        <v>44683</v>
      </c>
      <c r="C361" s="137" t="n">
        <v>154.9115600585938</v>
      </c>
      <c r="D361" s="137" t="n">
        <v>4155.3798828125</v>
      </c>
      <c r="E361" s="71" t="n">
        <v>0.1966076422647234</v>
      </c>
      <c r="F361" s="71" t="n">
        <v>0.5675242812353654</v>
      </c>
    </row>
    <row r="362">
      <c r="B362" s="70" t="n">
        <v>44684</v>
      </c>
      <c r="C362" s="137" t="n">
        <v>156.4022369384766</v>
      </c>
      <c r="D362" s="137" t="n">
        <v>4175.47998046875</v>
      </c>
      <c r="E362" s="71" t="n">
        <v>0.9622760750191528</v>
      </c>
      <c r="F362" s="71" t="n">
        <v>0.4837126381486367</v>
      </c>
    </row>
    <row r="363">
      <c r="B363" s="70" t="n">
        <v>44685</v>
      </c>
      <c r="C363" s="137" t="n">
        <v>162.8160247802734</v>
      </c>
      <c r="D363" s="137" t="n">
        <v>4300.169921875</v>
      </c>
      <c r="E363" s="71" t="n">
        <v>4.100828714054638</v>
      </c>
      <c r="F363" s="71" t="n">
        <v>2.986242108440229</v>
      </c>
    </row>
    <row r="364">
      <c r="B364" s="70" t="n">
        <v>44686</v>
      </c>
      <c r="C364" s="137" t="n">
        <v>153.7445831298828</v>
      </c>
      <c r="D364" s="137" t="n">
        <v>4146.8701171875</v>
      </c>
      <c r="E364" s="71" t="n">
        <v>-5.571590181392072</v>
      </c>
      <c r="F364" s="71" t="n">
        <v>-3.564970860980698</v>
      </c>
    </row>
    <row r="365">
      <c r="B365" s="70" t="n">
        <v>44687</v>
      </c>
      <c r="C365" s="137" t="n">
        <v>154.4713134765625</v>
      </c>
      <c r="D365" s="137" t="n">
        <v>4123.33984375</v>
      </c>
      <c r="E365" s="71" t="n">
        <v>0.4726867977298044</v>
      </c>
      <c r="F365" s="71" t="n">
        <v>-0.5674224842484032</v>
      </c>
    </row>
    <row r="366">
      <c r="B366" s="70" t="n">
        <v>44690</v>
      </c>
      <c r="C366" s="137" t="n">
        <v>149.3445281982422</v>
      </c>
      <c r="D366" s="137" t="n">
        <v>3991.239990234375</v>
      </c>
      <c r="E366" s="71" t="n">
        <v>-3.318923859023304</v>
      </c>
      <c r="F366" s="71" t="n">
        <v>-3.203710063235676</v>
      </c>
    </row>
    <row r="367">
      <c r="B367" s="70" t="n">
        <v>44691</v>
      </c>
      <c r="C367" s="137" t="n">
        <v>151.7507629394531</v>
      </c>
      <c r="D367" s="137" t="n">
        <v>4001.050048828125</v>
      </c>
      <c r="E367" s="71" t="n">
        <v>1.611197122680541</v>
      </c>
      <c r="F367" s="71" t="n">
        <v>0.2457897449853474</v>
      </c>
    </row>
    <row r="368">
      <c r="B368" s="70" t="n">
        <v>44692</v>
      </c>
      <c r="C368" s="137" t="n">
        <v>143.8838195800781</v>
      </c>
      <c r="D368" s="137" t="n">
        <v>3935.179931640625</v>
      </c>
      <c r="E368" s="71" t="n">
        <v>-5.18412112531772</v>
      </c>
      <c r="F368" s="71" t="n">
        <v>-1.646320750393837</v>
      </c>
    </row>
    <row r="369">
      <c r="B369" s="70" t="n">
        <v>44693</v>
      </c>
      <c r="C369" s="137" t="n">
        <v>140.0142059326172</v>
      </c>
      <c r="D369" s="137" t="n">
        <v>3930.080078125</v>
      </c>
      <c r="E369" s="71" t="n">
        <v>-2.68940153156505</v>
      </c>
      <c r="F369" s="71" t="n">
        <v>-0.1295964505871772</v>
      </c>
    </row>
    <row r="370">
      <c r="B370" s="70" t="n">
        <v>44694</v>
      </c>
      <c r="C370" s="137" t="n">
        <v>144.4829406738281</v>
      </c>
      <c r="D370" s="137" t="n">
        <v>4023.889892578125</v>
      </c>
      <c r="E370" s="71" t="n">
        <v>3.191629528907591</v>
      </c>
      <c r="F370" s="71" t="n">
        <v>2.386969542307149</v>
      </c>
    </row>
    <row r="371">
      <c r="B371" s="70" t="n">
        <v>44697</v>
      </c>
      <c r="C371" s="137" t="n">
        <v>142.9409637451172</v>
      </c>
      <c r="D371" s="137" t="n">
        <v>4008.010009765625</v>
      </c>
      <c r="E371" s="71" t="n">
        <v>-1.067238056977216</v>
      </c>
      <c r="F371" s="71" t="n">
        <v>-0.3946400929555671</v>
      </c>
    </row>
    <row r="372">
      <c r="B372" s="70" t="n">
        <v>44698</v>
      </c>
      <c r="C372" s="137" t="n">
        <v>146.5749053955078</v>
      </c>
      <c r="D372" s="137" t="n">
        <v>4088.85009765625</v>
      </c>
      <c r="E372" s="71" t="n">
        <v>2.542267489444394</v>
      </c>
      <c r="F372" s="71" t="n">
        <v>2.016963223486368</v>
      </c>
    </row>
    <row r="373">
      <c r="B373" s="70" t="n">
        <v>44699</v>
      </c>
      <c r="C373" s="137" t="n">
        <v>138.3052825927734</v>
      </c>
      <c r="D373" s="137" t="n">
        <v>3923.679931640625</v>
      </c>
      <c r="E373" s="71" t="n">
        <v>-5.641909016021684</v>
      </c>
      <c r="F373" s="71" t="n">
        <v>-4.03952607874526</v>
      </c>
    </row>
    <row r="374">
      <c r="B374" s="70" t="n">
        <v>44700</v>
      </c>
      <c r="C374" s="137" t="n">
        <v>134.8972473144531</v>
      </c>
      <c r="D374" s="137" t="n">
        <v>3900.7900390625</v>
      </c>
      <c r="E374" s="71" t="n">
        <v>-2.464139629687856</v>
      </c>
      <c r="F374" s="71" t="n">
        <v>-0.5833781800992588</v>
      </c>
    </row>
    <row r="375">
      <c r="B375" s="70" t="n">
        <v>44701</v>
      </c>
      <c r="C375" s="137" t="n">
        <v>135.1329345703125</v>
      </c>
      <c r="D375" s="137" t="n">
        <v>3901.360107421875</v>
      </c>
      <c r="E375" s="71" t="n">
        <v>0.1747161343552017</v>
      </c>
      <c r="F375" s="71" t="n">
        <v>0.01461417696584366</v>
      </c>
    </row>
    <row r="376">
      <c r="B376" s="70" t="n">
        <v>44704</v>
      </c>
      <c r="C376" s="137" t="n">
        <v>140.5544281005859</v>
      </c>
      <c r="D376" s="137" t="n">
        <v>3973.75</v>
      </c>
      <c r="E376" s="71" t="n">
        <v>4.011970544051557</v>
      </c>
      <c r="F376" s="71" t="n">
        <v>1.855503993092356</v>
      </c>
    </row>
    <row r="377">
      <c r="B377" s="70" t="n">
        <v>44705</v>
      </c>
      <c r="C377" s="137" t="n">
        <v>137.8534851074219</v>
      </c>
      <c r="D377" s="137" t="n">
        <v>3941.47998046875</v>
      </c>
      <c r="E377" s="71" t="n">
        <v>-1.921634935066663</v>
      </c>
      <c r="F377" s="71" t="n">
        <v>-0.8120797617175213</v>
      </c>
    </row>
    <row r="378">
      <c r="B378" s="70" t="n">
        <v>44706</v>
      </c>
      <c r="C378" s="137" t="n">
        <v>138.0106506347656</v>
      </c>
      <c r="D378" s="137" t="n">
        <v>3978.72998046875</v>
      </c>
      <c r="E378" s="71" t="n">
        <v>0.1140091070031435</v>
      </c>
      <c r="F378" s="71" t="n">
        <v>0.9450764734207695</v>
      </c>
    </row>
    <row r="379">
      <c r="B379" s="70" t="n">
        <v>44707</v>
      </c>
      <c r="C379" s="137" t="n">
        <v>141.2124328613281</v>
      </c>
      <c r="D379" s="137" t="n">
        <v>4057.840087890625</v>
      </c>
      <c r="E379" s="71" t="n">
        <v>2.319952997711572</v>
      </c>
      <c r="F379" s="71" t="n">
        <v>1.988325616722419</v>
      </c>
    </row>
    <row r="380">
      <c r="B380" s="70" t="n">
        <v>44708</v>
      </c>
      <c r="C380" s="137" t="n">
        <v>146.9677581787109</v>
      </c>
      <c r="D380" s="137" t="n">
        <v>4158.240234375</v>
      </c>
      <c r="E380" s="71" t="n">
        <v>4.075650564730804</v>
      </c>
      <c r="F380" s="71" t="n">
        <v>2.474226295510973</v>
      </c>
    </row>
    <row r="381">
      <c r="B381" s="70" t="n">
        <v>44712</v>
      </c>
      <c r="C381" s="137" t="n">
        <v>146.1820373535156</v>
      </c>
      <c r="D381" s="137" t="n">
        <v>4132.14990234375</v>
      </c>
      <c r="E381" s="71" t="n">
        <v>-0.5346212223227176</v>
      </c>
      <c r="F381" s="71" t="n">
        <v>-0.6274368617659065</v>
      </c>
    </row>
    <row r="382">
      <c r="B382" s="70" t="n">
        <v>44713</v>
      </c>
      <c r="C382" s="137" t="n">
        <v>146.0543823242188</v>
      </c>
      <c r="D382" s="137" t="n">
        <v>4101.22998046875</v>
      </c>
      <c r="E382" s="71" t="n">
        <v>-0.08732607070461862</v>
      </c>
      <c r="F382" s="71" t="n">
        <v>-0.7482768681131846</v>
      </c>
    </row>
    <row r="383">
      <c r="B383" s="70" t="n">
        <v>44714</v>
      </c>
      <c r="C383" s="137" t="n">
        <v>148.5097198486328</v>
      </c>
      <c r="D383" s="137" t="n">
        <v>4176.81982421875</v>
      </c>
      <c r="E383" s="71" t="n">
        <v>1.681111847067718</v>
      </c>
      <c r="F383" s="71" t="n">
        <v>1.843101803848612</v>
      </c>
    </row>
    <row r="384">
      <c r="B384" s="70" t="n">
        <v>44715</v>
      </c>
      <c r="C384" s="137" t="n">
        <v>142.7838439941406</v>
      </c>
      <c r="D384" s="137" t="n">
        <v>4108.5400390625</v>
      </c>
      <c r="E384" s="71" t="n">
        <v>-3.855556296468854</v>
      </c>
      <c r="F384" s="71" t="n">
        <v>-1.634731399241562</v>
      </c>
    </row>
    <row r="385">
      <c r="B385" s="70" t="n">
        <v>44718</v>
      </c>
      <c r="C385" s="137" t="n">
        <v>143.5302581787109</v>
      </c>
      <c r="D385" s="137" t="n">
        <v>4121.43017578125</v>
      </c>
      <c r="E385" s="71" t="n">
        <v>0.5227581522465163</v>
      </c>
      <c r="F385" s="71" t="n">
        <v>0.3137400778913113</v>
      </c>
    </row>
    <row r="386">
      <c r="B386" s="70" t="n">
        <v>44719</v>
      </c>
      <c r="C386" s="137" t="n">
        <v>146.0543823242188</v>
      </c>
      <c r="D386" s="137" t="n">
        <v>4160.68017578125</v>
      </c>
      <c r="E386" s="71" t="n">
        <v>1.758600714258507</v>
      </c>
      <c r="F386" s="71" t="n">
        <v>0.9523393173235029</v>
      </c>
    </row>
    <row r="387">
      <c r="B387" s="70" t="n">
        <v>44720</v>
      </c>
      <c r="C387" s="137" t="n">
        <v>145.3177795410156</v>
      </c>
      <c r="D387" s="137" t="n">
        <v>4115.77001953125</v>
      </c>
      <c r="E387" s="71" t="n">
        <v>-0.5043345988537729</v>
      </c>
      <c r="F387" s="71" t="n">
        <v>-1.079394578593562</v>
      </c>
    </row>
    <row r="388">
      <c r="B388" s="70" t="n">
        <v>44721</v>
      </c>
      <c r="C388" s="137" t="n">
        <v>140.0927734375</v>
      </c>
      <c r="D388" s="137" t="n">
        <v>4017.820068359375</v>
      </c>
      <c r="E388" s="71" t="n">
        <v>-3.595572489490761</v>
      </c>
      <c r="F388" s="71" t="n">
        <v>-2.379869397635359</v>
      </c>
    </row>
    <row r="389">
      <c r="B389" s="70" t="n">
        <v>44722</v>
      </c>
      <c r="C389" s="137" t="n">
        <v>134.6811981201172</v>
      </c>
      <c r="D389" s="137" t="n">
        <v>3900.860107421875</v>
      </c>
      <c r="E389" s="71" t="n">
        <v>-3.862851155414593</v>
      </c>
      <c r="F389" s="71" t="n">
        <v>-2.911030333552467</v>
      </c>
    </row>
    <row r="390">
      <c r="B390" s="70" t="n">
        <v>44725</v>
      </c>
      <c r="C390" s="137" t="n">
        <v>129.52490234375</v>
      </c>
      <c r="D390" s="137" t="n">
        <v>3749.6298828125</v>
      </c>
      <c r="E390" s="71" t="n">
        <v>-3.828519383803286</v>
      </c>
      <c r="F390" s="71" t="n">
        <v>-3.876843066523727</v>
      </c>
    </row>
    <row r="391">
      <c r="B391" s="70" t="n">
        <v>44726</v>
      </c>
      <c r="C391" s="137" t="n">
        <v>130.3891754150391</v>
      </c>
      <c r="D391" s="137" t="n">
        <v>3735.47998046875</v>
      </c>
      <c r="E391" s="71" t="n">
        <v>0.6672640207790792</v>
      </c>
      <c r="F391" s="71" t="n">
        <v>-0.3773679745995739</v>
      </c>
    </row>
    <row r="392">
      <c r="B392" s="70" t="n">
        <v>44727</v>
      </c>
      <c r="C392" s="137" t="n">
        <v>133.0115051269531</v>
      </c>
      <c r="D392" s="137" t="n">
        <v>3789.989990234375</v>
      </c>
      <c r="E392" s="71" t="n">
        <v>2.011155990186242</v>
      </c>
      <c r="F392" s="71" t="n">
        <v>1.459250485898322</v>
      </c>
    </row>
    <row r="393">
      <c r="B393" s="70" t="n">
        <v>44728</v>
      </c>
      <c r="C393" s="137" t="n">
        <v>127.7373962402344</v>
      </c>
      <c r="D393" s="137" t="n">
        <v>3666.77001953125</v>
      </c>
      <c r="E393" s="71" t="n">
        <v>-3.965152399173899</v>
      </c>
      <c r="F393" s="71" t="n">
        <v>-3.251195148816344</v>
      </c>
    </row>
    <row r="394">
      <c r="B394" s="70" t="n">
        <v>44729</v>
      </c>
      <c r="C394" s="137" t="n">
        <v>129.2106170654297</v>
      </c>
      <c r="D394" s="137" t="n">
        <v>3674.840087890625</v>
      </c>
      <c r="E394" s="71" t="n">
        <v>1.153319911441297</v>
      </c>
      <c r="F394" s="71" t="n">
        <v>0.2200865698254617</v>
      </c>
    </row>
    <row r="395">
      <c r="B395" s="70" t="n">
        <v>44733</v>
      </c>
      <c r="C395" s="137" t="n">
        <v>133.4436645507812</v>
      </c>
      <c r="D395" s="137" t="n">
        <v>3764.7900390625</v>
      </c>
      <c r="E395" s="71" t="n">
        <v>3.276083329288615</v>
      </c>
      <c r="F395" s="71" t="n">
        <v>2.447724228008696</v>
      </c>
    </row>
    <row r="396">
      <c r="B396" s="70" t="n">
        <v>44734</v>
      </c>
      <c r="C396" s="137" t="n">
        <v>132.9329376220703</v>
      </c>
      <c r="D396" s="137" t="n">
        <v>3759.889892578125</v>
      </c>
      <c r="E396" s="71" t="n">
        <v>-0.3827284947773069</v>
      </c>
      <c r="F396" s="71" t="n">
        <v>-0.1301572314400645</v>
      </c>
    </row>
    <row r="397">
      <c r="B397" s="70" t="n">
        <v>44735</v>
      </c>
      <c r="C397" s="137" t="n">
        <v>135.8008575439453</v>
      </c>
      <c r="D397" s="137" t="n">
        <v>3795.72998046875</v>
      </c>
      <c r="E397" s="71" t="n">
        <v>2.157418600067751</v>
      </c>
      <c r="F397" s="71" t="n">
        <v>0.9532217409177868</v>
      </c>
    </row>
    <row r="398">
      <c r="B398" s="70" t="n">
        <v>44736</v>
      </c>
      <c r="C398" s="137" t="n">
        <v>139.1302795410156</v>
      </c>
      <c r="D398" s="137" t="n">
        <v>3911.739990234375</v>
      </c>
      <c r="E398" s="71" t="n">
        <v>2.451694383441483</v>
      </c>
      <c r="F398" s="71" t="n">
        <v>3.056329358583576</v>
      </c>
    </row>
    <row r="399">
      <c r="B399" s="70" t="n">
        <v>44739</v>
      </c>
      <c r="C399" s="137" t="n">
        <v>139.1302795410156</v>
      </c>
      <c r="D399" s="137" t="n">
        <v>3900.110107421875</v>
      </c>
      <c r="E399" s="71" t="n">
        <v>0</v>
      </c>
      <c r="F399" s="71" t="n">
        <v>-0.2973071533776239</v>
      </c>
    </row>
    <row r="400">
      <c r="B400" s="70" t="n">
        <v>44740</v>
      </c>
      <c r="C400" s="137" t="n">
        <v>134.9856262207031</v>
      </c>
      <c r="D400" s="137" t="n">
        <v>3821.550048828125</v>
      </c>
      <c r="E400" s="71" t="n">
        <v>-2.978972897909438</v>
      </c>
      <c r="F400" s="71" t="n">
        <v>-2.014303607589207</v>
      </c>
    </row>
    <row r="401">
      <c r="B401" s="70" t="n">
        <v>44741</v>
      </c>
      <c r="C401" s="137" t="n">
        <v>136.7436676025391</v>
      </c>
      <c r="D401" s="137" t="n">
        <v>3818.830078125</v>
      </c>
      <c r="E401" s="71" t="n">
        <v>1.302391544238635</v>
      </c>
      <c r="F401" s="71" t="n">
        <v>-0.07117454091590814</v>
      </c>
    </row>
    <row r="402">
      <c r="B402" s="70" t="n">
        <v>44742</v>
      </c>
      <c r="C402" s="137" t="n">
        <v>134.2784881591797</v>
      </c>
      <c r="D402" s="137" t="n">
        <v>3785.3798828125</v>
      </c>
      <c r="E402" s="71" t="n">
        <v>-1.802774114940897</v>
      </c>
      <c r="F402" s="71" t="n">
        <v>-0.8759278267998716</v>
      </c>
    </row>
    <row r="403">
      <c r="B403" s="70" t="n">
        <v>44743</v>
      </c>
      <c r="C403" s="137" t="n">
        <v>136.4489898681641</v>
      </c>
      <c r="D403" s="137" t="n">
        <v>3825.330078125</v>
      </c>
      <c r="E403" s="71" t="n">
        <v>1.616418041891721</v>
      </c>
      <c r="F403" s="71" t="n">
        <v>1.055381402904731</v>
      </c>
    </row>
    <row r="404">
      <c r="B404" s="70" t="n">
        <v>44747</v>
      </c>
      <c r="C404" s="137" t="n">
        <v>139.0320434570312</v>
      </c>
      <c r="D404" s="137" t="n">
        <v>3831.389892578125</v>
      </c>
      <c r="E404" s="71" t="n">
        <v>1.893054387110404</v>
      </c>
      <c r="F404" s="71" t="n">
        <v>0.1584128514236616</v>
      </c>
    </row>
    <row r="405">
      <c r="B405" s="70" t="n">
        <v>44748</v>
      </c>
      <c r="C405" s="137" t="n">
        <v>140.3677520751953</v>
      </c>
      <c r="D405" s="137" t="n">
        <v>3845.080078125</v>
      </c>
      <c r="E405" s="71" t="n">
        <v>0.9607199786119347</v>
      </c>
      <c r="F405" s="71" t="n">
        <v>0.3573164290430197</v>
      </c>
    </row>
    <row r="406">
      <c r="B406" s="70" t="n">
        <v>44749</v>
      </c>
      <c r="C406" s="137" t="n">
        <v>143.7365264892578</v>
      </c>
      <c r="D406" s="137" t="n">
        <v>3902.6201171875</v>
      </c>
      <c r="E406" s="71" t="n">
        <v>2.399963213956613</v>
      </c>
      <c r="F406" s="71" t="n">
        <v>1.49645879652418</v>
      </c>
    </row>
    <row r="407">
      <c r="B407" s="70" t="n">
        <v>44750</v>
      </c>
      <c r="C407" s="137" t="n">
        <v>144.4141845703125</v>
      </c>
      <c r="D407" s="137" t="n">
        <v>3899.3798828125</v>
      </c>
      <c r="E407" s="71" t="n">
        <v>0.4714585064815369</v>
      </c>
      <c r="F407" s="71" t="n">
        <v>-0.0830271529819071</v>
      </c>
    </row>
    <row r="408">
      <c r="B408" s="70" t="n">
        <v>44753</v>
      </c>
      <c r="C408" s="137" t="n">
        <v>142.282958984375</v>
      </c>
      <c r="D408" s="137" t="n">
        <v>3854.429931640625</v>
      </c>
      <c r="E408" s="71" t="n">
        <v>-1.475773028998995</v>
      </c>
      <c r="F408" s="71" t="n">
        <v>-1.152746142277727</v>
      </c>
    </row>
    <row r="409">
      <c r="B409" s="70" t="n">
        <v>44754</v>
      </c>
      <c r="C409" s="137" t="n">
        <v>143.2552947998047</v>
      </c>
      <c r="D409" s="137" t="n">
        <v>3818.800048828125</v>
      </c>
      <c r="E409" s="71" t="n">
        <v>0.6833817783733709</v>
      </c>
      <c r="F409" s="71" t="n">
        <v>-0.9243878717321574</v>
      </c>
    </row>
    <row r="410">
      <c r="B410" s="70" t="n">
        <v>44755</v>
      </c>
      <c r="C410" s="137" t="n">
        <v>142.8918762207031</v>
      </c>
      <c r="D410" s="137" t="n">
        <v>3801.780029296875</v>
      </c>
      <c r="E410" s="71" t="n">
        <v>-0.2536859664485358</v>
      </c>
      <c r="F410" s="71" t="n">
        <v>-0.4456902512210092</v>
      </c>
    </row>
    <row r="411">
      <c r="B411" s="70" t="n">
        <v>44756</v>
      </c>
      <c r="C411" s="137" t="n">
        <v>145.8186492919922</v>
      </c>
      <c r="D411" s="137" t="n">
        <v>3790.3798828125</v>
      </c>
      <c r="E411" s="71" t="n">
        <v>2.048243153283646</v>
      </c>
      <c r="F411" s="71" t="n">
        <v>-0.299863390215227</v>
      </c>
    </row>
    <row r="412">
      <c r="B412" s="70" t="n">
        <v>44757</v>
      </c>
      <c r="C412" s="137" t="n">
        <v>147.48828125</v>
      </c>
      <c r="D412" s="137" t="n">
        <v>3863.159912109375</v>
      </c>
      <c r="E412" s="71" t="n">
        <v>1.145005776774477</v>
      </c>
      <c r="F412" s="71" t="n">
        <v>1.920124935943668</v>
      </c>
    </row>
    <row r="413">
      <c r="B413" s="70" t="n">
        <v>44760</v>
      </c>
      <c r="C413" s="137" t="n">
        <v>144.4436645507812</v>
      </c>
      <c r="D413" s="137" t="n">
        <v>3830.85009765625</v>
      </c>
      <c r="E413" s="71" t="n">
        <v>-2.064310922477985</v>
      </c>
      <c r="F413" s="71" t="n">
        <v>-0.8363571580831342</v>
      </c>
    </row>
    <row r="414">
      <c r="B414" s="70" t="n">
        <v>44761</v>
      </c>
      <c r="C414" s="137" t="n">
        <v>148.303466796875</v>
      </c>
      <c r="D414" s="137" t="n">
        <v>3936.68994140625</v>
      </c>
      <c r="E414" s="71" t="n">
        <v>2.672185213590206</v>
      </c>
      <c r="F414" s="71" t="n">
        <v>2.762829164595959</v>
      </c>
    </row>
    <row r="415">
      <c r="B415" s="70" t="n">
        <v>44762</v>
      </c>
      <c r="C415" s="137" t="n">
        <v>150.3070373535156</v>
      </c>
      <c r="D415" s="137" t="n">
        <v>3959.89990234375</v>
      </c>
      <c r="E415" s="71" t="n">
        <v>1.350993742705153</v>
      </c>
      <c r="F415" s="71" t="n">
        <v>0.5895806193263242</v>
      </c>
    </row>
    <row r="416">
      <c r="B416" s="70" t="n">
        <v>44763</v>
      </c>
      <c r="C416" s="137" t="n">
        <v>152.5758361816406</v>
      </c>
      <c r="D416" s="137" t="n">
        <v>3998.949951171875</v>
      </c>
      <c r="E416" s="71" t="n">
        <v>1.5094428498307</v>
      </c>
      <c r="F416" s="71" t="n">
        <v>0.986137270919718</v>
      </c>
    </row>
    <row r="417">
      <c r="B417" s="70" t="n">
        <v>44764</v>
      </c>
      <c r="C417" s="137" t="n">
        <v>151.3382873535156</v>
      </c>
      <c r="D417" s="137" t="n">
        <v>3961.6298828125</v>
      </c>
      <c r="E417" s="71" t="n">
        <v>-0.8111040772221023</v>
      </c>
      <c r="F417" s="71" t="n">
        <v>-0.9332466976346709</v>
      </c>
    </row>
    <row r="418">
      <c r="B418" s="70" t="n">
        <v>44767</v>
      </c>
      <c r="C418" s="137" t="n">
        <v>150.2186889648438</v>
      </c>
      <c r="D418" s="137" t="n">
        <v>3966.840087890625</v>
      </c>
      <c r="E418" s="71" t="n">
        <v>-0.7397985058840262</v>
      </c>
      <c r="F418" s="71" t="n">
        <v>0.131516704796919</v>
      </c>
    </row>
    <row r="419">
      <c r="B419" s="70" t="n">
        <v>44768</v>
      </c>
      <c r="C419" s="137" t="n">
        <v>148.8927459716797</v>
      </c>
      <c r="D419" s="137" t="n">
        <v>3921.050048828125</v>
      </c>
      <c r="E419" s="71" t="n">
        <v>-0.8826751200540883</v>
      </c>
      <c r="F419" s="71" t="n">
        <v>-1.154320266205866</v>
      </c>
    </row>
    <row r="420">
      <c r="B420" s="70" t="n">
        <v>44769</v>
      </c>
      <c r="C420" s="137" t="n">
        <v>153.9900817871094</v>
      </c>
      <c r="D420" s="137" t="n">
        <v>4023.610107421875</v>
      </c>
      <c r="E420" s="71" t="n">
        <v>3.423495068322047</v>
      </c>
      <c r="F420" s="71" t="n">
        <v>2.615627378293772</v>
      </c>
    </row>
    <row r="421">
      <c r="B421" s="70" t="n">
        <v>44770</v>
      </c>
      <c r="C421" s="137" t="n">
        <v>154.5401000976562</v>
      </c>
      <c r="D421" s="137" t="n">
        <v>4072.429931640625</v>
      </c>
      <c r="E421" s="71" t="n">
        <v>0.3571777507769491</v>
      </c>
      <c r="F421" s="71" t="n">
        <v>1.213333869718092</v>
      </c>
    </row>
    <row r="422">
      <c r="B422" s="70" t="n">
        <v>44771</v>
      </c>
      <c r="C422" s="137" t="n">
        <v>159.6078948974609</v>
      </c>
      <c r="D422" s="137" t="n">
        <v>4130.2900390625</v>
      </c>
      <c r="E422" s="71" t="n">
        <v>3.279274956210276</v>
      </c>
      <c r="F422" s="71" t="n">
        <v>1.420776008258184</v>
      </c>
    </row>
    <row r="423">
      <c r="B423" s="70" t="n">
        <v>44774</v>
      </c>
      <c r="C423" s="137" t="n">
        <v>158.6257629394531</v>
      </c>
      <c r="D423" s="137" t="n">
        <v>4118.6298828125</v>
      </c>
      <c r="E423" s="71" t="n">
        <v>-0.615340462098557</v>
      </c>
      <c r="F423" s="71" t="n">
        <v>-0.2823084127197673</v>
      </c>
    </row>
    <row r="424">
      <c r="B424" s="70" t="n">
        <v>44775</v>
      </c>
      <c r="C424" s="137" t="n">
        <v>157.1525268554688</v>
      </c>
      <c r="D424" s="137" t="n">
        <v>4091.18994140625</v>
      </c>
      <c r="E424" s="71" t="n">
        <v>-0.9287495654451861</v>
      </c>
      <c r="F424" s="71" t="n">
        <v>-0.6662395550704803</v>
      </c>
    </row>
    <row r="425">
      <c r="B425" s="70" t="n">
        <v>44776</v>
      </c>
      <c r="C425" s="137" t="n">
        <v>163.1632843017578</v>
      </c>
      <c r="D425" s="137" t="n">
        <v>4155.169921875</v>
      </c>
      <c r="E425" s="71" t="n">
        <v>3.824792109017139</v>
      </c>
      <c r="F425" s="71" t="n">
        <v>1.563847716314015</v>
      </c>
    </row>
    <row r="426">
      <c r="B426" s="70" t="n">
        <v>44777</v>
      </c>
      <c r="C426" s="137" t="n">
        <v>162.8489990234375</v>
      </c>
      <c r="D426" s="137" t="n">
        <v>4151.93994140625</v>
      </c>
      <c r="E426" s="71" t="n">
        <v>-0.1926200981214987</v>
      </c>
      <c r="F426" s="71" t="n">
        <v>-0.07773401640558397</v>
      </c>
    </row>
    <row r="427">
      <c r="B427" s="70" t="n">
        <v>44778</v>
      </c>
      <c r="C427" s="137" t="n">
        <v>162.6228179931641</v>
      </c>
      <c r="D427" s="137" t="n">
        <v>4145.18994140625</v>
      </c>
      <c r="E427" s="71" t="n">
        <v>-0.1388900340989263</v>
      </c>
      <c r="F427" s="71" t="n">
        <v>-0.1625746059735533</v>
      </c>
    </row>
    <row r="428">
      <c r="B428" s="70" t="n">
        <v>44781</v>
      </c>
      <c r="C428" s="137" t="n">
        <v>162.1507415771484</v>
      </c>
      <c r="D428" s="137" t="n">
        <v>4140.06005859375</v>
      </c>
      <c r="E428" s="71" t="n">
        <v>-0.2902891622721282</v>
      </c>
      <c r="F428" s="71" t="n">
        <v>-0.1237550723854119</v>
      </c>
    </row>
    <row r="429">
      <c r="B429" s="70" t="n">
        <v>44782</v>
      </c>
      <c r="C429" s="137" t="n">
        <v>162.1998596191406</v>
      </c>
      <c r="D429" s="137" t="n">
        <v>4122.47021484375</v>
      </c>
      <c r="E429" s="71" t="n">
        <v>0.03029159257270653</v>
      </c>
      <c r="F429" s="71" t="n">
        <v>-0.4248692893594086</v>
      </c>
    </row>
    <row r="430">
      <c r="B430" s="70" t="n">
        <v>44783</v>
      </c>
      <c r="C430" s="137" t="n">
        <v>166.4486389160156</v>
      </c>
      <c r="D430" s="137" t="n">
        <v>4210.240234375</v>
      </c>
      <c r="E430" s="71" t="n">
        <v>2.619471623989988</v>
      </c>
      <c r="F430" s="71" t="n">
        <v>2.129063764129024</v>
      </c>
    </row>
    <row r="431">
      <c r="B431" s="70" t="n">
        <v>44784</v>
      </c>
      <c r="C431" s="137" t="n">
        <v>165.7110137939453</v>
      </c>
      <c r="D431" s="137" t="n">
        <v>4207.27001953125</v>
      </c>
      <c r="E431" s="71" t="n">
        <v>-0.4431547934990676</v>
      </c>
      <c r="F431" s="71" t="n">
        <v>-0.07054739583503</v>
      </c>
    </row>
    <row r="432">
      <c r="B432" s="70" t="n">
        <v>44785</v>
      </c>
      <c r="C432" s="137" t="n">
        <v>169.2614593505859</v>
      </c>
      <c r="D432" s="137" t="n">
        <v>4280.14990234375</v>
      </c>
      <c r="E432" s="71" t="n">
        <v>2.142552552997734</v>
      </c>
      <c r="F432" s="71" t="n">
        <v>1.732236877456694</v>
      </c>
    </row>
    <row r="433">
      <c r="B433" s="70" t="n">
        <v>44788</v>
      </c>
      <c r="C433" s="137" t="n">
        <v>170.3334808349609</v>
      </c>
      <c r="D433" s="137" t="n">
        <v>4297.14013671875</v>
      </c>
      <c r="E433" s="71" t="n">
        <v>0.6333523818641718</v>
      </c>
      <c r="F433" s="71" t="n">
        <v>0.396954189985177</v>
      </c>
    </row>
    <row r="434">
      <c r="B434" s="70" t="n">
        <v>44789</v>
      </c>
      <c r="C434" s="137" t="n">
        <v>170.1761474609375</v>
      </c>
      <c r="D434" s="137" t="n">
        <v>4305.2001953125</v>
      </c>
      <c r="E434" s="71" t="n">
        <v>-0.09236784996828895</v>
      </c>
      <c r="F434" s="71" t="n">
        <v>0.1875679716581091</v>
      </c>
    </row>
    <row r="435">
      <c r="B435" s="70" t="n">
        <v>44790</v>
      </c>
      <c r="C435" s="137" t="n">
        <v>171.6710510253906</v>
      </c>
      <c r="D435" s="137" t="n">
        <v>4274.0400390625</v>
      </c>
      <c r="E435" s="71" t="n">
        <v>0.8784448271731193</v>
      </c>
      <c r="F435" s="71" t="n">
        <v>-0.7237794954094601</v>
      </c>
    </row>
    <row r="436">
      <c r="B436" s="70" t="n">
        <v>44791</v>
      </c>
      <c r="C436" s="137" t="n">
        <v>171.2776641845703</v>
      </c>
      <c r="D436" s="137" t="n">
        <v>4283.740234375</v>
      </c>
      <c r="E436" s="71" t="n">
        <v>-0.2291515304826186</v>
      </c>
      <c r="F436" s="71" t="n">
        <v>0.2269561170191503</v>
      </c>
    </row>
    <row r="437">
      <c r="B437" s="70" t="n">
        <v>44792</v>
      </c>
      <c r="C437" s="137" t="n">
        <v>168.6910400390625</v>
      </c>
      <c r="D437" s="137" t="n">
        <v>4228.47998046875</v>
      </c>
      <c r="E437" s="71" t="n">
        <v>-1.510193496520618</v>
      </c>
      <c r="F437" s="71" t="n">
        <v>-1.290000113984791</v>
      </c>
    </row>
    <row r="438">
      <c r="B438" s="70" t="n">
        <v>44795</v>
      </c>
      <c r="C438" s="137" t="n">
        <v>164.8061981201172</v>
      </c>
      <c r="D438" s="137" t="n">
        <v>4137.990234375</v>
      </c>
      <c r="E438" s="71" t="n">
        <v>-2.302933171818566</v>
      </c>
      <c r="F438" s="71" t="n">
        <v>-2.14000649197158</v>
      </c>
    </row>
    <row r="439">
      <c r="B439" s="70" t="n">
        <v>44796</v>
      </c>
      <c r="C439" s="137" t="n">
        <v>164.4717712402344</v>
      </c>
      <c r="D439" s="137" t="n">
        <v>4128.72998046875</v>
      </c>
      <c r="E439" s="71" t="n">
        <v>-0.2029213001073171</v>
      </c>
      <c r="F439" s="71" t="n">
        <v>-0.2237862677713309</v>
      </c>
    </row>
    <row r="440">
      <c r="B440" s="70" t="n">
        <v>44797</v>
      </c>
      <c r="C440" s="137" t="n">
        <v>164.7668304443359</v>
      </c>
      <c r="D440" s="137" t="n">
        <v>4140.77001953125</v>
      </c>
      <c r="E440" s="71" t="n">
        <v>0.1793980826475972</v>
      </c>
      <c r="F440" s="71" t="n">
        <v>0.2916160446301053</v>
      </c>
    </row>
    <row r="441">
      <c r="B441" s="70" t="n">
        <v>44798</v>
      </c>
      <c r="C441" s="137" t="n">
        <v>167.2255859375</v>
      </c>
      <c r="D441" s="137" t="n">
        <v>4199.1201171875</v>
      </c>
      <c r="E441" s="71" t="n">
        <v>1.492263634940016</v>
      </c>
      <c r="F441" s="71" t="n">
        <v>1.409160551806155</v>
      </c>
    </row>
    <row r="442">
      <c r="B442" s="70" t="n">
        <v>44799</v>
      </c>
      <c r="C442" s="137" t="n">
        <v>160.9213409423828</v>
      </c>
      <c r="D442" s="137" t="n">
        <v>4057.659912109375</v>
      </c>
      <c r="E442" s="71" t="n">
        <v>-3.769904563212823</v>
      </c>
      <c r="F442" s="71" t="n">
        <v>-3.368805871951874</v>
      </c>
    </row>
    <row r="443">
      <c r="B443" s="70" t="n">
        <v>44802</v>
      </c>
      <c r="C443" s="137" t="n">
        <v>158.7182922363281</v>
      </c>
      <c r="D443" s="137" t="n">
        <v>4030.610107421875</v>
      </c>
      <c r="E443" s="71" t="n">
        <v>-1.369022090639616</v>
      </c>
      <c r="F443" s="71" t="n">
        <v>-0.6666355799502699</v>
      </c>
    </row>
    <row r="444">
      <c r="B444" s="70" t="n">
        <v>44803</v>
      </c>
      <c r="C444" s="137" t="n">
        <v>156.2890167236328</v>
      </c>
      <c r="D444" s="137" t="n">
        <v>3986.159912109375</v>
      </c>
      <c r="E444" s="71" t="n">
        <v>-1.530557995847226</v>
      </c>
      <c r="F444" s="71" t="n">
        <v>-1.102815557144821</v>
      </c>
    </row>
    <row r="445">
      <c r="B445" s="70" t="n">
        <v>44804</v>
      </c>
      <c r="C445" s="137" t="n">
        <v>154.6269226074219</v>
      </c>
      <c r="D445" s="137" t="n">
        <v>3955</v>
      </c>
      <c r="E445" s="71" t="n">
        <v>-1.063474677270515</v>
      </c>
      <c r="F445" s="71" t="n">
        <v>-0.7817025105971265</v>
      </c>
    </row>
    <row r="446">
      <c r="B446" s="70" t="n">
        <v>44805</v>
      </c>
      <c r="C446" s="137" t="n">
        <v>155.3547058105469</v>
      </c>
      <c r="D446" s="137" t="n">
        <v>3966.85009765625</v>
      </c>
      <c r="E446" s="71" t="n">
        <v>0.4706704310301513</v>
      </c>
      <c r="F446" s="71" t="n">
        <v>0.2996232024336187</v>
      </c>
    </row>
    <row r="447">
      <c r="B447" s="70" t="n">
        <v>44806</v>
      </c>
      <c r="C447" s="137" t="n">
        <v>153.2401580810547</v>
      </c>
      <c r="D447" s="137" t="n">
        <v>3924.260009765625</v>
      </c>
      <c r="E447" s="71" t="n">
        <v>-1.36110954506321</v>
      </c>
      <c r="F447" s="71" t="n">
        <v>-1.073650045808106</v>
      </c>
    </row>
    <row r="448">
      <c r="B448" s="70" t="n">
        <v>44810</v>
      </c>
      <c r="C448" s="137" t="n">
        <v>151.9812622070312</v>
      </c>
      <c r="D448" s="137" t="n">
        <v>3908.18994140625</v>
      </c>
      <c r="E448" s="71" t="n">
        <v>-0.8215182559114909</v>
      </c>
      <c r="F448" s="71" t="n">
        <v>-0.4095056983834944</v>
      </c>
    </row>
    <row r="449">
      <c r="B449" s="70" t="n">
        <v>44811</v>
      </c>
      <c r="C449" s="137" t="n">
        <v>153.3876647949219</v>
      </c>
      <c r="D449" s="137" t="n">
        <v>3979.8701171875</v>
      </c>
      <c r="E449" s="71" t="n">
        <v>0.9253789364999987</v>
      </c>
      <c r="F449" s="71" t="n">
        <v>1.8341016392734</v>
      </c>
    </row>
    <row r="450">
      <c r="B450" s="70" t="n">
        <v>44812</v>
      </c>
      <c r="C450" s="137" t="n">
        <v>151.9124298095703</v>
      </c>
      <c r="D450" s="137" t="n">
        <v>4006.179931640625</v>
      </c>
      <c r="E450" s="71" t="n">
        <v>-0.9617689840470289</v>
      </c>
      <c r="F450" s="71" t="n">
        <v>0.6610721877456038</v>
      </c>
    </row>
    <row r="451">
      <c r="B451" s="70" t="n">
        <v>44813</v>
      </c>
      <c r="C451" s="137" t="n">
        <v>154.7744293212891</v>
      </c>
      <c r="D451" s="137" t="n">
        <v>4067.360107421875</v>
      </c>
      <c r="E451" s="71" t="n">
        <v>1.883979813440173</v>
      </c>
      <c r="F451" s="71" t="n">
        <v>1.527144981633288</v>
      </c>
    </row>
    <row r="452">
      <c r="B452" s="70" t="n">
        <v>44816</v>
      </c>
      <c r="C452" s="137" t="n">
        <v>160.7344360351562</v>
      </c>
      <c r="D452" s="137" t="n">
        <v>4110.41015625</v>
      </c>
      <c r="E452" s="71" t="n">
        <v>3.850769626483319</v>
      </c>
      <c r="F452" s="71" t="n">
        <v>1.05842727693497</v>
      </c>
    </row>
    <row r="453">
      <c r="B453" s="70" t="n">
        <v>44817</v>
      </c>
      <c r="C453" s="137" t="n">
        <v>151.3026123046875</v>
      </c>
      <c r="D453" s="137" t="n">
        <v>3932.68994140625</v>
      </c>
      <c r="E453" s="71" t="n">
        <v>-5.86795459835735</v>
      </c>
      <c r="F453" s="71" t="n">
        <v>-4.32366134006168</v>
      </c>
    </row>
    <row r="454">
      <c r="B454" s="70" t="n">
        <v>44818</v>
      </c>
      <c r="C454" s="137" t="n">
        <v>152.7483978271484</v>
      </c>
      <c r="D454" s="137" t="n">
        <v>3946.010009765625</v>
      </c>
      <c r="E454" s="71" t="n">
        <v>0.9555588634183376</v>
      </c>
      <c r="F454" s="71" t="n">
        <v>0.3387012085323882</v>
      </c>
    </row>
    <row r="455">
      <c r="B455" s="70" t="n">
        <v>44819</v>
      </c>
      <c r="C455" s="137" t="n">
        <v>149.8568878173828</v>
      </c>
      <c r="D455" s="137" t="n">
        <v>3901.35009765625</v>
      </c>
      <c r="E455" s="71" t="n">
        <v>-1.892988765117953</v>
      </c>
      <c r="F455" s="71" t="n">
        <v>-1.131773918435341</v>
      </c>
    </row>
    <row r="456">
      <c r="B456" s="70" t="n">
        <v>44820</v>
      </c>
      <c r="C456" s="137" t="n">
        <v>148.2144165039062</v>
      </c>
      <c r="D456" s="137" t="n">
        <v>3873.330078125</v>
      </c>
      <c r="E456" s="71" t="n">
        <v>-1.096026574019171</v>
      </c>
      <c r="F456" s="71" t="n">
        <v>-0.7182134089448455</v>
      </c>
    </row>
    <row r="457">
      <c r="B457" s="70" t="n">
        <v>44823</v>
      </c>
      <c r="C457" s="137" t="n">
        <v>151.9320831298828</v>
      </c>
      <c r="D457" s="137" t="n">
        <v>3899.889892578125</v>
      </c>
      <c r="E457" s="71" t="n">
        <v>2.508302980013166</v>
      </c>
      <c r="F457" s="71" t="n">
        <v>0.6857100716286535</v>
      </c>
    </row>
    <row r="458">
      <c r="B458" s="70" t="n">
        <v>44824</v>
      </c>
      <c r="C458" s="137" t="n">
        <v>154.3121795654297</v>
      </c>
      <c r="D458" s="137" t="n">
        <v>3855.929931640625</v>
      </c>
      <c r="E458" s="71" t="n">
        <v>1.566552887655859</v>
      </c>
      <c r="F458" s="71" t="n">
        <v>-1.127210309736182</v>
      </c>
    </row>
    <row r="459">
      <c r="B459" s="70" t="n">
        <v>44825</v>
      </c>
      <c r="C459" s="137" t="n">
        <v>151.1846008300781</v>
      </c>
      <c r="D459" s="137" t="n">
        <v>3789.929931640625</v>
      </c>
      <c r="E459" s="71" t="n">
        <v>-2.026786702228822</v>
      </c>
      <c r="F459" s="71" t="n">
        <v>-1.711649360078449</v>
      </c>
    </row>
    <row r="460">
      <c r="B460" s="70" t="n">
        <v>44826</v>
      </c>
      <c r="C460" s="137" t="n">
        <v>150.2207946777344</v>
      </c>
      <c r="D460" s="137" t="n">
        <v>3757.989990234375</v>
      </c>
      <c r="E460" s="71" t="n">
        <v>-0.6375028587911169</v>
      </c>
      <c r="F460" s="71" t="n">
        <v>-0.8427580979689431</v>
      </c>
    </row>
    <row r="461">
      <c r="B461" s="70" t="n">
        <v>44827</v>
      </c>
      <c r="C461" s="137" t="n">
        <v>147.9488677978516</v>
      </c>
      <c r="D461" s="137" t="n">
        <v>3693.22998046875</v>
      </c>
      <c r="E461" s="71" t="n">
        <v>-1.5123917329533</v>
      </c>
      <c r="F461" s="71" t="n">
        <v>-1.723261901546103</v>
      </c>
    </row>
    <row r="462">
      <c r="B462" s="70" t="n">
        <v>44830</v>
      </c>
      <c r="C462" s="137" t="n">
        <v>148.2832794189453</v>
      </c>
      <c r="D462" s="137" t="n">
        <v>3655.0400390625</v>
      </c>
      <c r="E462" s="71" t="n">
        <v>0.226031889308298</v>
      </c>
      <c r="F462" s="71" t="n">
        <v>-1.034052620828207</v>
      </c>
    </row>
    <row r="463">
      <c r="B463" s="70" t="n">
        <v>44831</v>
      </c>
      <c r="C463" s="137" t="n">
        <v>149.2569427490234</v>
      </c>
      <c r="D463" s="137" t="n">
        <v>3647.2900390625</v>
      </c>
      <c r="E463" s="71" t="n">
        <v>0.6566238175291561</v>
      </c>
      <c r="F463" s="71" t="n">
        <v>-0.2120359809242411</v>
      </c>
    </row>
    <row r="464">
      <c r="B464" s="70" t="n">
        <v>44832</v>
      </c>
      <c r="C464" s="137" t="n">
        <v>147.3686065673828</v>
      </c>
      <c r="D464" s="137" t="n">
        <v>3719.0400390625</v>
      </c>
      <c r="E464" s="71" t="n">
        <v>-1.265158020029822</v>
      </c>
      <c r="F464" s="71" t="n">
        <v>1.967213992623473</v>
      </c>
    </row>
    <row r="465">
      <c r="B465" s="70" t="n">
        <v>44833</v>
      </c>
      <c r="C465" s="137" t="n">
        <v>140.1300048828125</v>
      </c>
      <c r="D465" s="137" t="n">
        <v>3640.469970703125</v>
      </c>
      <c r="E465" s="71" t="n">
        <v>-4.911902102609988</v>
      </c>
      <c r="F465" s="71" t="n">
        <v>-2.112643788023882</v>
      </c>
    </row>
    <row r="466">
      <c r="B466" s="70" t="n">
        <v>44834</v>
      </c>
      <c r="C466" s="137" t="n">
        <v>135.9205932617188</v>
      </c>
      <c r="D466" s="137" t="n">
        <v>3585.6201171875</v>
      </c>
      <c r="E466" s="71" t="n">
        <v>-3.003933115262447</v>
      </c>
      <c r="F466" s="71" t="n">
        <v>-1.506669577198327</v>
      </c>
    </row>
    <row r="467">
      <c r="B467" s="70" t="n">
        <v>44837</v>
      </c>
      <c r="C467" s="137" t="n">
        <v>140.1004943847656</v>
      </c>
      <c r="D467" s="137" t="n">
        <v>3678.429931640625</v>
      </c>
      <c r="E467" s="71" t="n">
        <v>3.075252265120909</v>
      </c>
      <c r="F467" s="71" t="n">
        <v>2.588389495257615</v>
      </c>
    </row>
    <row r="468">
      <c r="B468" s="70" t="n">
        <v>44838</v>
      </c>
      <c r="C468" s="137" t="n">
        <v>143.6902923583984</v>
      </c>
      <c r="D468" s="137" t="n">
        <v>3790.929931640625</v>
      </c>
      <c r="E468" s="71" t="n">
        <v>2.562302145611239</v>
      </c>
      <c r="F468" s="71" t="n">
        <v>3.058370067955152</v>
      </c>
    </row>
    <row r="469">
      <c r="B469" s="70" t="n">
        <v>44839</v>
      </c>
      <c r="C469" s="137" t="n">
        <v>143.9853515625</v>
      </c>
      <c r="D469" s="137" t="n">
        <v>3783.280029296875</v>
      </c>
      <c r="E469" s="71" t="n">
        <v>0.2053438678833341</v>
      </c>
      <c r="F469" s="71" t="n">
        <v>-0.2017948757084831</v>
      </c>
    </row>
    <row r="470">
      <c r="B470" s="70" t="n">
        <v>44840</v>
      </c>
      <c r="C470" s="137" t="n">
        <v>143.0313568115234</v>
      </c>
      <c r="D470" s="137" t="n">
        <v>3744.52001953125</v>
      </c>
      <c r="E470" s="71" t="n">
        <v>-0.662563754315304</v>
      </c>
      <c r="F470" s="71" t="n">
        <v>-1.024508084664</v>
      </c>
    </row>
    <row r="471">
      <c r="B471" s="70" t="n">
        <v>44841</v>
      </c>
      <c r="C471" s="137" t="n">
        <v>137.7794342041016</v>
      </c>
      <c r="D471" s="137" t="n">
        <v>3639.659912109375</v>
      </c>
      <c r="E471" s="71" t="n">
        <v>-3.671867990696909</v>
      </c>
      <c r="F471" s="71" t="n">
        <v>-2.800361778677352</v>
      </c>
    </row>
    <row r="472">
      <c r="B472" s="70" t="n">
        <v>44844</v>
      </c>
      <c r="C472" s="137" t="n">
        <v>138.10400390625</v>
      </c>
      <c r="D472" s="137" t="n">
        <v>3612.389892578125</v>
      </c>
      <c r="E472" s="71" t="n">
        <v>0.2355719516655919</v>
      </c>
      <c r="F472" s="71" t="n">
        <v>-0.749246363390188</v>
      </c>
    </row>
    <row r="473">
      <c r="B473" s="70" t="n">
        <v>44845</v>
      </c>
      <c r="C473" s="137" t="n">
        <v>136.6877136230469</v>
      </c>
      <c r="D473" s="137" t="n">
        <v>3588.840087890625</v>
      </c>
      <c r="E473" s="71" t="n">
        <v>-1.025524418658075</v>
      </c>
      <c r="F473" s="71" t="n">
        <v>-0.6519175777754405</v>
      </c>
    </row>
    <row r="474">
      <c r="B474" s="70" t="n">
        <v>44846</v>
      </c>
      <c r="C474" s="137" t="n">
        <v>136.0582580566406</v>
      </c>
      <c r="D474" s="137" t="n">
        <v>3577.030029296875</v>
      </c>
      <c r="E474" s="71" t="n">
        <v>-0.4605063247617114</v>
      </c>
      <c r="F474" s="71" t="n">
        <v>-0.3290773148014958</v>
      </c>
    </row>
    <row r="475">
      <c r="B475" s="70" t="n">
        <v>44847</v>
      </c>
      <c r="C475" s="137" t="n">
        <v>140.6316070556641</v>
      </c>
      <c r="D475" s="137" t="n">
        <v>3669.909912109375</v>
      </c>
      <c r="E475" s="71" t="n">
        <v>3.361316736187825</v>
      </c>
      <c r="F475" s="71" t="n">
        <v>2.596564246086497</v>
      </c>
    </row>
    <row r="476">
      <c r="B476" s="70" t="n">
        <v>44848</v>
      </c>
      <c r="C476" s="137" t="n">
        <v>136.0976409912109</v>
      </c>
      <c r="D476" s="137" t="n">
        <v>3583.070068359375</v>
      </c>
      <c r="E476" s="71" t="n">
        <v>-3.224002170904983</v>
      </c>
      <c r="F476" s="71" t="n">
        <v>-2.366266361565439</v>
      </c>
    </row>
    <row r="477">
      <c r="B477" s="70" t="n">
        <v>44851</v>
      </c>
      <c r="C477" s="137" t="n">
        <v>140.0611572265625</v>
      </c>
      <c r="D477" s="137" t="n">
        <v>3677.949951171875</v>
      </c>
      <c r="E477" s="71" t="n">
        <v>2.912259320944099</v>
      </c>
      <c r="F477" s="71" t="n">
        <v>2.64800523021711</v>
      </c>
    </row>
    <row r="478">
      <c r="B478" s="70" t="n">
        <v>44852</v>
      </c>
      <c r="C478" s="137" t="n">
        <v>141.3790740966797</v>
      </c>
      <c r="D478" s="137" t="n">
        <v>3719.97998046875</v>
      </c>
      <c r="E478" s="71" t="n">
        <v>0.9409581472937134</v>
      </c>
      <c r="F478" s="71" t="n">
        <v>1.142756966648872</v>
      </c>
    </row>
    <row r="479">
      <c r="B479" s="70" t="n">
        <v>44853</v>
      </c>
      <c r="C479" s="137" t="n">
        <v>141.4872436523438</v>
      </c>
      <c r="D479" s="137" t="n">
        <v>3695.159912109375</v>
      </c>
      <c r="E479" s="71" t="n">
        <v>0.07651030136903714</v>
      </c>
      <c r="F479" s="71" t="n">
        <v>-0.6672097293450308</v>
      </c>
    </row>
    <row r="480">
      <c r="B480" s="70" t="n">
        <v>44854</v>
      </c>
      <c r="C480" s="137" t="n">
        <v>141.0249786376953</v>
      </c>
      <c r="D480" s="137" t="n">
        <v>3665.780029296875</v>
      </c>
      <c r="E480" s="71" t="n">
        <v>-0.3267185102455938</v>
      </c>
      <c r="F480" s="71" t="n">
        <v>-0.7950909706564868</v>
      </c>
    </row>
    <row r="481">
      <c r="B481" s="70" t="n">
        <v>44855</v>
      </c>
      <c r="C481" s="137" t="n">
        <v>144.8410034179688</v>
      </c>
      <c r="D481" s="137" t="n">
        <v>3752.75</v>
      </c>
      <c r="E481" s="71" t="n">
        <v>2.705921190087301</v>
      </c>
      <c r="F481" s="71" t="n">
        <v>2.372481982226482</v>
      </c>
    </row>
    <row r="482">
      <c r="B482" s="70" t="n">
        <v>44858</v>
      </c>
      <c r="C482" s="137" t="n">
        <v>146.9850463867188</v>
      </c>
      <c r="D482" s="137" t="n">
        <v>3797.340087890625</v>
      </c>
      <c r="E482" s="71" t="n">
        <v>1.480273484824535</v>
      </c>
      <c r="F482" s="71" t="n">
        <v>1.188197665461987</v>
      </c>
    </row>
    <row r="483">
      <c r="B483" s="70" t="n">
        <v>44859</v>
      </c>
      <c r="C483" s="137" t="n">
        <v>149.8273773193359</v>
      </c>
      <c r="D483" s="137" t="n">
        <v>3859.110107421875</v>
      </c>
      <c r="E483" s="71" t="n">
        <v>1.933755169310825</v>
      </c>
      <c r="F483" s="71" t="n">
        <v>1.626665457966991</v>
      </c>
    </row>
    <row r="484">
      <c r="B484" s="70" t="n">
        <v>44860</v>
      </c>
      <c r="C484" s="137" t="n">
        <v>146.8866729736328</v>
      </c>
      <c r="D484" s="137" t="n">
        <v>3830.60009765625</v>
      </c>
      <c r="E484" s="71" t="n">
        <v>-1.962728306613415</v>
      </c>
      <c r="F484" s="71" t="n">
        <v>-0.7387716072364547</v>
      </c>
    </row>
    <row r="485">
      <c r="B485" s="70" t="n">
        <v>44861</v>
      </c>
      <c r="C485" s="137" t="n">
        <v>142.4117431640625</v>
      </c>
      <c r="D485" s="137" t="n">
        <v>3807.300048828125</v>
      </c>
      <c r="E485" s="71" t="n">
        <v>-3.046518597622261</v>
      </c>
      <c r="F485" s="71" t="n">
        <v>-0.6082610618211248</v>
      </c>
    </row>
    <row r="486">
      <c r="B486" s="70" t="n">
        <v>44862</v>
      </c>
      <c r="C486" s="137" t="n">
        <v>153.1713104248047</v>
      </c>
      <c r="D486" s="137" t="n">
        <v>3901.06005859375</v>
      </c>
      <c r="E486" s="71" t="n">
        <v>7.555252833572057</v>
      </c>
      <c r="F486" s="71" t="n">
        <v>2.46263778959277</v>
      </c>
    </row>
    <row r="487">
      <c r="B487" s="70" t="n">
        <v>44865</v>
      </c>
      <c r="C487" s="137" t="n">
        <v>150.8108673095703</v>
      </c>
      <c r="D487" s="137" t="n">
        <v>3871.97998046875</v>
      </c>
      <c r="E487" s="71" t="n">
        <v>-1.541047803722462</v>
      </c>
      <c r="F487" s="71" t="n">
        <v>-0.745440410765752</v>
      </c>
    </row>
    <row r="488">
      <c r="B488" s="70" t="n">
        <v>44866</v>
      </c>
      <c r="C488" s="137" t="n">
        <v>148.1652526855469</v>
      </c>
      <c r="D488" s="137" t="n">
        <v>3856.10009765625</v>
      </c>
      <c r="E488" s="71" t="n">
        <v>-1.754259935786151</v>
      </c>
      <c r="F488" s="71" t="n">
        <v>-0.4101230608784645</v>
      </c>
    </row>
    <row r="489">
      <c r="B489" s="70" t="n">
        <v>44867</v>
      </c>
      <c r="C489" s="137" t="n">
        <v>142.6379089355469</v>
      </c>
      <c r="D489" s="137" t="n">
        <v>3759.68994140625</v>
      </c>
      <c r="E489" s="71" t="n">
        <v>-3.730526320992922</v>
      </c>
      <c r="F489" s="71" t="n">
        <v>-2.500198485734284</v>
      </c>
    </row>
    <row r="490">
      <c r="B490" s="70" t="n">
        <v>44868</v>
      </c>
      <c r="C490" s="137" t="n">
        <v>136.5893859863281</v>
      </c>
      <c r="D490" s="137" t="n">
        <v>3719.889892578125</v>
      </c>
      <c r="E490" s="71" t="n">
        <v>-4.240473654133503</v>
      </c>
      <c r="F490" s="71" t="n">
        <v>-1.058599231542967</v>
      </c>
    </row>
    <row r="491">
      <c r="B491" s="70" t="n">
        <v>44869</v>
      </c>
      <c r="C491" s="137" t="n">
        <v>136.3233947753906</v>
      </c>
      <c r="D491" s="137" t="n">
        <v>3770.550048828125</v>
      </c>
      <c r="E491" s="71" t="n">
        <v>-0.194737833409786</v>
      </c>
      <c r="F491" s="71" t="n">
        <v>1.361872467007053</v>
      </c>
    </row>
    <row r="492">
      <c r="B492" s="70" t="n">
        <v>44872</v>
      </c>
      <c r="C492" s="137" t="n">
        <v>136.8553466796875</v>
      </c>
      <c r="D492" s="137" t="n">
        <v>3806.800048828125</v>
      </c>
      <c r="E492" s="71" t="n">
        <v>0.3902132170148453</v>
      </c>
      <c r="F492" s="71" t="n">
        <v>0.9613981920559844</v>
      </c>
    </row>
    <row r="493">
      <c r="B493" s="70" t="n">
        <v>44873</v>
      </c>
      <c r="C493" s="137" t="n">
        <v>137.4267425537109</v>
      </c>
      <c r="D493" s="137" t="n">
        <v>3828.110107421875</v>
      </c>
      <c r="E493" s="71" t="n">
        <v>0.4175181225186453</v>
      </c>
      <c r="F493" s="71" t="n">
        <v>0.5597892802462701</v>
      </c>
    </row>
    <row r="494">
      <c r="B494" s="70" t="n">
        <v>44874</v>
      </c>
      <c r="C494" s="137" t="n">
        <v>132.8655548095703</v>
      </c>
      <c r="D494" s="137" t="n">
        <v>3748.570068359375</v>
      </c>
      <c r="E494" s="71" t="n">
        <v>-3.318995749577591</v>
      </c>
      <c r="F494" s="71" t="n">
        <v>-2.077788695478977</v>
      </c>
    </row>
    <row r="495">
      <c r="B495" s="70" t="n">
        <v>44875</v>
      </c>
      <c r="C495" s="137" t="n">
        <v>144.6872100830078</v>
      </c>
      <c r="D495" s="137" t="n">
        <v>3956.3701171875</v>
      </c>
      <c r="E495" s="71" t="n">
        <v>8.89745674895266</v>
      </c>
      <c r="F495" s="71" t="n">
        <v>5.543448436034493</v>
      </c>
    </row>
    <row r="496">
      <c r="B496" s="70" t="n">
        <v>44876</v>
      </c>
      <c r="C496" s="137" t="n">
        <v>147.4751434326172</v>
      </c>
      <c r="D496" s="137" t="n">
        <v>3992.929931640625</v>
      </c>
      <c r="E496" s="71" t="n">
        <v>1.92686924297587</v>
      </c>
      <c r="F496" s="71" t="n">
        <v>0.9240746788147902</v>
      </c>
    </row>
    <row r="497">
      <c r="B497" s="70" t="n">
        <v>44879</v>
      </c>
      <c r="C497" s="137" t="n">
        <v>146.0762634277344</v>
      </c>
      <c r="D497" s="137" t="n">
        <v>3957.25</v>
      </c>
      <c r="E497" s="71" t="n">
        <v>-0.9485530729603564</v>
      </c>
      <c r="F497" s="71" t="n">
        <v>-0.8935777048800997</v>
      </c>
    </row>
    <row r="498">
      <c r="B498" s="70" t="n">
        <v>44880</v>
      </c>
      <c r="C498" s="137" t="n">
        <v>147.8101043701172</v>
      </c>
      <c r="D498" s="137" t="n">
        <v>3991.72998046875</v>
      </c>
      <c r="E498" s="71" t="n">
        <v>1.186942287335091</v>
      </c>
      <c r="F498" s="71" t="n">
        <v>0.8713116550319144</v>
      </c>
    </row>
    <row r="499">
      <c r="B499" s="70" t="n">
        <v>44881</v>
      </c>
      <c r="C499" s="137" t="n">
        <v>146.5786743164062</v>
      </c>
      <c r="D499" s="137" t="n">
        <v>3958.7900390625</v>
      </c>
      <c r="E499" s="71" t="n">
        <v>-0.8331162872515674</v>
      </c>
      <c r="F499" s="71" t="n">
        <v>-0.8252046497990273</v>
      </c>
    </row>
    <row r="500">
      <c r="B500" s="70" t="n">
        <v>44882</v>
      </c>
      <c r="C500" s="137" t="n">
        <v>148.4799957275391</v>
      </c>
      <c r="D500" s="137" t="n">
        <v>3946.56005859375</v>
      </c>
      <c r="E500" s="71" t="n">
        <v>1.297133720167709</v>
      </c>
      <c r="F500" s="71" t="n">
        <v>-0.3089322835531427</v>
      </c>
    </row>
    <row r="501">
      <c r="B501" s="70" t="n">
        <v>44883</v>
      </c>
      <c r="C501" s="137" t="n">
        <v>149.0414886474609</v>
      </c>
      <c r="D501" s="137" t="n">
        <v>3965.340087890625</v>
      </c>
      <c r="E501" s="71" t="n">
        <v>0.3781606519925873</v>
      </c>
      <c r="F501" s="71" t="n">
        <v>0.475858190881473</v>
      </c>
    </row>
    <row r="502">
      <c r="B502" s="70" t="n">
        <v>44886</v>
      </c>
      <c r="C502" s="137" t="n">
        <v>145.8102722167969</v>
      </c>
      <c r="D502" s="137" t="n">
        <v>3949.93994140625</v>
      </c>
      <c r="E502" s="71" t="n">
        <v>-2.167997958143753</v>
      </c>
      <c r="F502" s="71" t="n">
        <v>-0.3883688698329779</v>
      </c>
    </row>
    <row r="503">
      <c r="B503" s="70" t="n">
        <v>44887</v>
      </c>
      <c r="C503" s="137" t="n">
        <v>147.947998046875</v>
      </c>
      <c r="D503" s="137" t="n">
        <v>4003.580078125</v>
      </c>
      <c r="E503" s="71" t="n">
        <v>1.466100980114504</v>
      </c>
      <c r="F503" s="71" t="n">
        <v>1.357998792752602</v>
      </c>
    </row>
    <row r="504">
      <c r="B504" s="70" t="n">
        <v>44888</v>
      </c>
      <c r="C504" s="137" t="n">
        <v>148.8247985839844</v>
      </c>
      <c r="D504" s="137" t="n">
        <v>4027.260009765625</v>
      </c>
      <c r="E504" s="71" t="n">
        <v>0.5926410283913386</v>
      </c>
      <c r="F504" s="71" t="n">
        <v>0.5914689147847652</v>
      </c>
    </row>
    <row r="505">
      <c r="B505" s="70" t="n">
        <v>44890</v>
      </c>
      <c r="C505" s="137" t="n">
        <v>145.9087829589844</v>
      </c>
      <c r="D505" s="137" t="n">
        <v>4026.1201171875</v>
      </c>
      <c r="E505" s="71" t="n">
        <v>-1.959361378442881</v>
      </c>
      <c r="F505" s="71" t="n">
        <v>-0.02830441976333642</v>
      </c>
    </row>
    <row r="506">
      <c r="B506" s="70" t="n">
        <v>44893</v>
      </c>
      <c r="C506" s="137" t="n">
        <v>142.0765991210938</v>
      </c>
      <c r="D506" s="137" t="n">
        <v>3963.93994140625</v>
      </c>
      <c r="E506" s="71" t="n">
        <v>-2.626424372937053</v>
      </c>
      <c r="F506" s="71" t="n">
        <v>-1.544419291312327</v>
      </c>
    </row>
    <row r="507">
      <c r="B507" s="70" t="n">
        <v>44894</v>
      </c>
      <c r="C507" s="137" t="n">
        <v>139.0719299316406</v>
      </c>
      <c r="D507" s="137" t="n">
        <v>3957.6298828125</v>
      </c>
      <c r="E507" s="71" t="n">
        <v>-2.114823417818645</v>
      </c>
      <c r="F507" s="71" t="n">
        <v>-0.1591865337775888</v>
      </c>
    </row>
    <row r="508">
      <c r="B508" s="70" t="n">
        <v>44895</v>
      </c>
      <c r="C508" s="137" t="n">
        <v>145.8299713134766</v>
      </c>
      <c r="D508" s="137" t="n">
        <v>4080.110107421875</v>
      </c>
      <c r="E508" s="71" t="n">
        <v>4.859385632426205</v>
      </c>
      <c r="F508" s="71" t="n">
        <v>3.094787239738905</v>
      </c>
    </row>
    <row r="509">
      <c r="B509" s="70" t="n">
        <v>44896</v>
      </c>
      <c r="C509" s="137" t="n">
        <v>146.1058197021484</v>
      </c>
      <c r="D509" s="137" t="n">
        <v>4076.570068359375</v>
      </c>
      <c r="E509" s="71" t="n">
        <v>0.1891575416132163</v>
      </c>
      <c r="F509" s="71" t="n">
        <v>-0.08676332180498347</v>
      </c>
    </row>
    <row r="510">
      <c r="B510" s="70" t="n">
        <v>44897</v>
      </c>
      <c r="C510" s="137" t="n">
        <v>145.6132354736328</v>
      </c>
      <c r="D510" s="137" t="n">
        <v>4071.699951171875</v>
      </c>
      <c r="E510" s="71" t="n">
        <v>-0.3371420998285912</v>
      </c>
      <c r="F510" s="71" t="n">
        <v>-0.1194660488065602</v>
      </c>
    </row>
    <row r="511">
      <c r="B511" s="70" t="n">
        <v>44900</v>
      </c>
      <c r="C511" s="137" t="n">
        <v>144.4507751464844</v>
      </c>
      <c r="D511" s="137" t="n">
        <v>3998.840087890625</v>
      </c>
      <c r="E511" s="71" t="n">
        <v>-0.7983205121205539</v>
      </c>
      <c r="F511" s="71" t="n">
        <v>-1.78942122835648</v>
      </c>
    </row>
    <row r="512">
      <c r="B512" s="70" t="n">
        <v>44901</v>
      </c>
      <c r="C512" s="137" t="n">
        <v>140.7860565185547</v>
      </c>
      <c r="D512" s="137" t="n">
        <v>3941.260009765625</v>
      </c>
      <c r="E512" s="71" t="n">
        <v>-2.537001704707642</v>
      </c>
      <c r="F512" s="71" t="n">
        <v>-1.439919498140607</v>
      </c>
    </row>
    <row r="513">
      <c r="B513" s="70" t="n">
        <v>44902</v>
      </c>
      <c r="C513" s="137" t="n">
        <v>138.8453521728516</v>
      </c>
      <c r="D513" s="137" t="n">
        <v>3933.919921875</v>
      </c>
      <c r="E513" s="71" t="n">
        <v>-1.378477665824329</v>
      </c>
      <c r="F513" s="71" t="n">
        <v>-0.1862370884549103</v>
      </c>
    </row>
    <row r="514">
      <c r="B514" s="70" t="n">
        <v>44903</v>
      </c>
      <c r="C514" s="137" t="n">
        <v>140.5299224853516</v>
      </c>
      <c r="D514" s="137" t="n">
        <v>3963.510009765625</v>
      </c>
      <c r="E514" s="71" t="n">
        <v>1.2132709421939</v>
      </c>
      <c r="F514" s="71" t="n">
        <v>0.752178195750397</v>
      </c>
    </row>
    <row r="515">
      <c r="B515" s="70" t="n">
        <v>44904</v>
      </c>
      <c r="C515" s="137" t="n">
        <v>140.0472412109375</v>
      </c>
      <c r="D515" s="137" t="n">
        <v>3934.3798828125</v>
      </c>
      <c r="E515" s="71" t="n">
        <v>-0.3434722412690494</v>
      </c>
      <c r="F515" s="71" t="n">
        <v>-0.7349578247904498</v>
      </c>
    </row>
    <row r="516">
      <c r="B516" s="70" t="n">
        <v>44907</v>
      </c>
      <c r="C516" s="137" t="n">
        <v>142.3425903320312</v>
      </c>
      <c r="D516" s="137" t="n">
        <v>3990.56005859375</v>
      </c>
      <c r="E516" s="71" t="n">
        <v>1.638982032953051</v>
      </c>
      <c r="F516" s="71" t="n">
        <v>1.427929621810931</v>
      </c>
    </row>
    <row r="517">
      <c r="B517" s="70" t="n">
        <v>44908</v>
      </c>
      <c r="C517" s="137" t="n">
        <v>143.3080139160156</v>
      </c>
      <c r="D517" s="137" t="n">
        <v>4019.64990234375</v>
      </c>
      <c r="E517" s="71" t="n">
        <v>0.6782394374954315</v>
      </c>
      <c r="F517" s="71" t="n">
        <v>0.728966443879342</v>
      </c>
    </row>
    <row r="518">
      <c r="B518" s="70" t="n">
        <v>44909</v>
      </c>
      <c r="C518" s="137" t="n">
        <v>141.0816040039062</v>
      </c>
      <c r="D518" s="137" t="n">
        <v>3995.320068359375</v>
      </c>
      <c r="E518" s="71" t="n">
        <v>-1.553583677053938</v>
      </c>
      <c r="F518" s="71" t="n">
        <v>-0.6052724634100337</v>
      </c>
    </row>
    <row r="519">
      <c r="B519" s="70" t="n">
        <v>44910</v>
      </c>
      <c r="C519" s="137" t="n">
        <v>134.4713287353516</v>
      </c>
      <c r="D519" s="137" t="n">
        <v>3895.75</v>
      </c>
      <c r="E519" s="71" t="n">
        <v>-4.685426789145087</v>
      </c>
      <c r="F519" s="71" t="n">
        <v>-2.492167502371401</v>
      </c>
    </row>
    <row r="520">
      <c r="B520" s="70" t="n">
        <v>44911</v>
      </c>
      <c r="C520" s="137" t="n">
        <v>132.5109100341797</v>
      </c>
      <c r="D520" s="137" t="n">
        <v>3852.360107421875</v>
      </c>
      <c r="E520" s="71" t="n">
        <v>-1.457871145922962</v>
      </c>
      <c r="F520" s="71" t="n">
        <v>-1.113775077408075</v>
      </c>
    </row>
    <row r="521">
      <c r="B521" s="70" t="n">
        <v>44914</v>
      </c>
      <c r="C521" s="137" t="n">
        <v>130.4027099609375</v>
      </c>
      <c r="D521" s="137" t="n">
        <v>3817.659912109375</v>
      </c>
      <c r="E521" s="71" t="n">
        <v>-1.590963395163769</v>
      </c>
      <c r="F521" s="71" t="n">
        <v>-0.9007516001852345</v>
      </c>
    </row>
    <row r="522">
      <c r="B522" s="70" t="n">
        <v>44915</v>
      </c>
      <c r="C522" s="137" t="n">
        <v>130.3337554931641</v>
      </c>
      <c r="D522" s="137" t="n">
        <v>3821.6201171875</v>
      </c>
      <c r="E522" s="71" t="n">
        <v>-0.05287809417002798</v>
      </c>
      <c r="F522" s="71" t="n">
        <v>0.1037338361534967</v>
      </c>
    </row>
    <row r="523">
      <c r="B523" s="70" t="n">
        <v>44916</v>
      </c>
      <c r="C523" s="137" t="n">
        <v>133.4369201660156</v>
      </c>
      <c r="D523" s="137" t="n">
        <v>3878.43994140625</v>
      </c>
      <c r="E523" s="71" t="n">
        <v>2.380937049737875</v>
      </c>
      <c r="F523" s="71" t="n">
        <v>1.486799380273474</v>
      </c>
    </row>
    <row r="524">
      <c r="B524" s="70" t="n">
        <v>44917</v>
      </c>
      <c r="C524" s="137" t="n">
        <v>130.2648010253906</v>
      </c>
      <c r="D524" s="137" t="n">
        <v>3822.389892578125</v>
      </c>
      <c r="E524" s="71" t="n">
        <v>-2.377242472831664</v>
      </c>
      <c r="F524" s="71" t="n">
        <v>-1.445169956861636</v>
      </c>
    </row>
    <row r="525">
      <c r="B525" s="70" t="n">
        <v>44918</v>
      </c>
      <c r="C525" s="137" t="n">
        <v>129.9002838134766</v>
      </c>
      <c r="D525" s="137" t="n">
        <v>3844.820068359375</v>
      </c>
      <c r="E525" s="71" t="n">
        <v>-0.2798278652749508</v>
      </c>
      <c r="F525" s="71" t="n">
        <v>0.5868102525282026</v>
      </c>
    </row>
    <row r="526">
      <c r="B526" s="70" t="n">
        <v>44922</v>
      </c>
      <c r="C526" s="137" t="n">
        <v>128.0974884033203</v>
      </c>
      <c r="D526" s="137" t="n">
        <v>3829.25</v>
      </c>
      <c r="E526" s="71" t="n">
        <v>-1.38783023195308</v>
      </c>
      <c r="F526" s="71" t="n">
        <v>-0.4049622110409712</v>
      </c>
    </row>
    <row r="527">
      <c r="B527" s="70" t="n">
        <v>44923</v>
      </c>
      <c r="C527" s="137" t="n">
        <v>124.1667861938477</v>
      </c>
      <c r="D527" s="137" t="n">
        <v>3783.219970703125</v>
      </c>
      <c r="E527" s="71" t="n">
        <v>-3.068524026869779</v>
      </c>
      <c r="F527" s="71" t="n">
        <v>-1.202063832261535</v>
      </c>
    </row>
    <row r="528">
      <c r="B528" s="70" t="n">
        <v>44924</v>
      </c>
      <c r="C528" s="137" t="n">
        <v>127.6837310791016</v>
      </c>
      <c r="D528" s="137" t="n">
        <v>3849.280029296875</v>
      </c>
      <c r="E528" s="71" t="n">
        <v>2.832436107159353</v>
      </c>
      <c r="F528" s="71" t="n">
        <v>1.746133164481911</v>
      </c>
    </row>
    <row r="529">
      <c r="B529" s="70" t="n">
        <v>44925</v>
      </c>
      <c r="C529" s="137" t="n">
        <v>127.9989624023438</v>
      </c>
      <c r="D529" s="137" t="n">
        <v>3839.5</v>
      </c>
      <c r="E529" s="71" t="n">
        <v>0.2468844860485042</v>
      </c>
      <c r="F529" s="71" t="n">
        <v>-0.2540742482344593</v>
      </c>
    </row>
    <row r="530">
      <c r="B530" s="70" t="n">
        <v>44929</v>
      </c>
      <c r="C530" s="137" t="n">
        <v>123.2112045288086</v>
      </c>
      <c r="D530" s="137" t="n">
        <v>3824.139892578125</v>
      </c>
      <c r="E530" s="71" t="n">
        <v>-3.740466159784706</v>
      </c>
      <c r="F530" s="71" t="n">
        <v>-0.4000548879248611</v>
      </c>
    </row>
    <row r="531">
      <c r="B531" s="70" t="n">
        <v>44930</v>
      </c>
      <c r="C531" s="137" t="n">
        <v>124.4820327758789</v>
      </c>
      <c r="D531" s="137" t="n">
        <v>3852.969970703125</v>
      </c>
      <c r="E531" s="71" t="n">
        <v>1.031422630701728</v>
      </c>
      <c r="F531" s="71" t="n">
        <v>0.7538970575044379</v>
      </c>
    </row>
    <row r="532">
      <c r="B532" s="70" t="n">
        <v>44931</v>
      </c>
      <c r="C532" s="137" t="n">
        <v>123.1619491577148</v>
      </c>
      <c r="D532" s="137" t="n">
        <v>3808.10009765625</v>
      </c>
      <c r="E532" s="71" t="n">
        <v>-1.060461167549231</v>
      </c>
      <c r="F532" s="71" t="n">
        <v>-1.164552887462211</v>
      </c>
    </row>
    <row r="533">
      <c r="B533" s="70" t="n">
        <v>44932</v>
      </c>
      <c r="C533" s="137" t="n">
        <v>127.6935653686523</v>
      </c>
      <c r="D533" s="137" t="n">
        <v>3895.080078125</v>
      </c>
      <c r="E533" s="71" t="n">
        <v>3.679396308623328</v>
      </c>
      <c r="F533" s="71" t="n">
        <v>2.284078102943865</v>
      </c>
    </row>
    <row r="534">
      <c r="B534" s="70" t="n">
        <v>44935</v>
      </c>
      <c r="C534" s="137" t="n">
        <v>128.2156982421875</v>
      </c>
      <c r="D534" s="137" t="n">
        <v>3892.090087890625</v>
      </c>
      <c r="E534" s="71" t="n">
        <v>0.408895210990301</v>
      </c>
      <c r="F534" s="71" t="n">
        <v>-0.07676325452631305</v>
      </c>
    </row>
    <row r="535">
      <c r="B535" s="70" t="n">
        <v>44936</v>
      </c>
      <c r="C535" s="137" t="n">
        <v>128.7870788574219</v>
      </c>
      <c r="D535" s="137" t="n">
        <v>3919.25</v>
      </c>
      <c r="E535" s="71" t="n">
        <v>0.445640138507164</v>
      </c>
      <c r="F535" s="71" t="n">
        <v>0.6978233159061986</v>
      </c>
    </row>
    <row r="536">
      <c r="B536" s="70" t="n">
        <v>44937</v>
      </c>
      <c r="C536" s="137" t="n">
        <v>131.5060882568359</v>
      </c>
      <c r="D536" s="137" t="n">
        <v>3969.610107421875</v>
      </c>
      <c r="E536" s="71" t="n">
        <v>2.111243941190843</v>
      </c>
      <c r="F536" s="71" t="n">
        <v>1.284942461488159</v>
      </c>
    </row>
    <row r="537">
      <c r="B537" s="70" t="n">
        <v>44938</v>
      </c>
      <c r="C537" s="137" t="n">
        <v>131.4272613525391</v>
      </c>
      <c r="D537" s="137" t="n">
        <v>3983.169921875</v>
      </c>
      <c r="E537" s="71" t="n">
        <v>-0.05994163870410851</v>
      </c>
      <c r="F537" s="71" t="n">
        <v>0.3415905866365199</v>
      </c>
    </row>
    <row r="538">
      <c r="B538" s="70" t="n">
        <v>44939</v>
      </c>
      <c r="C538" s="137" t="n">
        <v>132.7571868896484</v>
      </c>
      <c r="D538" s="137" t="n">
        <v>3999.090087890625</v>
      </c>
      <c r="E538" s="71" t="n">
        <v>1.011909951879719</v>
      </c>
      <c r="F538" s="71" t="n">
        <v>0.3996858363534361</v>
      </c>
    </row>
    <row r="539">
      <c r="B539" s="70" t="n">
        <v>44943</v>
      </c>
      <c r="C539" s="137" t="n">
        <v>133.9196472167969</v>
      </c>
      <c r="D539" s="137" t="n">
        <v>3990.969970703125</v>
      </c>
      <c r="E539" s="71" t="n">
        <v>0.8756289240406723</v>
      </c>
      <c r="F539" s="71" t="n">
        <v>-0.2030491189005224</v>
      </c>
    </row>
    <row r="540">
      <c r="B540" s="70" t="n">
        <v>44944</v>
      </c>
      <c r="C540" s="137" t="n">
        <v>133.2005310058594</v>
      </c>
      <c r="D540" s="137" t="n">
        <v>3928.860107421875</v>
      </c>
      <c r="E540" s="71" t="n">
        <v>-0.536975885079316</v>
      </c>
      <c r="F540" s="71" t="n">
        <v>-1.556259850041108</v>
      </c>
    </row>
    <row r="541">
      <c r="B541" s="70" t="n">
        <v>44945</v>
      </c>
      <c r="C541" s="137" t="n">
        <v>133.2595825195312</v>
      </c>
      <c r="D541" s="137" t="n">
        <v>3898.85009765625</v>
      </c>
      <c r="E541" s="71" t="n">
        <v>0.04433279148803315</v>
      </c>
      <c r="F541" s="71" t="n">
        <v>-0.7638350296294338</v>
      </c>
    </row>
    <row r="542">
      <c r="B542" s="70" t="n">
        <v>44946</v>
      </c>
      <c r="C542" s="137" t="n">
        <v>135.8209533691406</v>
      </c>
      <c r="D542" s="137" t="n">
        <v>3972.610107421875</v>
      </c>
      <c r="E542" s="71" t="n">
        <v>1.922091305692031</v>
      </c>
      <c r="F542" s="71" t="n">
        <v>1.891840104598153</v>
      </c>
    </row>
    <row r="543">
      <c r="B543" s="70" t="n">
        <v>44949</v>
      </c>
      <c r="C543" s="137" t="n">
        <v>139.0128326416016</v>
      </c>
      <c r="D543" s="137" t="n">
        <v>4019.81005859375</v>
      </c>
      <c r="E543" s="71" t="n">
        <v>2.350063957941706</v>
      </c>
      <c r="F543" s="71" t="n">
        <v>1.188134498366522</v>
      </c>
    </row>
    <row r="544">
      <c r="B544" s="70" t="n">
        <v>44950</v>
      </c>
      <c r="C544" s="137" t="n">
        <v>140.4116973876953</v>
      </c>
      <c r="D544" s="137" t="n">
        <v>4016.949951171875</v>
      </c>
      <c r="E544" s="71" t="n">
        <v>1.006284613809894</v>
      </c>
      <c r="F544" s="71" t="n">
        <v>-0.07115031258156934</v>
      </c>
    </row>
    <row r="545">
      <c r="B545" s="70" t="n">
        <v>44951</v>
      </c>
      <c r="C545" s="137" t="n">
        <v>139.7516784667969</v>
      </c>
      <c r="D545" s="137" t="n">
        <v>4016.219970703125</v>
      </c>
      <c r="E545" s="71" t="n">
        <v>-0.4700597836062137</v>
      </c>
      <c r="F545" s="71" t="n">
        <v>-0.01817250594663422</v>
      </c>
    </row>
    <row r="546">
      <c r="B546" s="70" t="n">
        <v>44952</v>
      </c>
      <c r="C546" s="137" t="n">
        <v>141.8204956054688</v>
      </c>
      <c r="D546" s="137" t="n">
        <v>4060.429931640625</v>
      </c>
      <c r="E546" s="71" t="n">
        <v>1.480352265796525</v>
      </c>
      <c r="F546" s="71" t="n">
        <v>1.100785346918132</v>
      </c>
    </row>
    <row r="547">
      <c r="B547" s="70" t="n">
        <v>44953</v>
      </c>
      <c r="C547" s="137" t="n">
        <v>143.7611999511719</v>
      </c>
      <c r="D547" s="137" t="n">
        <v>4070.56005859375</v>
      </c>
      <c r="E547" s="71" t="n">
        <v>1.368423045919931</v>
      </c>
      <c r="F547" s="71" t="n">
        <v>0.2494840970949097</v>
      </c>
    </row>
    <row r="548">
      <c r="B548" s="70" t="n">
        <v>44956</v>
      </c>
      <c r="C548" s="137" t="n">
        <v>140.8747253417969</v>
      </c>
      <c r="D548" s="137" t="n">
        <v>4017.77001953125</v>
      </c>
      <c r="E548" s="71" t="n">
        <v>-2.007825901811744</v>
      </c>
      <c r="F548" s="71" t="n">
        <v>-1.296874098468337</v>
      </c>
    </row>
    <row r="549">
      <c r="B549" s="70" t="n">
        <v>44957</v>
      </c>
      <c r="C549" s="137" t="n">
        <v>142.1455535888672</v>
      </c>
      <c r="D549" s="137" t="n">
        <v>4076.60009765625</v>
      </c>
      <c r="E549" s="71" t="n">
        <v>0.9020981187270793</v>
      </c>
      <c r="F549" s="71" t="n">
        <v>1.464247028551013</v>
      </c>
    </row>
    <row r="550">
      <c r="B550" s="70" t="n">
        <v>44958</v>
      </c>
      <c r="C550" s="137" t="n">
        <v>143.2686309814453</v>
      </c>
      <c r="D550" s="137" t="n">
        <v>4119.2099609375</v>
      </c>
      <c r="E550" s="71" t="n">
        <v>0.7900897103165327</v>
      </c>
      <c r="F550" s="71" t="n">
        <v>1.045230394459029</v>
      </c>
    </row>
    <row r="551">
      <c r="B551" s="70" t="n">
        <v>44959</v>
      </c>
      <c r="C551" s="137" t="n">
        <v>148.5785217285156</v>
      </c>
      <c r="D551" s="137" t="n">
        <v>4179.759765625</v>
      </c>
      <c r="E551" s="71" t="n">
        <v>3.706247983732025</v>
      </c>
      <c r="F551" s="71" t="n">
        <v>1.469937324430992</v>
      </c>
    </row>
    <row r="552">
      <c r="B552" s="70" t="n">
        <v>44960</v>
      </c>
      <c r="C552" s="137" t="n">
        <v>152.2038116455078</v>
      </c>
      <c r="D552" s="137" t="n">
        <v>4136.47998046875</v>
      </c>
      <c r="E552" s="71" t="n">
        <v>2.439982491962334</v>
      </c>
      <c r="F552" s="71" t="n">
        <v>-1.03546106913105</v>
      </c>
    </row>
    <row r="553">
      <c r="B553" s="70" t="n">
        <v>44963</v>
      </c>
      <c r="C553" s="137" t="n">
        <v>149.4750061035156</v>
      </c>
      <c r="D553" s="137" t="n">
        <v>4111.080078125</v>
      </c>
      <c r="E553" s="71" t="n">
        <v>-1.792862814991636</v>
      </c>
      <c r="F553" s="71" t="n">
        <v>-0.6140463017754394</v>
      </c>
    </row>
    <row r="554">
      <c r="B554" s="70" t="n">
        <v>44964</v>
      </c>
      <c r="C554" s="137" t="n">
        <v>152.3516082763672</v>
      </c>
      <c r="D554" s="137" t="n">
        <v>4164</v>
      </c>
      <c r="E554" s="71" t="n">
        <v>1.92447034981853</v>
      </c>
      <c r="F554" s="71" t="n">
        <v>1.287251059802652</v>
      </c>
    </row>
    <row r="555">
      <c r="B555" s="70" t="n">
        <v>44965</v>
      </c>
      <c r="C555" s="137" t="n">
        <v>149.6621551513672</v>
      </c>
      <c r="D555" s="137" t="n">
        <v>4117.85986328125</v>
      </c>
      <c r="E555" s="71" t="n">
        <v>-1.765293557073133</v>
      </c>
      <c r="F555" s="71" t="n">
        <v>-1.108072447616471</v>
      </c>
    </row>
    <row r="556">
      <c r="B556" s="70" t="n">
        <v>44966</v>
      </c>
      <c r="C556" s="137" t="n">
        <v>148.6277618408203</v>
      </c>
      <c r="D556" s="137" t="n">
        <v>4081.5</v>
      </c>
      <c r="E556" s="71" t="n">
        <v>-0.6911522218163269</v>
      </c>
      <c r="F556" s="71" t="n">
        <v>-0.8829796177735161</v>
      </c>
    </row>
    <row r="557">
      <c r="B557" s="70" t="n">
        <v>44967</v>
      </c>
      <c r="C557" s="137" t="n">
        <v>148.9928283691406</v>
      </c>
      <c r="D557" s="137" t="n">
        <v>4090.4599609375</v>
      </c>
      <c r="E557" s="71" t="n">
        <v>0.2456247229984276</v>
      </c>
      <c r="F557" s="71" t="n">
        <v>0.219526177569529</v>
      </c>
    </row>
    <row r="558">
      <c r="B558" s="70" t="n">
        <v>44970</v>
      </c>
      <c r="C558" s="137" t="n">
        <v>151.7948760986328</v>
      </c>
      <c r="D558" s="137" t="n">
        <v>4137.2900390625</v>
      </c>
      <c r="E558" s="71" t="n">
        <v>1.880659465400525</v>
      </c>
      <c r="F558" s="71" t="n">
        <v>1.144860934276615</v>
      </c>
    </row>
    <row r="559">
      <c r="B559" s="70" t="n">
        <v>44971</v>
      </c>
      <c r="C559" s="137" t="n">
        <v>151.1535797119141</v>
      </c>
      <c r="D559" s="137" t="n">
        <v>4136.1298828125</v>
      </c>
      <c r="E559" s="71" t="n">
        <v>-0.4224756481912006</v>
      </c>
      <c r="F559" s="71" t="n">
        <v>-0.02804145319874607</v>
      </c>
    </row>
    <row r="560">
      <c r="B560" s="70" t="n">
        <v>44972</v>
      </c>
      <c r="C560" s="137" t="n">
        <v>153.2551116943359</v>
      </c>
      <c r="D560" s="137" t="n">
        <v>4147.60009765625</v>
      </c>
      <c r="E560" s="71" t="n">
        <v>1.390328953126452</v>
      </c>
      <c r="F560" s="71" t="n">
        <v>0.2773175690496066</v>
      </c>
    </row>
    <row r="561">
      <c r="B561" s="70" t="n">
        <v>44973</v>
      </c>
      <c r="C561" s="137" t="n">
        <v>151.6567687988281</v>
      </c>
      <c r="D561" s="137" t="n">
        <v>4090.409912109375</v>
      </c>
      <c r="E561" s="71" t="n">
        <v>-1.042929581817587</v>
      </c>
      <c r="F561" s="71" t="n">
        <v>-1.378874148913067</v>
      </c>
    </row>
    <row r="562">
      <c r="B562" s="70" t="n">
        <v>44974</v>
      </c>
      <c r="C562" s="137" t="n">
        <v>150.5122528076172</v>
      </c>
      <c r="D562" s="137" t="n">
        <v>4079.090087890625</v>
      </c>
      <c r="E562" s="71" t="n">
        <v>-0.7546751788765182</v>
      </c>
      <c r="F562" s="71" t="n">
        <v>-0.2767405825327751</v>
      </c>
    </row>
    <row r="563">
      <c r="B563" s="70" t="n">
        <v>44978</v>
      </c>
      <c r="C563" s="137" t="n">
        <v>146.4965972900391</v>
      </c>
      <c r="D563" s="137" t="n">
        <v>3997.340087890625</v>
      </c>
      <c r="E563" s="71" t="n">
        <v>-2.667992434284305</v>
      </c>
      <c r="F563" s="71" t="n">
        <v>-2.004123425532733</v>
      </c>
    </row>
    <row r="564">
      <c r="B564" s="70" t="n">
        <v>44979</v>
      </c>
      <c r="C564" s="137" t="n">
        <v>146.9208526611328</v>
      </c>
      <c r="D564" s="137" t="n">
        <v>3991.050048828125</v>
      </c>
      <c r="E564" s="71" t="n">
        <v>0.2896008364301927</v>
      </c>
      <c r="F564" s="71" t="n">
        <v>-0.1573556145886834</v>
      </c>
    </row>
    <row r="565">
      <c r="B565" s="70" t="n">
        <v>44980</v>
      </c>
      <c r="C565" s="137" t="n">
        <v>147.4043121337891</v>
      </c>
      <c r="D565" s="137" t="n">
        <v>4012.320068359375</v>
      </c>
      <c r="E565" s="71" t="n">
        <v>0.3290611672199795</v>
      </c>
      <c r="F565" s="71" t="n">
        <v>0.5329429416074394</v>
      </c>
    </row>
    <row r="566">
      <c r="B566" s="70" t="n">
        <v>44981</v>
      </c>
      <c r="C566" s="137" t="n">
        <v>144.7502746582031</v>
      </c>
      <c r="D566" s="137" t="n">
        <v>3970.0400390625</v>
      </c>
      <c r="E566" s="71" t="n">
        <v>-1.80051549182435</v>
      </c>
      <c r="F566" s="71" t="n">
        <v>-1.053755148555813</v>
      </c>
    </row>
    <row r="567">
      <c r="B567" s="70" t="n">
        <v>44984</v>
      </c>
      <c r="C567" s="137" t="n">
        <v>145.9441070556641</v>
      </c>
      <c r="D567" s="137" t="n">
        <v>3982.239990234375</v>
      </c>
      <c r="E567" s="71" t="n">
        <v>0.8247531137885344</v>
      </c>
      <c r="F567" s="71" t="n">
        <v>0.307300456716697</v>
      </c>
    </row>
    <row r="568">
      <c r="B568" s="70" t="n">
        <v>44985</v>
      </c>
      <c r="C568" s="137" t="n">
        <v>145.4409027099609</v>
      </c>
      <c r="D568" s="137" t="n">
        <v>3970.14990234375</v>
      </c>
      <c r="E568" s="71" t="n">
        <v>-0.3447925071145552</v>
      </c>
      <c r="F568" s="71" t="n">
        <v>-0.3036001828185531</v>
      </c>
    </row>
    <row r="569">
      <c r="B569" s="70" t="n">
        <v>44986</v>
      </c>
      <c r="C569" s="137" t="n">
        <v>143.3689880371094</v>
      </c>
      <c r="D569" s="137" t="n">
        <v>3951.389892578125</v>
      </c>
      <c r="E569" s="71" t="n">
        <v>-1.42457495398205</v>
      </c>
      <c r="F569" s="71" t="n">
        <v>-0.4725264845680033</v>
      </c>
    </row>
    <row r="570">
      <c r="B570" s="70" t="n">
        <v>44987</v>
      </c>
      <c r="C570" s="137" t="n">
        <v>143.9609527587891</v>
      </c>
      <c r="D570" s="137" t="n">
        <v>3981.35009765625</v>
      </c>
      <c r="E570" s="71" t="n">
        <v>0.4128959336216154</v>
      </c>
      <c r="F570" s="71" t="n">
        <v>0.7582194086794392</v>
      </c>
    </row>
    <row r="571">
      <c r="B571" s="70" t="n">
        <v>44988</v>
      </c>
      <c r="C571" s="137" t="n">
        <v>149.0125274658203</v>
      </c>
      <c r="D571" s="137" t="n">
        <v>4045.639892578125</v>
      </c>
      <c r="E571" s="71" t="n">
        <v>3.508989493488057</v>
      </c>
      <c r="F571" s="71" t="n">
        <v>1.61477371607488</v>
      </c>
    </row>
    <row r="572">
      <c r="B572" s="70" t="n">
        <v>44991</v>
      </c>
      <c r="C572" s="137" t="n">
        <v>151.7751617431641</v>
      </c>
      <c r="D572" s="137" t="n">
        <v>4048.419921875</v>
      </c>
      <c r="E572" s="71" t="n">
        <v>1.853961089263079</v>
      </c>
      <c r="F572" s="71" t="n">
        <v>0.06871667698291617</v>
      </c>
    </row>
    <row r="573">
      <c r="B573" s="70" t="n">
        <v>44992</v>
      </c>
      <c r="C573" s="137" t="n">
        <v>149.574951171875</v>
      </c>
      <c r="D573" s="137" t="n">
        <v>3986.3701171875</v>
      </c>
      <c r="E573" s="71" t="n">
        <v>-1.449651277599895</v>
      </c>
      <c r="F573" s="71" t="n">
        <v>-1.532691911533768</v>
      </c>
    </row>
    <row r="574">
      <c r="B574" s="70" t="n">
        <v>44993</v>
      </c>
      <c r="C574" s="137" t="n">
        <v>150.8279724121094</v>
      </c>
      <c r="D574" s="137" t="n">
        <v>3992.010009765625</v>
      </c>
      <c r="E574" s="71" t="n">
        <v>0.8377213098967218</v>
      </c>
      <c r="F574" s="71" t="n">
        <v>0.141479401368394</v>
      </c>
    </row>
    <row r="575">
      <c r="B575" s="70" t="n">
        <v>44994</v>
      </c>
      <c r="C575" s="137" t="n">
        <v>148.5784454345703</v>
      </c>
      <c r="D575" s="137" t="n">
        <v>3918.320068359375</v>
      </c>
      <c r="E575" s="71" t="n">
        <v>-1.491452110350378</v>
      </c>
      <c r="F575" s="71" t="n">
        <v>-1.845935787384867</v>
      </c>
    </row>
    <row r="576">
      <c r="B576" s="70" t="n">
        <v>44995</v>
      </c>
      <c r="C576" s="137" t="n">
        <v>146.5163421630859</v>
      </c>
      <c r="D576" s="137" t="n">
        <v>3861.590087890625</v>
      </c>
      <c r="E576" s="71" t="n">
        <v>-1.387888576605478</v>
      </c>
      <c r="F576" s="71" t="n">
        <v>-1.447813845705137</v>
      </c>
    </row>
    <row r="577">
      <c r="B577" s="70" t="n">
        <v>44998</v>
      </c>
      <c r="C577" s="137" t="n">
        <v>148.4600372314453</v>
      </c>
      <c r="D577" s="137" t="n">
        <v>3855.760009765625</v>
      </c>
      <c r="E577" s="71" t="n">
        <v>1.326606329139657</v>
      </c>
      <c r="F577" s="71" t="n">
        <v>-0.1509761003189447</v>
      </c>
    </row>
    <row r="578">
      <c r="B578" s="70" t="n">
        <v>44999</v>
      </c>
      <c r="C578" s="137" t="n">
        <v>150.5516815185547</v>
      </c>
      <c r="D578" s="137" t="n">
        <v>3919.2900390625</v>
      </c>
      <c r="E578" s="71" t="n">
        <v>1.408893818239143</v>
      </c>
      <c r="F578" s="71" t="n">
        <v>1.647665548062394</v>
      </c>
    </row>
    <row r="579">
      <c r="B579" s="70" t="n">
        <v>45000</v>
      </c>
      <c r="C579" s="137" t="n">
        <v>150.9463806152344</v>
      </c>
      <c r="D579" s="137" t="n">
        <v>3891.929931640625</v>
      </c>
      <c r="E579" s="71" t="n">
        <v>0.262168507650351</v>
      </c>
      <c r="F579" s="71" t="n">
        <v>-0.698088356543769</v>
      </c>
    </row>
    <row r="580">
      <c r="B580" s="70" t="n">
        <v>45001</v>
      </c>
      <c r="C580" s="137" t="n">
        <v>153.7681732177734</v>
      </c>
      <c r="D580" s="137" t="n">
        <v>3960.280029296875</v>
      </c>
      <c r="E580" s="71" t="n">
        <v>1.869400638185437</v>
      </c>
      <c r="F580" s="71" t="n">
        <v>1.756200621716664</v>
      </c>
    </row>
    <row r="581">
      <c r="B581" s="70" t="n">
        <v>45002</v>
      </c>
      <c r="C581" s="137" t="n">
        <v>152.9295349121094</v>
      </c>
      <c r="D581" s="137" t="n">
        <v>3916.639892578125</v>
      </c>
      <c r="E581" s="71" t="n">
        <v>-0.5453913434194768</v>
      </c>
      <c r="F581" s="71" t="n">
        <v>-1.101945731006759</v>
      </c>
    </row>
    <row r="582">
      <c r="B582" s="70" t="n">
        <v>45005</v>
      </c>
      <c r="C582" s="137" t="n">
        <v>155.2974548339844</v>
      </c>
      <c r="D582" s="137" t="n">
        <v>3951.570068359375</v>
      </c>
      <c r="E582" s="71" t="n">
        <v>1.548373192422159</v>
      </c>
      <c r="F582" s="71" t="n">
        <v>0.8918403718310097</v>
      </c>
    </row>
    <row r="583">
      <c r="B583" s="70" t="n">
        <v>45006</v>
      </c>
      <c r="C583" s="137" t="n">
        <v>157.15234375</v>
      </c>
      <c r="D583" s="137" t="n">
        <v>4002.8701171875</v>
      </c>
      <c r="E583" s="71" t="n">
        <v>1.194410377168453</v>
      </c>
      <c r="F583" s="71" t="n">
        <v>1.298219389778499</v>
      </c>
    </row>
    <row r="584">
      <c r="B584" s="70" t="n">
        <v>45007</v>
      </c>
      <c r="C584" s="137" t="n">
        <v>155.7217254638672</v>
      </c>
      <c r="D584" s="137" t="n">
        <v>3936.969970703125</v>
      </c>
      <c r="E584" s="71" t="n">
        <v>-0.9103384982973362</v>
      </c>
      <c r="F584" s="71" t="n">
        <v>-1.646322377571363</v>
      </c>
    </row>
    <row r="585">
      <c r="B585" s="70" t="n">
        <v>45008</v>
      </c>
      <c r="C585" s="137" t="n">
        <v>156.8070373535156</v>
      </c>
      <c r="D585" s="137" t="n">
        <v>3948.719970703125</v>
      </c>
      <c r="E585" s="71" t="n">
        <v>0.6969559876218057</v>
      </c>
      <c r="F585" s="71" t="n">
        <v>0.2984528733375402</v>
      </c>
    </row>
    <row r="586">
      <c r="B586" s="70" t="n">
        <v>45009</v>
      </c>
      <c r="C586" s="137" t="n">
        <v>158.1094055175781</v>
      </c>
      <c r="D586" s="137" t="n">
        <v>3970.989990234375</v>
      </c>
      <c r="E586" s="71" t="n">
        <v>0.8305546651750984</v>
      </c>
      <c r="F586" s="71" t="n">
        <v>0.5639807253104534</v>
      </c>
    </row>
    <row r="587">
      <c r="B587" s="70" t="n">
        <v>45012</v>
      </c>
      <c r="C587" s="137" t="n">
        <v>156.1657257080078</v>
      </c>
      <c r="D587" s="137" t="n">
        <v>3977.530029296875</v>
      </c>
      <c r="E587" s="71" t="n">
        <v>-1.22932586028488</v>
      </c>
      <c r="F587" s="71" t="n">
        <v>0.1646954305748238</v>
      </c>
    </row>
    <row r="588">
      <c r="B588" s="70" t="n">
        <v>45013</v>
      </c>
      <c r="C588" s="137" t="n">
        <v>155.5441131591797</v>
      </c>
      <c r="D588" s="137" t="n">
        <v>3971.27001953125</v>
      </c>
      <c r="E588" s="71" t="n">
        <v>-0.3980467199252047</v>
      </c>
      <c r="F588" s="71" t="n">
        <v>-0.157384349571621</v>
      </c>
    </row>
    <row r="589">
      <c r="B589" s="70" t="n">
        <v>45014</v>
      </c>
      <c r="C589" s="137" t="n">
        <v>158.6224670410156</v>
      </c>
      <c r="D589" s="137" t="n">
        <v>4027.81005859375</v>
      </c>
      <c r="E589" s="71" t="n">
        <v>1.97908735940755</v>
      </c>
      <c r="F589" s="71" t="n">
        <v>1.423726887983645</v>
      </c>
    </row>
    <row r="590">
      <c r="B590" s="70" t="n">
        <v>45015</v>
      </c>
      <c r="C590" s="137" t="n">
        <v>160.1912231445312</v>
      </c>
      <c r="D590" s="137" t="n">
        <v>4050.830078125</v>
      </c>
      <c r="E590" s="71" t="n">
        <v>0.9889873312271424</v>
      </c>
      <c r="F590" s="71" t="n">
        <v>0.5715269388667954</v>
      </c>
    </row>
    <row r="591">
      <c r="B591" s="70" t="n">
        <v>45016</v>
      </c>
      <c r="C591" s="137" t="n">
        <v>162.6972808837891</v>
      </c>
      <c r="D591" s="137" t="n">
        <v>4109.31005859375</v>
      </c>
      <c r="E591" s="71" t="n">
        <v>1.564416383160294</v>
      </c>
      <c r="F591" s="71" t="n">
        <v>1.443654247176385</v>
      </c>
    </row>
    <row r="592">
      <c r="B592" s="70" t="n">
        <v>45019</v>
      </c>
      <c r="C592" s="137" t="n">
        <v>163.9503173828125</v>
      </c>
      <c r="D592" s="137" t="n">
        <v>4124.509765625</v>
      </c>
      <c r="E592" s="71" t="n">
        <v>0.7701643765751776</v>
      </c>
      <c r="F592" s="71" t="n">
        <v>0.3698846476542395</v>
      </c>
    </row>
    <row r="593">
      <c r="B593" s="70" t="n">
        <v>45020</v>
      </c>
      <c r="C593" s="137" t="n">
        <v>163.4175567626953</v>
      </c>
      <c r="D593" s="137" t="n">
        <v>4100.60009765625</v>
      </c>
      <c r="E593" s="71" t="n">
        <v>-0.3249524786665847</v>
      </c>
      <c r="F593" s="71" t="n">
        <v>-0.5796972083329965</v>
      </c>
    </row>
    <row r="594">
      <c r="B594" s="70" t="n">
        <v>45021</v>
      </c>
      <c r="C594" s="137" t="n">
        <v>161.572509765625</v>
      </c>
      <c r="D594" s="137" t="n">
        <v>4090.3798828125</v>
      </c>
      <c r="E594" s="71" t="n">
        <v>-1.129038417671102</v>
      </c>
      <c r="F594" s="71" t="n">
        <v>-0.2492370531228194</v>
      </c>
    </row>
    <row r="595">
      <c r="B595" s="70" t="n">
        <v>45022</v>
      </c>
      <c r="C595" s="137" t="n">
        <v>162.4604797363281</v>
      </c>
      <c r="D595" s="137" t="n">
        <v>4105.02001953125</v>
      </c>
      <c r="E595" s="71" t="n">
        <v>0.5495798585979594</v>
      </c>
      <c r="F595" s="71" t="n">
        <v>0.3579163094427296</v>
      </c>
    </row>
    <row r="596">
      <c r="B596" s="70" t="n">
        <v>45026</v>
      </c>
      <c r="C596" s="137" t="n">
        <v>159.8656005859375</v>
      </c>
      <c r="D596" s="137" t="n">
        <v>4109.10986328125</v>
      </c>
      <c r="E596" s="71" t="n">
        <v>-1.597237158601317</v>
      </c>
      <c r="F596" s="71" t="n">
        <v>0.09963029974375814</v>
      </c>
    </row>
    <row r="597">
      <c r="B597" s="70" t="n">
        <v>45027</v>
      </c>
      <c r="C597" s="137" t="n">
        <v>158.6520385742188</v>
      </c>
      <c r="D597" s="137" t="n">
        <v>4108.93994140625</v>
      </c>
      <c r="E597" s="71" t="n">
        <v>-0.7591139102288147</v>
      </c>
      <c r="F597" s="71" t="n">
        <v>-0.004135247794623265</v>
      </c>
    </row>
    <row r="598">
      <c r="B598" s="70" t="n">
        <v>45028</v>
      </c>
      <c r="C598" s="137" t="n">
        <v>157.9614105224609</v>
      </c>
      <c r="D598" s="137" t="n">
        <v>4091.949951171875</v>
      </c>
      <c r="E598" s="71" t="n">
        <v>-0.4353099134208782</v>
      </c>
      <c r="F598" s="71" t="n">
        <v>-0.4134884052006904</v>
      </c>
    </row>
    <row r="599">
      <c r="B599" s="70" t="n">
        <v>45029</v>
      </c>
      <c r="C599" s="137" t="n">
        <v>163.3484802246094</v>
      </c>
      <c r="D599" s="137" t="n">
        <v>4146.22021484375</v>
      </c>
      <c r="E599" s="71" t="n">
        <v>3.410370725565604</v>
      </c>
      <c r="F599" s="71" t="n">
        <v>1.326268999363811</v>
      </c>
    </row>
    <row r="600">
      <c r="B600" s="70" t="n">
        <v>45030</v>
      </c>
      <c r="C600" s="137" t="n">
        <v>163.003173828125</v>
      </c>
      <c r="D600" s="137" t="n">
        <v>4137.64013671875</v>
      </c>
      <c r="E600" s="71" t="n">
        <v>-0.2113924757730201</v>
      </c>
      <c r="F600" s="71" t="n">
        <v>-0.2069373472803671</v>
      </c>
    </row>
    <row r="601">
      <c r="B601" s="70" t="n">
        <v>45033</v>
      </c>
      <c r="C601" s="137" t="n">
        <v>163.0228881835938</v>
      </c>
      <c r="D601" s="137" t="n">
        <v>4151.31982421875</v>
      </c>
      <c r="E601" s="71" t="n">
        <v>0.01209446111127832</v>
      </c>
      <c r="F601" s="71" t="n">
        <v>0.330615690296554</v>
      </c>
    </row>
    <row r="602">
      <c r="B602" s="70" t="n">
        <v>45034</v>
      </c>
      <c r="C602" s="137" t="n">
        <v>164.2463226318359</v>
      </c>
      <c r="D602" s="137" t="n">
        <v>4154.8701171875</v>
      </c>
      <c r="E602" s="71" t="n">
        <v>0.7504679016999694</v>
      </c>
      <c r="F602" s="71" t="n">
        <v>0.08552202959737354</v>
      </c>
    </row>
    <row r="603">
      <c r="B603" s="70" t="n">
        <v>45035</v>
      </c>
      <c r="C603" s="137" t="n">
        <v>165.3908538818359</v>
      </c>
      <c r="D603" s="137" t="n">
        <v>4154.52001953125</v>
      </c>
      <c r="E603" s="71" t="n">
        <v>0.6968382802490458</v>
      </c>
      <c r="F603" s="71" t="n">
        <v>-0.008426199769806519</v>
      </c>
    </row>
    <row r="604">
      <c r="B604" s="70" t="n">
        <v>45036</v>
      </c>
      <c r="C604" s="137" t="n">
        <v>164.4238891601562</v>
      </c>
      <c r="D604" s="137" t="n">
        <v>4129.7900390625</v>
      </c>
      <c r="E604" s="71" t="n">
        <v>-0.5846542895114215</v>
      </c>
      <c r="F604" s="71" t="n">
        <v>-0.595254815297297</v>
      </c>
    </row>
    <row r="605">
      <c r="B605" s="70" t="n">
        <v>45037</v>
      </c>
      <c r="C605" s="137" t="n">
        <v>162.8156890869141</v>
      </c>
      <c r="D605" s="137" t="n">
        <v>4133.52001953125</v>
      </c>
      <c r="E605" s="71" t="n">
        <v>-0.9780817626054539</v>
      </c>
      <c r="F605" s="71" t="n">
        <v>0.09031888869577287</v>
      </c>
    </row>
    <row r="606">
      <c r="B606" s="70" t="n">
        <v>45040</v>
      </c>
      <c r="C606" s="137" t="n">
        <v>163.1215209960938</v>
      </c>
      <c r="D606" s="137" t="n">
        <v>4137.0400390625</v>
      </c>
      <c r="E606" s="71" t="n">
        <v>0.1878393359355357</v>
      </c>
      <c r="F606" s="71" t="n">
        <v>0.08515791660903549</v>
      </c>
    </row>
    <row r="607">
      <c r="B607" s="70" t="n">
        <v>45041</v>
      </c>
      <c r="C607" s="137" t="n">
        <v>161.5823974609375</v>
      </c>
      <c r="D607" s="137" t="n">
        <v>4071.6298828125</v>
      </c>
      <c r="E607" s="71" t="n">
        <v>-0.9435441294059266</v>
      </c>
      <c r="F607" s="71" t="n">
        <v>-1.581085888277323</v>
      </c>
    </row>
    <row r="608">
      <c r="B608" s="70" t="n">
        <v>45042</v>
      </c>
      <c r="C608" s="137" t="n">
        <v>161.572509765625</v>
      </c>
      <c r="D608" s="137" t="n">
        <v>4055.989990234375</v>
      </c>
      <c r="E608" s="71" t="n">
        <v>-0.006119289890405</v>
      </c>
      <c r="F608" s="71" t="n">
        <v>-0.3841187197329843</v>
      </c>
    </row>
    <row r="609">
      <c r="B609" s="70" t="n">
        <v>45043</v>
      </c>
      <c r="C609" s="137" t="n">
        <v>166.160400390625</v>
      </c>
      <c r="D609" s="137" t="n">
        <v>4135.35009765625</v>
      </c>
      <c r="E609" s="71" t="n">
        <v>2.839524267869042</v>
      </c>
      <c r="F609" s="71" t="n">
        <v>1.956614972249704</v>
      </c>
    </row>
    <row r="610">
      <c r="B610" s="70" t="n">
        <v>45044</v>
      </c>
      <c r="C610" s="137" t="n">
        <v>167.4134063720703</v>
      </c>
      <c r="D610" s="137" t="n">
        <v>4169.47998046875</v>
      </c>
      <c r="E610" s="71" t="n">
        <v>0.7540942237137305</v>
      </c>
      <c r="F610" s="71" t="n">
        <v>0.8253202753460531</v>
      </c>
    </row>
    <row r="611">
      <c r="B611" s="70" t="n">
        <v>45047</v>
      </c>
      <c r="C611" s="137" t="n">
        <v>167.3246307373047</v>
      </c>
      <c r="D611" s="137" t="n">
        <v>4167.8701171875</v>
      </c>
      <c r="E611" s="71" t="n">
        <v>-0.05302779310775163</v>
      </c>
      <c r="F611" s="71" t="n">
        <v>-0.03861064902076494</v>
      </c>
    </row>
    <row r="612">
      <c r="B612" s="70" t="n">
        <v>45048</v>
      </c>
      <c r="C612" s="137" t="n">
        <v>166.2886810302734</v>
      </c>
      <c r="D612" s="137" t="n">
        <v>4119.580078125</v>
      </c>
      <c r="E612" s="71" t="n">
        <v>-0.6191256496227981</v>
      </c>
      <c r="F612" s="71" t="n">
        <v>-1.15862629364003</v>
      </c>
    </row>
    <row r="613">
      <c r="B613" s="70" t="n">
        <v>45049</v>
      </c>
      <c r="C613" s="137" t="n">
        <v>165.2132415771484</v>
      </c>
      <c r="D613" s="137" t="n">
        <v>4090.75</v>
      </c>
      <c r="E613" s="71" t="n">
        <v>-0.6467304006874675</v>
      </c>
      <c r="F613" s="71" t="n">
        <v>-0.6998305064656485</v>
      </c>
    </row>
    <row r="614">
      <c r="B614" s="70" t="n">
        <v>45050</v>
      </c>
      <c r="C614" s="137" t="n">
        <v>163.5753631591797</v>
      </c>
      <c r="D614" s="137" t="n">
        <v>4061.219970703125</v>
      </c>
      <c r="E614" s="71" t="n">
        <v>-0.9913723635789129</v>
      </c>
      <c r="F614" s="71" t="n">
        <v>-0.7218732334382416</v>
      </c>
    </row>
    <row r="615">
      <c r="B615" s="70" t="n">
        <v>45051</v>
      </c>
      <c r="C615" s="137" t="n">
        <v>171.2514953613281</v>
      </c>
      <c r="D615" s="137" t="n">
        <v>4136.25</v>
      </c>
      <c r="E615" s="71" t="n">
        <v>4.69271903414854</v>
      </c>
      <c r="F615" s="71" t="n">
        <v>1.847475138951538</v>
      </c>
    </row>
    <row r="616">
      <c r="B616" s="70" t="n">
        <v>45054</v>
      </c>
      <c r="C616" s="137" t="n">
        <v>171.1824035644531</v>
      </c>
      <c r="D616" s="137" t="n">
        <v>4138.1201171875</v>
      </c>
      <c r="E616" s="71" t="n">
        <v>-0.04034522252154282</v>
      </c>
      <c r="F616" s="71" t="n">
        <v>0.04521286642489297</v>
      </c>
    </row>
    <row r="617">
      <c r="B617" s="70" t="n">
        <v>45055</v>
      </c>
      <c r="C617" s="137" t="n">
        <v>169.4755401611328</v>
      </c>
      <c r="D617" s="137" t="n">
        <v>4119.169921875</v>
      </c>
      <c r="E617" s="71" t="n">
        <v>-0.9971021365391852</v>
      </c>
      <c r="F617" s="71" t="n">
        <v>-0.4579421277258522</v>
      </c>
    </row>
    <row r="618">
      <c r="B618" s="70" t="n">
        <v>45056</v>
      </c>
      <c r="C618" s="137" t="n">
        <v>171.2415924072266</v>
      </c>
      <c r="D618" s="137" t="n">
        <v>4137.64013671875</v>
      </c>
      <c r="E618" s="71" t="n">
        <v>1.042069105910315</v>
      </c>
      <c r="F618" s="71" t="n">
        <v>0.4483965263404999</v>
      </c>
    </row>
    <row r="619">
      <c r="B619" s="70" t="n">
        <v>45057</v>
      </c>
      <c r="C619" s="137" t="n">
        <v>171.4290618896484</v>
      </c>
      <c r="D619" s="137" t="n">
        <v>4130.6201171875</v>
      </c>
      <c r="E619" s="71" t="n">
        <v>0.1094766054125396</v>
      </c>
      <c r="F619" s="71" t="n">
        <v>-0.1696623993215907</v>
      </c>
    </row>
    <row r="620">
      <c r="B620" s="70" t="n">
        <v>45058</v>
      </c>
      <c r="C620" s="137" t="n">
        <v>170.5003509521484</v>
      </c>
      <c r="D620" s="137" t="n">
        <v>4124.080078125</v>
      </c>
      <c r="E620" s="71" t="n">
        <v>-0.5417464969258434</v>
      </c>
      <c r="F620" s="71" t="n">
        <v>-0.1583306834556653</v>
      </c>
    </row>
    <row r="621">
      <c r="B621" s="70" t="n">
        <v>45061</v>
      </c>
      <c r="C621" s="137" t="n">
        <v>170.0063323974609</v>
      </c>
      <c r="D621" s="137" t="n">
        <v>4136.27978515625</v>
      </c>
      <c r="E621" s="71" t="n">
        <v>-0.2897463564905833</v>
      </c>
      <c r="F621" s="71" t="n">
        <v>0.2958164439133881</v>
      </c>
    </row>
    <row r="622">
      <c r="B622" s="70" t="n">
        <v>45062</v>
      </c>
      <c r="C622" s="137" t="n">
        <v>170.0063323974609</v>
      </c>
      <c r="D622" s="137" t="n">
        <v>4109.89990234375</v>
      </c>
      <c r="E622" s="71" t="n">
        <v>0</v>
      </c>
      <c r="F622" s="71" t="n">
        <v>-0.6377683373153031</v>
      </c>
    </row>
    <row r="623">
      <c r="B623" s="70" t="n">
        <v>45063</v>
      </c>
      <c r="C623" s="137" t="n">
        <v>170.6189117431641</v>
      </c>
      <c r="D623" s="137" t="n">
        <v>4158.77001953125</v>
      </c>
      <c r="E623" s="71" t="n">
        <v>0.3603273696129339</v>
      </c>
      <c r="F623" s="71" t="n">
        <v>1.189082905878824</v>
      </c>
    </row>
    <row r="624">
      <c r="B624" s="70" t="n">
        <v>45064</v>
      </c>
      <c r="C624" s="137" t="n">
        <v>172.9506225585938</v>
      </c>
      <c r="D624" s="137" t="n">
        <v>4198.0498046875</v>
      </c>
      <c r="E624" s="71" t="n">
        <v>1.36661920510881</v>
      </c>
      <c r="F624" s="71" t="n">
        <v>0.9445048649426635</v>
      </c>
    </row>
    <row r="625">
      <c r="B625" s="70" t="n">
        <v>45065</v>
      </c>
      <c r="C625" s="137" t="n">
        <v>173.0592651367188</v>
      </c>
      <c r="D625" s="137" t="n">
        <v>4191.97998046875</v>
      </c>
      <c r="E625" s="71" t="n">
        <v>0.06281710728632817</v>
      </c>
      <c r="F625" s="71" t="n">
        <v>-0.1445867605470608</v>
      </c>
    </row>
    <row r="626">
      <c r="B626" s="70" t="n">
        <v>45068</v>
      </c>
      <c r="C626" s="137" t="n">
        <v>172.1107940673828</v>
      </c>
      <c r="D626" s="137" t="n">
        <v>4192.6298828125</v>
      </c>
      <c r="E626" s="71" t="n">
        <v>-0.5480614219566249</v>
      </c>
      <c r="F626" s="71" t="n">
        <v>0.01550346964389604</v>
      </c>
    </row>
    <row r="627">
      <c r="B627" s="70" t="n">
        <v>45069</v>
      </c>
      <c r="C627" s="137" t="n">
        <v>169.5024566650391</v>
      </c>
      <c r="D627" s="137" t="n">
        <v>4145.580078125</v>
      </c>
      <c r="E627" s="71" t="n">
        <v>-1.515499022869271</v>
      </c>
      <c r="F627" s="71" t="n">
        <v>-1.122202674755013</v>
      </c>
    </row>
    <row r="628">
      <c r="B628" s="70" t="n">
        <v>45070</v>
      </c>
      <c r="C628" s="137" t="n">
        <v>169.7790832519531</v>
      </c>
      <c r="D628" s="137" t="n">
        <v>4115.240234375</v>
      </c>
      <c r="E628" s="71" t="n">
        <v>0.1631991608597394</v>
      </c>
      <c r="F628" s="71" t="n">
        <v>-0.7318600335353365</v>
      </c>
    </row>
    <row r="629">
      <c r="B629" s="70" t="n">
        <v>45071</v>
      </c>
      <c r="C629" s="137" t="n">
        <v>170.9152984619141</v>
      </c>
      <c r="D629" s="137" t="n">
        <v>4151.27978515625</v>
      </c>
      <c r="E629" s="71" t="n">
        <v>0.6692315615079991</v>
      </c>
      <c r="F629" s="71" t="n">
        <v>0.8757581265902425</v>
      </c>
    </row>
    <row r="630">
      <c r="B630" s="70" t="n">
        <v>45072</v>
      </c>
      <c r="C630" s="137" t="n">
        <v>173.3260040283203</v>
      </c>
      <c r="D630" s="137" t="n">
        <v>4205.4501953125</v>
      </c>
      <c r="E630" s="71" t="n">
        <v>1.410467985078245</v>
      </c>
      <c r="F630" s="71" t="n">
        <v>1.304908677799732</v>
      </c>
    </row>
    <row r="631">
      <c r="B631" s="70" t="n">
        <v>45076</v>
      </c>
      <c r="C631" s="137" t="n">
        <v>175.1735992431641</v>
      </c>
      <c r="D631" s="137" t="n">
        <v>4205.52001953125</v>
      </c>
      <c r="E631" s="71" t="n">
        <v>1.065965390018397</v>
      </c>
      <c r="F631" s="71" t="n">
        <v>0.001660326849850513</v>
      </c>
    </row>
    <row r="632">
      <c r="B632" s="70" t="n">
        <v>45077</v>
      </c>
      <c r="C632" s="137" t="n">
        <v>175.1242065429688</v>
      </c>
      <c r="D632" s="137" t="n">
        <v>4179.830078125</v>
      </c>
      <c r="E632" s="71" t="n">
        <v>-0.02819642937559319</v>
      </c>
      <c r="F632" s="71" t="n">
        <v>-0.6108624209833935</v>
      </c>
    </row>
    <row r="633">
      <c r="B633" s="70" t="n">
        <v>45078</v>
      </c>
      <c r="C633" s="137" t="n">
        <v>177.9301605224609</v>
      </c>
      <c r="D633" s="137" t="n">
        <v>4221.02001953125</v>
      </c>
      <c r="E633" s="71" t="n">
        <v>1.602265063684172</v>
      </c>
      <c r="F633" s="71" t="n">
        <v>0.9854453563032717</v>
      </c>
    </row>
    <row r="634">
      <c r="B634" s="70" t="n">
        <v>45079</v>
      </c>
      <c r="C634" s="137" t="n">
        <v>178.7798156738281</v>
      </c>
      <c r="D634" s="137" t="n">
        <v>4282.3701171875</v>
      </c>
      <c r="E634" s="71" t="n">
        <v>0.4775217135039478</v>
      </c>
      <c r="F634" s="71" t="n">
        <v>1.453442470596555</v>
      </c>
    </row>
    <row r="635">
      <c r="B635" s="70" t="n">
        <v>45082</v>
      </c>
      <c r="C635" s="137" t="n">
        <v>177.42626953125</v>
      </c>
      <c r="D635" s="137" t="n">
        <v>4273.7900390625</v>
      </c>
      <c r="E635" s="71" t="n">
        <v>-0.7571023258282961</v>
      </c>
      <c r="F635" s="71" t="n">
        <v>-0.2003581635917739</v>
      </c>
    </row>
    <row r="636">
      <c r="B636" s="70" t="n">
        <v>45083</v>
      </c>
      <c r="C636" s="137" t="n">
        <v>177.0607147216797</v>
      </c>
      <c r="D636" s="137" t="n">
        <v>4283.85009765625</v>
      </c>
      <c r="E636" s="71" t="n">
        <v>-0.2060319537439903</v>
      </c>
      <c r="F636" s="71" t="n">
        <v>0.2353896307914161</v>
      </c>
    </row>
    <row r="637">
      <c r="B637" s="70" t="n">
        <v>45084</v>
      </c>
      <c r="C637" s="137" t="n">
        <v>175.6873931884766</v>
      </c>
      <c r="D637" s="137" t="n">
        <v>4267.52001953125</v>
      </c>
      <c r="E637" s="71" t="n">
        <v>-0.7756218172742635</v>
      </c>
      <c r="F637" s="71" t="n">
        <v>-0.3812009699857288</v>
      </c>
    </row>
    <row r="638">
      <c r="B638" s="70" t="n">
        <v>45085</v>
      </c>
      <c r="C638" s="137" t="n">
        <v>178.4044189453125</v>
      </c>
      <c r="D638" s="137" t="n">
        <v>4293.93017578125</v>
      </c>
      <c r="E638" s="71" t="n">
        <v>1.546511509747939</v>
      </c>
      <c r="F638" s="71" t="n">
        <v>0.6188642614241457</v>
      </c>
    </row>
    <row r="639">
      <c r="B639" s="70" t="n">
        <v>45086</v>
      </c>
      <c r="C639" s="137" t="n">
        <v>178.7897033691406</v>
      </c>
      <c r="D639" s="137" t="n">
        <v>4298.85986328125</v>
      </c>
      <c r="E639" s="71" t="n">
        <v>0.2159612559519575</v>
      </c>
      <c r="F639" s="71" t="n">
        <v>0.1148059539441082</v>
      </c>
    </row>
    <row r="640">
      <c r="B640" s="70" t="n">
        <v>45089</v>
      </c>
      <c r="C640" s="137" t="n">
        <v>181.5857849121094</v>
      </c>
      <c r="D640" s="137" t="n">
        <v>4338.93017578125</v>
      </c>
      <c r="E640" s="71" t="n">
        <v>1.563894055574244</v>
      </c>
      <c r="F640" s="71" t="n">
        <v>0.9321148810237156</v>
      </c>
    </row>
    <row r="641">
      <c r="B641" s="70" t="n">
        <v>45090</v>
      </c>
      <c r="C641" s="137" t="n">
        <v>181.1115417480469</v>
      </c>
      <c r="D641" s="137" t="n">
        <v>4369.009765625</v>
      </c>
      <c r="E641" s="71" t="n">
        <v>-0.2611675601655983</v>
      </c>
      <c r="F641" s="71" t="n">
        <v>0.6932489951473775</v>
      </c>
    </row>
    <row r="642">
      <c r="B642" s="70" t="n">
        <v>45091</v>
      </c>
      <c r="C642" s="137" t="n">
        <v>181.7438507080078</v>
      </c>
      <c r="D642" s="137" t="n">
        <v>4372.58984375</v>
      </c>
      <c r="E642" s="71" t="n">
        <v>0.349126816467904</v>
      </c>
      <c r="F642" s="71" t="n">
        <v>0.08194255259321714</v>
      </c>
    </row>
    <row r="643">
      <c r="B643" s="70" t="n">
        <v>45092</v>
      </c>
      <c r="C643" s="137" t="n">
        <v>183.7791595458984</v>
      </c>
      <c r="D643" s="137" t="n">
        <v>4425.83984375</v>
      </c>
      <c r="E643" s="71" t="n">
        <v>1.11987769047579</v>
      </c>
      <c r="F643" s="71" t="n">
        <v>1.217813742034668</v>
      </c>
    </row>
    <row r="644">
      <c r="B644" s="70" t="n">
        <v>45093</v>
      </c>
      <c r="C644" s="137" t="n">
        <v>182.7022399902344</v>
      </c>
      <c r="D644" s="137" t="n">
        <v>4409.58984375</v>
      </c>
      <c r="E644" s="71" t="n">
        <v>-0.5859856788577034</v>
      </c>
      <c r="F644" s="71" t="n">
        <v>-0.3671619528426318</v>
      </c>
    </row>
    <row r="645">
      <c r="B645" s="70" t="n">
        <v>45097</v>
      </c>
      <c r="C645" s="137" t="n">
        <v>182.7911376953125</v>
      </c>
      <c r="D645" s="137" t="n">
        <v>4388.7099609375</v>
      </c>
      <c r="E645" s="71" t="n">
        <v>0.0486571511563616</v>
      </c>
      <c r="F645" s="71" t="n">
        <v>-0.4735107697622865</v>
      </c>
    </row>
    <row r="646">
      <c r="B646" s="70" t="n">
        <v>45098</v>
      </c>
      <c r="C646" s="137" t="n">
        <v>181.7537384033203</v>
      </c>
      <c r="D646" s="137" t="n">
        <v>4365.68994140625</v>
      </c>
      <c r="E646" s="71" t="n">
        <v>-0.5675325976259193</v>
      </c>
      <c r="F646" s="71" t="n">
        <v>-0.5245281583003636</v>
      </c>
    </row>
    <row r="647">
      <c r="B647" s="70" t="n">
        <v>45099</v>
      </c>
      <c r="C647" s="137" t="n">
        <v>184.7572631835938</v>
      </c>
      <c r="D647" s="137" t="n">
        <v>4381.89013671875</v>
      </c>
      <c r="E647" s="71" t="n">
        <v>1.652524347867068</v>
      </c>
      <c r="F647" s="71" t="n">
        <v>0.3710798414438443</v>
      </c>
    </row>
    <row r="648">
      <c r="B648" s="70" t="n">
        <v>45100</v>
      </c>
      <c r="C648" s="137" t="n">
        <v>184.4411010742188</v>
      </c>
      <c r="D648" s="137" t="n">
        <v>4348.330078125</v>
      </c>
      <c r="E648" s="71" t="n">
        <v>-0.1711229663868941</v>
      </c>
      <c r="F648" s="71" t="n">
        <v>-0.7658808766684566</v>
      </c>
    </row>
    <row r="649">
      <c r="B649" s="70" t="n">
        <v>45103</v>
      </c>
      <c r="C649" s="137" t="n">
        <v>183.0480346679688</v>
      </c>
      <c r="D649" s="137" t="n">
        <v>4328.81982421875</v>
      </c>
      <c r="E649" s="71" t="n">
        <v>-0.7552906581757113</v>
      </c>
      <c r="F649" s="71" t="n">
        <v>-0.4486838293256468</v>
      </c>
    </row>
    <row r="650">
      <c r="B650" s="70" t="n">
        <v>45104</v>
      </c>
      <c r="C650" s="137" t="n">
        <v>185.8045806884766</v>
      </c>
      <c r="D650" s="137" t="n">
        <v>4378.41015625</v>
      </c>
      <c r="E650" s="71" t="n">
        <v>1.505914021698129</v>
      </c>
      <c r="F650" s="71" t="n">
        <v>1.145585495469303</v>
      </c>
    </row>
    <row r="651">
      <c r="B651" s="70" t="n">
        <v>45105</v>
      </c>
      <c r="C651" s="137" t="n">
        <v>186.9803009033203</v>
      </c>
      <c r="D651" s="137" t="n">
        <v>4376.85986328125</v>
      </c>
      <c r="E651" s="71" t="n">
        <v>0.6327724593695239</v>
      </c>
      <c r="F651" s="71" t="n">
        <v>-0.03540766884383428</v>
      </c>
    </row>
    <row r="652">
      <c r="B652" s="70" t="n">
        <v>45106</v>
      </c>
      <c r="C652" s="137" t="n">
        <v>187.3162231445312</v>
      </c>
      <c r="D652" s="137" t="n">
        <v>4396.43994140625</v>
      </c>
      <c r="E652" s="71" t="n">
        <v>0.179656487655655</v>
      </c>
      <c r="F652" s="71" t="n">
        <v>0.4473544672805918</v>
      </c>
    </row>
    <row r="653">
      <c r="B653" s="70" t="n">
        <v>45107</v>
      </c>
      <c r="C653" s="137" t="n">
        <v>191.6436920166016</v>
      </c>
      <c r="D653" s="137" t="n">
        <v>4450.3798828125</v>
      </c>
      <c r="E653" s="71" t="n">
        <v>2.310247772149121</v>
      </c>
      <c r="F653" s="71" t="n">
        <v>1.226900449571411</v>
      </c>
    </row>
    <row r="654">
      <c r="B654" s="70" t="n">
        <v>45110</v>
      </c>
      <c r="C654" s="137" t="n">
        <v>190.1517944335938</v>
      </c>
      <c r="D654" s="137" t="n">
        <v>4455.58984375</v>
      </c>
      <c r="E654" s="71" t="n">
        <v>-0.7784746616541605</v>
      </c>
      <c r="F654" s="71" t="n">
        <v>0.1170677801600961</v>
      </c>
    </row>
    <row r="655">
      <c r="B655" s="70" t="n">
        <v>45112</v>
      </c>
      <c r="C655" s="137" t="n">
        <v>189.0353393554688</v>
      </c>
      <c r="D655" s="137" t="n">
        <v>4446.81982421875</v>
      </c>
      <c r="E655" s="71" t="n">
        <v>-0.5871388600094951</v>
      </c>
      <c r="F655" s="71" t="n">
        <v>-0.1968318413229198</v>
      </c>
    </row>
    <row r="656">
      <c r="B656" s="70" t="n">
        <v>45113</v>
      </c>
      <c r="C656" s="137" t="n">
        <v>189.5095825195312</v>
      </c>
      <c r="D656" s="137" t="n">
        <v>4411.58984375</v>
      </c>
      <c r="E656" s="71" t="n">
        <v>0.2508754001655733</v>
      </c>
      <c r="F656" s="71" t="n">
        <v>-0.7922511336500904</v>
      </c>
    </row>
    <row r="657">
      <c r="B657" s="70" t="n">
        <v>45114</v>
      </c>
      <c r="C657" s="137" t="n">
        <v>188.3931121826172</v>
      </c>
      <c r="D657" s="137" t="n">
        <v>4398.9501953125</v>
      </c>
      <c r="E657" s="71" t="n">
        <v>-0.5891366136057785</v>
      </c>
      <c r="F657" s="71" t="n">
        <v>-0.2865100538620324</v>
      </c>
    </row>
    <row r="658">
      <c r="B658" s="70" t="n">
        <v>45117</v>
      </c>
      <c r="C658" s="137" t="n">
        <v>186.3479309082031</v>
      </c>
      <c r="D658" s="137" t="n">
        <v>4409.52978515625</v>
      </c>
      <c r="E658" s="71" t="n">
        <v>-1.085592382184131</v>
      </c>
      <c r="F658" s="71" t="n">
        <v>0.2405026057131332</v>
      </c>
    </row>
    <row r="659">
      <c r="B659" s="70" t="n">
        <v>45118</v>
      </c>
      <c r="C659" s="137" t="n">
        <v>185.8243408203125</v>
      </c>
      <c r="D659" s="137" t="n">
        <v>4439.259765625</v>
      </c>
      <c r="E659" s="71" t="n">
        <v>-0.2809744574778894</v>
      </c>
      <c r="F659" s="71" t="n">
        <v>0.674221105588857</v>
      </c>
    </row>
    <row r="660">
      <c r="B660" s="70" t="n">
        <v>45119</v>
      </c>
      <c r="C660" s="137" t="n">
        <v>187.4940185546875</v>
      </c>
      <c r="D660" s="137" t="n">
        <v>4472.16015625</v>
      </c>
      <c r="E660" s="71" t="n">
        <v>0.8985247718378941</v>
      </c>
      <c r="F660" s="71" t="n">
        <v>0.7411233485312474</v>
      </c>
    </row>
    <row r="661">
      <c r="B661" s="70" t="n">
        <v>45120</v>
      </c>
      <c r="C661" s="137" t="n">
        <v>188.2548065185547</v>
      </c>
      <c r="D661" s="137" t="n">
        <v>4510.0400390625</v>
      </c>
      <c r="E661" s="71" t="n">
        <v>0.405766525104001</v>
      </c>
      <c r="F661" s="71" t="n">
        <v>0.8470153458069118</v>
      </c>
    </row>
    <row r="662">
      <c r="B662" s="70" t="n">
        <v>45121</v>
      </c>
      <c r="C662" s="137" t="n">
        <v>188.4030151367188</v>
      </c>
      <c r="D662" s="137" t="n">
        <v>4505.419921875</v>
      </c>
      <c r="E662" s="71" t="n">
        <v>0.07872766751881866</v>
      </c>
      <c r="F662" s="71" t="n">
        <v>-0.102440713330354</v>
      </c>
    </row>
    <row r="663">
      <c r="B663" s="70" t="n">
        <v>45124</v>
      </c>
      <c r="C663" s="137" t="n">
        <v>191.6634674072266</v>
      </c>
      <c r="D663" s="137" t="n">
        <v>4522.7900390625</v>
      </c>
      <c r="E663" s="71" t="n">
        <v>1.730573296898541</v>
      </c>
      <c r="F663" s="71" t="n">
        <v>0.3855382514549532</v>
      </c>
    </row>
    <row r="664">
      <c r="B664" s="70" t="n">
        <v>45125</v>
      </c>
      <c r="C664" s="137" t="n">
        <v>191.4065704345703</v>
      </c>
      <c r="D664" s="137" t="n">
        <v>4554.97998046875</v>
      </c>
      <c r="E664" s="71" t="n">
        <v>-0.1340354404162247</v>
      </c>
      <c r="F664" s="71" t="n">
        <v>0.7117275205842377</v>
      </c>
    </row>
    <row r="665">
      <c r="B665" s="70" t="n">
        <v>45126</v>
      </c>
      <c r="C665" s="137" t="n">
        <v>192.7601165771484</v>
      </c>
      <c r="D665" s="137" t="n">
        <v>4565.72021484375</v>
      </c>
      <c r="E665" s="71" t="n">
        <v>0.7071576171627791</v>
      </c>
      <c r="F665" s="71" t="n">
        <v>0.2357910335732072</v>
      </c>
    </row>
    <row r="666">
      <c r="B666" s="70" t="n">
        <v>45127</v>
      </c>
      <c r="C666" s="137" t="n">
        <v>190.8137512207031</v>
      </c>
      <c r="D666" s="137" t="n">
        <v>4534.8701171875</v>
      </c>
      <c r="E666" s="71" t="n">
        <v>-1.009734477757651</v>
      </c>
      <c r="F666" s="71" t="n">
        <v>-0.6756896218903741</v>
      </c>
    </row>
    <row r="667">
      <c r="B667" s="70" t="n">
        <v>45128</v>
      </c>
      <c r="C667" s="137" t="n">
        <v>189.6380462646484</v>
      </c>
      <c r="D667" s="137" t="n">
        <v>4536.33984375</v>
      </c>
      <c r="E667" s="71" t="n">
        <v>-0.6161531590534119</v>
      </c>
      <c r="F667" s="71" t="n">
        <v>0.03240945218980773</v>
      </c>
    </row>
    <row r="668">
      <c r="B668" s="70" t="n">
        <v>45131</v>
      </c>
      <c r="C668" s="137" t="n">
        <v>190.4383544921875</v>
      </c>
      <c r="D668" s="137" t="n">
        <v>4554.64013671875</v>
      </c>
      <c r="E668" s="71" t="n">
        <v>0.4220188107307399</v>
      </c>
      <c r="F668" s="71" t="n">
        <v>0.4034153877153557</v>
      </c>
    </row>
    <row r="669">
      <c r="B669" s="70" t="n">
        <v>45132</v>
      </c>
      <c r="C669" s="137" t="n">
        <v>191.2978668212891</v>
      </c>
      <c r="D669" s="137" t="n">
        <v>4567.4599609375</v>
      </c>
      <c r="E669" s="71" t="n">
        <v>0.4513336252004008</v>
      </c>
      <c r="F669" s="71" t="n">
        <v>0.2814673351556163</v>
      </c>
    </row>
    <row r="670">
      <c r="B670" s="70" t="n">
        <v>45133</v>
      </c>
      <c r="C670" s="137" t="n">
        <v>192.1673278808594</v>
      </c>
      <c r="D670" s="137" t="n">
        <v>4566.75</v>
      </c>
      <c r="E670" s="71" t="n">
        <v>0.4545064061705295</v>
      </c>
      <c r="F670" s="71" t="n">
        <v>-0.01554388967985876</v>
      </c>
    </row>
    <row r="671">
      <c r="B671" s="70" t="n">
        <v>45134</v>
      </c>
      <c r="C671" s="137" t="n">
        <v>190.9026794433594</v>
      </c>
      <c r="D671" s="137" t="n">
        <v>4537.41015625</v>
      </c>
      <c r="E671" s="71" t="n">
        <v>-0.6580975296092251</v>
      </c>
      <c r="F671" s="71" t="n">
        <v>-0.6424666064487883</v>
      </c>
    </row>
    <row r="672">
      <c r="B672" s="70" t="n">
        <v>45135</v>
      </c>
      <c r="C672" s="137" t="n">
        <v>193.4813842773438</v>
      </c>
      <c r="D672" s="137" t="n">
        <v>4582.22998046875</v>
      </c>
      <c r="E672" s="71" t="n">
        <v>1.350795516073156</v>
      </c>
      <c r="F672" s="71" t="n">
        <v>0.9877842794752345</v>
      </c>
    </row>
    <row r="673">
      <c r="B673" s="70" t="n">
        <v>45138</v>
      </c>
      <c r="C673" s="137" t="n">
        <v>194.0939178466797</v>
      </c>
      <c r="D673" s="137" t="n">
        <v>4588.9599609375</v>
      </c>
      <c r="E673" s="71" t="n">
        <v>0.3165852733707286</v>
      </c>
      <c r="F673" s="71" t="n">
        <v>0.1468712940519312</v>
      </c>
    </row>
    <row r="674">
      <c r="B674" s="70" t="n">
        <v>45139</v>
      </c>
      <c r="C674" s="137" t="n">
        <v>193.2640075683594</v>
      </c>
      <c r="D674" s="137" t="n">
        <v>4576.72998046875</v>
      </c>
      <c r="E674" s="71" t="n">
        <v>-0.4275818055132774</v>
      </c>
      <c r="F674" s="71" t="n">
        <v>-0.2665087639215691</v>
      </c>
    </row>
    <row r="675">
      <c r="B675" s="70" t="n">
        <v>45140</v>
      </c>
      <c r="C675" s="137" t="n">
        <v>190.2703704833984</v>
      </c>
      <c r="D675" s="137" t="n">
        <v>4513.39013671875</v>
      </c>
      <c r="E675" s="71" t="n">
        <v>-1.548988413635222</v>
      </c>
      <c r="F675" s="71" t="n">
        <v>-1.38395413363479</v>
      </c>
    </row>
    <row r="676">
      <c r="B676" s="70" t="n">
        <v>45141</v>
      </c>
      <c r="C676" s="137" t="n">
        <v>188.8772735595703</v>
      </c>
      <c r="D676" s="137" t="n">
        <v>4501.89013671875</v>
      </c>
      <c r="E676" s="71" t="n">
        <v>-0.7321670317290141</v>
      </c>
      <c r="F676" s="71" t="n">
        <v>-0.254797384042682</v>
      </c>
    </row>
    <row r="677">
      <c r="B677" s="70" t="n">
        <v>45142</v>
      </c>
      <c r="C677" s="137" t="n">
        <v>179.8073577880859</v>
      </c>
      <c r="D677" s="137" t="n">
        <v>4478.02978515625</v>
      </c>
      <c r="E677" s="71" t="n">
        <v>-4.802015404263993</v>
      </c>
      <c r="F677" s="71" t="n">
        <v>-0.5300074155050516</v>
      </c>
    </row>
    <row r="678">
      <c r="B678" s="70" t="n">
        <v>45145</v>
      </c>
      <c r="C678" s="137" t="n">
        <v>176.7050476074219</v>
      </c>
      <c r="D678" s="137" t="n">
        <v>4518.43994140625</v>
      </c>
      <c r="E678" s="71" t="n">
        <v>-1.725352187378382</v>
      </c>
      <c r="F678" s="71" t="n">
        <v>0.902409277936278</v>
      </c>
    </row>
    <row r="679">
      <c r="B679" s="70" t="n">
        <v>45146</v>
      </c>
      <c r="C679" s="137" t="n">
        <v>177.6436309814453</v>
      </c>
      <c r="D679" s="137" t="n">
        <v>4499.3798828125</v>
      </c>
      <c r="E679" s="71" t="n">
        <v>0.5311582134929216</v>
      </c>
      <c r="F679" s="71" t="n">
        <v>-0.4218283044793103</v>
      </c>
    </row>
    <row r="680">
      <c r="B680" s="70" t="n">
        <v>45147</v>
      </c>
      <c r="C680" s="137" t="n">
        <v>176.0529327392578</v>
      </c>
      <c r="D680" s="137" t="n">
        <v>4467.7099609375</v>
      </c>
      <c r="E680" s="71" t="n">
        <v>-0.89544344111816</v>
      </c>
      <c r="F680" s="71" t="n">
        <v>-0.7038730380597102</v>
      </c>
    </row>
    <row r="681">
      <c r="B681" s="70" t="n">
        <v>45148</v>
      </c>
      <c r="C681" s="137" t="n">
        <v>175.8355712890625</v>
      </c>
      <c r="D681" s="137" t="n">
        <v>4468.830078125</v>
      </c>
      <c r="E681" s="71" t="n">
        <v>-0.1234636917507248</v>
      </c>
      <c r="F681" s="71" t="n">
        <v>0.02507139445697693</v>
      </c>
    </row>
    <row r="682">
      <c r="B682" s="70" t="n">
        <v>45149</v>
      </c>
      <c r="C682" s="137" t="n">
        <v>175.8949127197266</v>
      </c>
      <c r="D682" s="137" t="n">
        <v>4464.0498046875</v>
      </c>
      <c r="E682" s="71" t="n">
        <v>0.03374825140842752</v>
      </c>
      <c r="F682" s="71" t="n">
        <v>-0.1069692370023079</v>
      </c>
    </row>
    <row r="683">
      <c r="B683" s="70" t="n">
        <v>45152</v>
      </c>
      <c r="C683" s="137" t="n">
        <v>177.5471343994141</v>
      </c>
      <c r="D683" s="137" t="n">
        <v>4489.72021484375</v>
      </c>
      <c r="E683" s="71" t="n">
        <v>0.939323175491813</v>
      </c>
      <c r="F683" s="71" t="n">
        <v>0.5750475751703066</v>
      </c>
    </row>
    <row r="684">
      <c r="B684" s="70" t="n">
        <v>45153</v>
      </c>
      <c r="C684" s="137" t="n">
        <v>175.5585479736328</v>
      </c>
      <c r="D684" s="137" t="n">
        <v>4437.85986328125</v>
      </c>
      <c r="E684" s="71" t="n">
        <v>-1.120032960547657</v>
      </c>
      <c r="F684" s="71" t="n">
        <v>-1.155090942884174</v>
      </c>
    </row>
    <row r="685">
      <c r="B685" s="70" t="n">
        <v>45154</v>
      </c>
      <c r="C685" s="137" t="n">
        <v>174.6879577636719</v>
      </c>
      <c r="D685" s="137" t="n">
        <v>4404.330078125</v>
      </c>
      <c r="E685" s="71" t="n">
        <v>-0.4958973630219687</v>
      </c>
      <c r="F685" s="71" t="n">
        <v>-0.7555395210577687</v>
      </c>
    </row>
    <row r="686">
      <c r="B686" s="70" t="n">
        <v>45155</v>
      </c>
      <c r="C686" s="137" t="n">
        <v>172.1453399658203</v>
      </c>
      <c r="D686" s="137" t="n">
        <v>4370.35986328125</v>
      </c>
      <c r="E686" s="71" t="n">
        <v>-1.45551979106161</v>
      </c>
      <c r="F686" s="71" t="n">
        <v>-0.7712913029036983</v>
      </c>
    </row>
    <row r="687">
      <c r="B687" s="70" t="n">
        <v>45156</v>
      </c>
      <c r="C687" s="137" t="n">
        <v>172.6301116943359</v>
      </c>
      <c r="D687" s="137" t="n">
        <v>4369.7099609375</v>
      </c>
      <c r="E687" s="71" t="n">
        <v>0.2816060711325896</v>
      </c>
      <c r="F687" s="71" t="n">
        <v>-0.01487068260008773</v>
      </c>
    </row>
    <row r="688">
      <c r="B688" s="70" t="n">
        <v>45159</v>
      </c>
      <c r="C688" s="137" t="n">
        <v>173.9657287597656</v>
      </c>
      <c r="D688" s="137" t="n">
        <v>4399.77001953125</v>
      </c>
      <c r="E688" s="71" t="n">
        <v>0.773687192993644</v>
      </c>
      <c r="F688" s="71" t="n">
        <v>0.6879188518795987</v>
      </c>
    </row>
    <row r="689">
      <c r="B689" s="70" t="n">
        <v>45160</v>
      </c>
      <c r="C689" s="137" t="n">
        <v>175.3409118652344</v>
      </c>
      <c r="D689" s="137" t="n">
        <v>4387.5498046875</v>
      </c>
      <c r="E689" s="71" t="n">
        <v>0.790490814065925</v>
      </c>
      <c r="F689" s="71" t="n">
        <v>-0.2777466728829614</v>
      </c>
    </row>
    <row r="690">
      <c r="B690" s="70" t="n">
        <v>45161</v>
      </c>
      <c r="C690" s="137" t="n">
        <v>179.1894378662109</v>
      </c>
      <c r="D690" s="137" t="n">
        <v>4436.009765625</v>
      </c>
      <c r="E690" s="71" t="n">
        <v>2.194881936016424</v>
      </c>
      <c r="F690" s="71" t="n">
        <v>1.104487996597259</v>
      </c>
    </row>
    <row r="691">
      <c r="B691" s="70" t="n">
        <v>45162</v>
      </c>
      <c r="C691" s="137" t="n">
        <v>174.4999694824219</v>
      </c>
      <c r="D691" s="137" t="n">
        <v>4376.31005859375</v>
      </c>
      <c r="E691" s="71" t="n">
        <v>-2.61704508905839</v>
      </c>
      <c r="F691" s="71" t="n">
        <v>-1.345797466314613</v>
      </c>
    </row>
    <row r="692">
      <c r="B692" s="70" t="n">
        <v>45163</v>
      </c>
      <c r="C692" s="137" t="n">
        <v>176.7062072753906</v>
      </c>
      <c r="D692" s="137" t="n">
        <v>4405.7099609375</v>
      </c>
      <c r="E692" s="71" t="n">
        <v>1.264319873242692</v>
      </c>
      <c r="F692" s="71" t="n">
        <v>0.6717966037625089</v>
      </c>
    </row>
    <row r="693">
      <c r="B693" s="70" t="n">
        <v>45166</v>
      </c>
      <c r="C693" s="137" t="n">
        <v>178.2693481445312</v>
      </c>
      <c r="D693" s="137" t="n">
        <v>4433.31005859375</v>
      </c>
      <c r="E693" s="71" t="n">
        <v>0.8845987321229209</v>
      </c>
      <c r="F693" s="71" t="n">
        <v>0.6264619755036449</v>
      </c>
    </row>
    <row r="694">
      <c r="B694" s="70" t="n">
        <v>45167</v>
      </c>
      <c r="C694" s="137" t="n">
        <v>182.157470703125</v>
      </c>
      <c r="D694" s="137" t="n">
        <v>4497.6298828125</v>
      </c>
      <c r="E694" s="71" t="n">
        <v>2.181038186913398</v>
      </c>
      <c r="F694" s="71" t="n">
        <v>1.450830719454621</v>
      </c>
    </row>
    <row r="695">
      <c r="B695" s="70" t="n">
        <v>45168</v>
      </c>
      <c r="C695" s="137" t="n">
        <v>185.6498260498047</v>
      </c>
      <c r="D695" s="137" t="n">
        <v>4514.8701171875</v>
      </c>
      <c r="E695" s="71" t="n">
        <v>1.917217741989519</v>
      </c>
      <c r="F695" s="71" t="n">
        <v>0.3833182103508026</v>
      </c>
    </row>
    <row r="696">
      <c r="B696" s="70" t="n">
        <v>45169</v>
      </c>
      <c r="C696" s="137" t="n">
        <v>185.8674926757812</v>
      </c>
      <c r="D696" s="137" t="n">
        <v>4507.66015625</v>
      </c>
      <c r="E696" s="71" t="n">
        <v>0.1172458011989175</v>
      </c>
      <c r="F696" s="71" t="n">
        <v>-0.1596936512094249</v>
      </c>
    </row>
    <row r="697">
      <c r="B697" s="70" t="n">
        <v>45170</v>
      </c>
      <c r="C697" s="137" t="n">
        <v>187.4405364990234</v>
      </c>
      <c r="D697" s="137" t="n">
        <v>4515.77001953125</v>
      </c>
      <c r="E697" s="71" t="n">
        <v>0.8463254120429475</v>
      </c>
      <c r="F697" s="71" t="n">
        <v>0.1799129260001031</v>
      </c>
    </row>
    <row r="698">
      <c r="B698" s="70" t="n">
        <v>45174</v>
      </c>
      <c r="C698" s="137" t="n">
        <v>187.6779937744141</v>
      </c>
      <c r="D698" s="137" t="n">
        <v>4496.830078125</v>
      </c>
      <c r="E698" s="71" t="n">
        <v>0.1266840566218175</v>
      </c>
      <c r="F698" s="71" t="n">
        <v>-0.4194177587506065</v>
      </c>
    </row>
    <row r="699">
      <c r="B699" s="70" t="n">
        <v>45175</v>
      </c>
      <c r="C699" s="137" t="n">
        <v>180.9603729248047</v>
      </c>
      <c r="D699" s="137" t="n">
        <v>4465.47998046875</v>
      </c>
      <c r="E699" s="71" t="n">
        <v>-3.579333258263551</v>
      </c>
      <c r="F699" s="71" t="n">
        <v>-0.6971599351452862</v>
      </c>
    </row>
    <row r="700">
      <c r="B700" s="70" t="n">
        <v>45176</v>
      </c>
      <c r="C700" s="137" t="n">
        <v>175.6673736572266</v>
      </c>
      <c r="D700" s="137" t="n">
        <v>4451.14013671875</v>
      </c>
      <c r="E700" s="71" t="n">
        <v>-2.924949358817641</v>
      </c>
      <c r="F700" s="71" t="n">
        <v>-0.3211265936186036</v>
      </c>
    </row>
    <row r="701">
      <c r="B701" s="70" t="n">
        <v>45177</v>
      </c>
      <c r="C701" s="137" t="n">
        <v>176.28076171875</v>
      </c>
      <c r="D701" s="137" t="n">
        <v>4457.490234375</v>
      </c>
      <c r="E701" s="71" t="n">
        <v>0.3491758593262118</v>
      </c>
      <c r="F701" s="71" t="n">
        <v>0.1426622721640625</v>
      </c>
    </row>
    <row r="702">
      <c r="B702" s="70" t="n">
        <v>45180</v>
      </c>
      <c r="C702" s="137" t="n">
        <v>177.4482269287109</v>
      </c>
      <c r="D702" s="137" t="n">
        <v>4487.4599609375</v>
      </c>
      <c r="E702" s="71" t="n">
        <v>0.6622760184254117</v>
      </c>
      <c r="F702" s="71" t="n">
        <v>0.6723453106275201</v>
      </c>
    </row>
    <row r="703">
      <c r="B703" s="70" t="n">
        <v>45181</v>
      </c>
      <c r="C703" s="137" t="n">
        <v>174.4208374023438</v>
      </c>
      <c r="D703" s="137" t="n">
        <v>4461.89990234375</v>
      </c>
      <c r="E703" s="71" t="n">
        <v>-1.706069189174453</v>
      </c>
      <c r="F703" s="71" t="n">
        <v>-0.5695885604828921</v>
      </c>
    </row>
    <row r="704">
      <c r="B704" s="70" t="n">
        <v>45182</v>
      </c>
      <c r="C704" s="137" t="n">
        <v>172.3531036376953</v>
      </c>
      <c r="D704" s="137" t="n">
        <v>4467.43994140625</v>
      </c>
      <c r="E704" s="71" t="n">
        <v>-1.185485516205131</v>
      </c>
      <c r="F704" s="71" t="n">
        <v>0.1241632305464702</v>
      </c>
    </row>
    <row r="705">
      <c r="B705" s="70" t="n">
        <v>45183</v>
      </c>
      <c r="C705" s="137" t="n">
        <v>173.8667755126953</v>
      </c>
      <c r="D705" s="137" t="n">
        <v>4505.10009765625</v>
      </c>
      <c r="E705" s="71" t="n">
        <v>0.8782388266020957</v>
      </c>
      <c r="F705" s="71" t="n">
        <v>0.8429918867167929</v>
      </c>
    </row>
    <row r="706">
      <c r="B706" s="70" t="n">
        <v>45184</v>
      </c>
      <c r="C706" s="137" t="n">
        <v>173.1445770263672</v>
      </c>
      <c r="D706" s="137" t="n">
        <v>4450.31982421875</v>
      </c>
      <c r="E706" s="71" t="n">
        <v>-0.415374636240029</v>
      </c>
      <c r="F706" s="71" t="n">
        <v>-1.215961293867784</v>
      </c>
    </row>
    <row r="707">
      <c r="B707" s="70" t="n">
        <v>45187</v>
      </c>
      <c r="C707" s="137" t="n">
        <v>176.0730285644531</v>
      </c>
      <c r="D707" s="137" t="n">
        <v>4453.52978515625</v>
      </c>
      <c r="E707" s="71" t="n">
        <v>1.691333097680525</v>
      </c>
      <c r="F707" s="71" t="n">
        <v>0.07212876971294246</v>
      </c>
    </row>
    <row r="708">
      <c r="B708" s="70" t="n">
        <v>45188</v>
      </c>
      <c r="C708" s="137" t="n">
        <v>177.1613006591797</v>
      </c>
      <c r="D708" s="137" t="n">
        <v>4443.9501953125</v>
      </c>
      <c r="E708" s="71" t="n">
        <v>0.6180799544367677</v>
      </c>
      <c r="F708" s="71" t="n">
        <v>-0.2151010615372817</v>
      </c>
    </row>
    <row r="709">
      <c r="B709" s="70" t="n">
        <v>45189</v>
      </c>
      <c r="C709" s="137" t="n">
        <v>173.6194610595703</v>
      </c>
      <c r="D709" s="137" t="n">
        <v>4402.2001953125</v>
      </c>
      <c r="E709" s="71" t="n">
        <v>-1.999217428654532</v>
      </c>
      <c r="F709" s="71" t="n">
        <v>-0.9394794758059599</v>
      </c>
    </row>
    <row r="710">
      <c r="B710" s="70" t="n">
        <v>45190</v>
      </c>
      <c r="C710" s="137" t="n">
        <v>172.0760803222656</v>
      </c>
      <c r="D710" s="137" t="n">
        <v>4330</v>
      </c>
      <c r="E710" s="71" t="n">
        <v>-0.8889445502743287</v>
      </c>
      <c r="F710" s="71" t="n">
        <v>-1.640093410321941</v>
      </c>
    </row>
    <row r="711">
      <c r="B711" s="70" t="n">
        <v>45191</v>
      </c>
      <c r="C711" s="137" t="n">
        <v>172.9269256591797</v>
      </c>
      <c r="D711" s="137" t="n">
        <v>4320.06005859375</v>
      </c>
      <c r="E711" s="71" t="n">
        <v>0.4944588087551827</v>
      </c>
      <c r="F711" s="71" t="n">
        <v>-0.2295598477193961</v>
      </c>
    </row>
    <row r="712">
      <c r="B712" s="70" t="n">
        <v>45194</v>
      </c>
      <c r="C712" s="137" t="n">
        <v>174.2031860351562</v>
      </c>
      <c r="D712" s="137" t="n">
        <v>4337.43994140625</v>
      </c>
      <c r="E712" s="71" t="n">
        <v>0.738034502788687</v>
      </c>
      <c r="F712" s="71" t="n">
        <v>0.4023065090941635</v>
      </c>
    </row>
    <row r="713">
      <c r="B713" s="70" t="n">
        <v>45195</v>
      </c>
      <c r="C713" s="137" t="n">
        <v>170.1270904541016</v>
      </c>
      <c r="D713" s="137" t="n">
        <v>4273.52978515625</v>
      </c>
      <c r="E713" s="71" t="n">
        <v>-2.339851339017418</v>
      </c>
      <c r="F713" s="71" t="n">
        <v>-1.473453399086821</v>
      </c>
    </row>
    <row r="714">
      <c r="B714" s="70" t="n">
        <v>45196</v>
      </c>
      <c r="C714" s="137" t="n">
        <v>168.6133880615234</v>
      </c>
      <c r="D714" s="137" t="n">
        <v>4274.509765625</v>
      </c>
      <c r="E714" s="71" t="n">
        <v>-0.8897480045875206</v>
      </c>
      <c r="F714" s="71" t="n">
        <v>0.02293140607452226</v>
      </c>
    </row>
    <row r="715">
      <c r="B715" s="70" t="n">
        <v>45197</v>
      </c>
      <c r="C715" s="137" t="n">
        <v>168.8706359863281</v>
      </c>
      <c r="D715" s="137" t="n">
        <v>4299.7001953125</v>
      </c>
      <c r="E715" s="71" t="n">
        <v>0.1525667254315577</v>
      </c>
      <c r="F715" s="71" t="n">
        <v>0.5893173970516585</v>
      </c>
    </row>
    <row r="716">
      <c r="B716" s="70" t="n">
        <v>45198</v>
      </c>
      <c r="C716" s="137" t="n">
        <v>169.3850860595703</v>
      </c>
      <c r="D716" s="137" t="n">
        <v>4288.0498046875</v>
      </c>
      <c r="E716" s="71" t="n">
        <v>0.3046415205565145</v>
      </c>
      <c r="F716" s="71" t="n">
        <v>-0.2709582086142026</v>
      </c>
    </row>
    <row r="717">
      <c r="B717" s="70" t="n">
        <v>45201</v>
      </c>
      <c r="C717" s="137" t="n">
        <v>171.8979797363281</v>
      </c>
      <c r="D717" s="137" t="n">
        <v>4288.39013671875</v>
      </c>
      <c r="E717" s="71" t="n">
        <v>1.483538920229388</v>
      </c>
      <c r="F717" s="71" t="n">
        <v>0.007936755559079245</v>
      </c>
    </row>
    <row r="718">
      <c r="B718" s="70" t="n">
        <v>45202</v>
      </c>
      <c r="C718" s="137" t="n">
        <v>170.5623779296875</v>
      </c>
      <c r="D718" s="137" t="n">
        <v>4229.4501953125</v>
      </c>
      <c r="E718" s="71" t="n">
        <v>-0.7769735331905947</v>
      </c>
      <c r="F718" s="71" t="n">
        <v>-1.374407167425951</v>
      </c>
    </row>
    <row r="719">
      <c r="B719" s="70" t="n">
        <v>45203</v>
      </c>
      <c r="C719" s="137" t="n">
        <v>171.8089599609375</v>
      </c>
      <c r="D719" s="137" t="n">
        <v>4263.75</v>
      </c>
      <c r="E719" s="71" t="n">
        <v>0.7308657667541851</v>
      </c>
      <c r="F719" s="71" t="n">
        <v>0.8109754957160709</v>
      </c>
    </row>
    <row r="720">
      <c r="B720" s="70" t="n">
        <v>45204</v>
      </c>
      <c r="C720" s="137" t="n">
        <v>173.0456390380859</v>
      </c>
      <c r="D720" s="137" t="n">
        <v>4258.18994140625</v>
      </c>
      <c r="E720" s="71" t="n">
        <v>0.7197989426334761</v>
      </c>
      <c r="F720" s="71" t="n">
        <v>-0.1304030159777203</v>
      </c>
    </row>
    <row r="721">
      <c r="B721" s="70" t="n">
        <v>45205</v>
      </c>
      <c r="C721" s="137" t="n">
        <v>175.59814453125</v>
      </c>
      <c r="D721" s="137" t="n">
        <v>4308.5</v>
      </c>
      <c r="E721" s="71" t="n">
        <v>1.475047569735244</v>
      </c>
      <c r="F721" s="71" t="n">
        <v>1.181489301464445</v>
      </c>
    </row>
    <row r="722">
      <c r="B722" s="70" t="n">
        <v>45208</v>
      </c>
      <c r="C722" s="137" t="n">
        <v>177.0821533203125</v>
      </c>
      <c r="D722" s="137" t="n">
        <v>4335.66015625</v>
      </c>
      <c r="E722" s="71" t="n">
        <v>0.8451164407368816</v>
      </c>
      <c r="F722" s="71" t="n">
        <v>0.630385429964031</v>
      </c>
    </row>
    <row r="723">
      <c r="B723" s="70" t="n">
        <v>45209</v>
      </c>
      <c r="C723" s="137" t="n">
        <v>176.4885711669922</v>
      </c>
      <c r="D723" s="137" t="n">
        <v>4358.240234375</v>
      </c>
      <c r="E723" s="71" t="n">
        <v>-0.3352015672898556</v>
      </c>
      <c r="F723" s="71" t="n">
        <v>0.5207990781392224</v>
      </c>
    </row>
    <row r="724">
      <c r="B724" s="70" t="n">
        <v>45210</v>
      </c>
      <c r="C724" s="137" t="n">
        <v>177.8834991455078</v>
      </c>
      <c r="D724" s="137" t="n">
        <v>4376.9501953125</v>
      </c>
      <c r="E724" s="71" t="n">
        <v>0.7903786456493922</v>
      </c>
      <c r="F724" s="71" t="n">
        <v>0.429300817103373</v>
      </c>
    </row>
    <row r="725">
      <c r="B725" s="70" t="n">
        <v>45211</v>
      </c>
      <c r="C725" s="137" t="n">
        <v>178.7838439941406</v>
      </c>
      <c r="D725" s="137" t="n">
        <v>4349.60986328125</v>
      </c>
      <c r="E725" s="71" t="n">
        <v>0.5061429828835839</v>
      </c>
      <c r="F725" s="71" t="n">
        <v>-0.624643434611849</v>
      </c>
    </row>
    <row r="726">
      <c r="B726" s="70" t="n">
        <v>45212</v>
      </c>
      <c r="C726" s="137" t="n">
        <v>176.9436645507812</v>
      </c>
      <c r="D726" s="137" t="n">
        <v>4327.77978515625</v>
      </c>
      <c r="E726" s="71" t="n">
        <v>-1.029276137176982</v>
      </c>
      <c r="F726" s="71" t="n">
        <v>-0.5018858888767519</v>
      </c>
    </row>
    <row r="727">
      <c r="B727" s="70" t="n">
        <v>45215</v>
      </c>
      <c r="C727" s="137" t="n">
        <v>176.8149871826172</v>
      </c>
      <c r="D727" s="137" t="n">
        <v>4373.6298828125</v>
      </c>
      <c r="E727" s="71" t="n">
        <v>-0.07272222404270945</v>
      </c>
      <c r="F727" s="71" t="n">
        <v>1.059436938392988</v>
      </c>
    </row>
    <row r="728">
      <c r="B728" s="70" t="n">
        <v>45216</v>
      </c>
      <c r="C728" s="137" t="n">
        <v>175.2617645263672</v>
      </c>
      <c r="D728" s="137" t="n">
        <v>4373.2001953125</v>
      </c>
      <c r="E728" s="71" t="n">
        <v>-0.8784451369191926</v>
      </c>
      <c r="F728" s="71" t="n">
        <v>-0.009824505308242415</v>
      </c>
    </row>
    <row r="729">
      <c r="B729" s="70" t="n">
        <v>45217</v>
      </c>
      <c r="C729" s="137" t="n">
        <v>173.9657287597656</v>
      </c>
      <c r="D729" s="137" t="n">
        <v>4314.60009765625</v>
      </c>
      <c r="E729" s="71" t="n">
        <v>-0.7394857458522308</v>
      </c>
      <c r="F729" s="71" t="n">
        <v>-1.339982050651645</v>
      </c>
    </row>
    <row r="730">
      <c r="B730" s="70" t="n">
        <v>45218</v>
      </c>
      <c r="C730" s="137" t="n">
        <v>173.5897827148438</v>
      </c>
      <c r="D730" s="137" t="n">
        <v>4278</v>
      </c>
      <c r="E730" s="71" t="n">
        <v>-0.2161035093532382</v>
      </c>
      <c r="F730" s="71" t="n">
        <v>-0.8482848196321058</v>
      </c>
    </row>
    <row r="731">
      <c r="B731" s="70" t="n">
        <v>45219</v>
      </c>
      <c r="C731" s="137" t="n">
        <v>171.0372924804688</v>
      </c>
      <c r="D731" s="137" t="n">
        <v>4224.16015625</v>
      </c>
      <c r="E731" s="71" t="n">
        <v>-1.470415017782456</v>
      </c>
      <c r="F731" s="71" t="n">
        <v>-1.258528371902756</v>
      </c>
    </row>
    <row r="732">
      <c r="B732" s="70" t="n">
        <v>45222</v>
      </c>
      <c r="C732" s="137" t="n">
        <v>171.1559906005859</v>
      </c>
      <c r="D732" s="137" t="n">
        <v>4217.0400390625</v>
      </c>
      <c r="E732" s="71" t="n">
        <v>0.06939897047928412</v>
      </c>
      <c r="F732" s="71" t="n">
        <v>-0.1685569894163463</v>
      </c>
    </row>
    <row r="733">
      <c r="B733" s="70" t="n">
        <v>45223</v>
      </c>
      <c r="C733" s="137" t="n">
        <v>171.59130859375</v>
      </c>
      <c r="D733" s="137" t="n">
        <v>4247.68017578125</v>
      </c>
      <c r="E733" s="71" t="n">
        <v>0.2543399104153909</v>
      </c>
      <c r="F733" s="71" t="n">
        <v>0.7265792222727274</v>
      </c>
    </row>
    <row r="734">
      <c r="B734" s="70" t="n">
        <v>45224</v>
      </c>
      <c r="C734" s="137" t="n">
        <v>169.2762603759766</v>
      </c>
      <c r="D734" s="137" t="n">
        <v>4186.77001953125</v>
      </c>
      <c r="E734" s="71" t="n">
        <v>-1.349164032109806</v>
      </c>
      <c r="F734" s="71" t="n">
        <v>-1.433962862771254</v>
      </c>
    </row>
    <row r="735">
      <c r="B735" s="70" t="n">
        <v>45225</v>
      </c>
      <c r="C735" s="137" t="n">
        <v>165.1111145019531</v>
      </c>
      <c r="D735" s="137" t="n">
        <v>4137.22998046875</v>
      </c>
      <c r="E735" s="71" t="n">
        <v>-2.460561135254502</v>
      </c>
      <c r="F735" s="71" t="n">
        <v>-1.183251977810962</v>
      </c>
    </row>
    <row r="736">
      <c r="B736" s="70" t="n">
        <v>45226</v>
      </c>
      <c r="C736" s="137" t="n">
        <v>166.4269409179688</v>
      </c>
      <c r="D736" s="137" t="n">
        <v>4117.3701171875</v>
      </c>
      <c r="E736" s="71" t="n">
        <v>0.7969338829701522</v>
      </c>
      <c r="F736" s="71" t="n">
        <v>-0.4800280229768528</v>
      </c>
    </row>
    <row r="737">
      <c r="B737" s="70" t="n">
        <v>45229</v>
      </c>
      <c r="C737" s="137" t="n">
        <v>168.4748840332031</v>
      </c>
      <c r="D737" s="137" t="n">
        <v>4166.81982421875</v>
      </c>
      <c r="E737" s="71" t="n">
        <v>1.230535815859102</v>
      </c>
      <c r="F737" s="71" t="n">
        <v>1.20100223258599</v>
      </c>
    </row>
    <row r="738">
      <c r="B738" s="70" t="n">
        <v>45230</v>
      </c>
      <c r="C738" s="137" t="n">
        <v>168.9497833251953</v>
      </c>
      <c r="D738" s="137" t="n">
        <v>4193.7998046875</v>
      </c>
      <c r="E738" s="71" t="n">
        <v>0.2818813585879099</v>
      </c>
      <c r="F738" s="71" t="n">
        <v>0.6474957307233353</v>
      </c>
    </row>
    <row r="739">
      <c r="B739" s="70" t="n">
        <v>45231</v>
      </c>
      <c r="C739" s="137" t="n">
        <v>172.1156463623047</v>
      </c>
      <c r="D739" s="137" t="n">
        <v>4237.85986328125</v>
      </c>
      <c r="E739" s="71" t="n">
        <v>1.873848533451916</v>
      </c>
      <c r="F739" s="71" t="n">
        <v>1.050599948631392</v>
      </c>
    </row>
    <row r="740">
      <c r="B740" s="70" t="n">
        <v>45232</v>
      </c>
      <c r="C740" s="137" t="n">
        <v>175.6773071289062</v>
      </c>
      <c r="D740" s="137" t="n">
        <v>4317.77978515625</v>
      </c>
      <c r="E740" s="71" t="n">
        <v>2.069341655960888</v>
      </c>
      <c r="F740" s="71" t="n">
        <v>1.885855702012762</v>
      </c>
    </row>
    <row r="741">
      <c r="B741" s="70" t="n">
        <v>45233</v>
      </c>
      <c r="C741" s="137" t="n">
        <v>174.76708984375</v>
      </c>
      <c r="D741" s="137" t="n">
        <v>4358.33984375</v>
      </c>
      <c r="E741" s="71" t="n">
        <v>-0.5181188737645614</v>
      </c>
      <c r="F741" s="71" t="n">
        <v>0.9393730253031363</v>
      </c>
    </row>
    <row r="742">
      <c r="B742" s="70" t="n">
        <v>45236</v>
      </c>
      <c r="C742" s="137" t="n">
        <v>177.3195953369141</v>
      </c>
      <c r="D742" s="137" t="n">
        <v>4365.97998046875</v>
      </c>
      <c r="E742" s="71" t="n">
        <v>1.46051839362098</v>
      </c>
      <c r="F742" s="71" t="n">
        <v>0.1752992422035637</v>
      </c>
    </row>
    <row r="743">
      <c r="B743" s="70" t="n">
        <v>45237</v>
      </c>
      <c r="C743" s="137" t="n">
        <v>179.8819580078125</v>
      </c>
      <c r="D743" s="137" t="n">
        <v>4378.3798828125</v>
      </c>
      <c r="E743" s="71" t="n">
        <v>1.445053303911403</v>
      </c>
      <c r="F743" s="71" t="n">
        <v>0.2840118919285262</v>
      </c>
    </row>
    <row r="744">
      <c r="B744" s="70" t="n">
        <v>45238</v>
      </c>
      <c r="C744" s="137" t="n">
        <v>180.9405822753906</v>
      </c>
      <c r="D744" s="137" t="n">
        <v>4382.77978515625</v>
      </c>
      <c r="E744" s="71" t="n">
        <v>0.5885105317411155</v>
      </c>
      <c r="F744" s="71" t="n">
        <v>0.1004915622105251</v>
      </c>
    </row>
    <row r="745">
      <c r="B745" s="70" t="n">
        <v>45239</v>
      </c>
      <c r="C745" s="137" t="n">
        <v>180.4656982421875</v>
      </c>
      <c r="D745" s="137" t="n">
        <v>4347.35009765625</v>
      </c>
      <c r="E745" s="71" t="n">
        <v>-0.2624530258669822</v>
      </c>
      <c r="F745" s="71" t="n">
        <v>-0.8083839306732843</v>
      </c>
    </row>
    <row r="746">
      <c r="B746" s="70" t="n">
        <v>45240</v>
      </c>
      <c r="C746" s="137" t="n">
        <v>184.6561126708984</v>
      </c>
      <c r="D746" s="137" t="n">
        <v>4415.240234375</v>
      </c>
      <c r="E746" s="71" t="n">
        <v>2.322000507313748</v>
      </c>
      <c r="F746" s="71" t="n">
        <v>1.56164410948525</v>
      </c>
    </row>
    <row r="747">
      <c r="B747" s="70" t="n">
        <v>45243</v>
      </c>
      <c r="C747" s="137" t="n">
        <v>183.0710754394531</v>
      </c>
      <c r="D747" s="137" t="n">
        <v>4411.5498046875</v>
      </c>
      <c r="E747" s="71" t="n">
        <v>-0.8583724678912885</v>
      </c>
      <c r="F747" s="71" t="n">
        <v>-0.08358389332403515</v>
      </c>
    </row>
    <row r="748">
      <c r="B748" s="70" t="n">
        <v>45244</v>
      </c>
      <c r="C748" s="137" t="n">
        <v>185.6863708496094</v>
      </c>
      <c r="D748" s="137" t="n">
        <v>4495.7001953125</v>
      </c>
      <c r="E748" s="71" t="n">
        <v>1.428568332751867</v>
      </c>
      <c r="F748" s="71" t="n">
        <v>1.907501770366182</v>
      </c>
    </row>
    <row r="749">
      <c r="B749" s="70" t="n">
        <v>45245</v>
      </c>
      <c r="C749" s="137" t="n">
        <v>186.2510375976562</v>
      </c>
      <c r="D749" s="137" t="n">
        <v>4502.8798828125</v>
      </c>
      <c r="E749" s="71" t="n">
        <v>0.3040970349429184</v>
      </c>
      <c r="F749" s="71" t="n">
        <v>0.1597012075557513</v>
      </c>
    </row>
    <row r="750">
      <c r="B750" s="70" t="n">
        <v>45246</v>
      </c>
      <c r="C750" s="137" t="n">
        <v>187.9351501464844</v>
      </c>
      <c r="D750" s="137" t="n">
        <v>4508.240234375</v>
      </c>
      <c r="E750" s="71" t="n">
        <v>0.9042164653419338</v>
      </c>
      <c r="F750" s="71" t="n">
        <v>0.1190427393579885</v>
      </c>
    </row>
    <row r="751">
      <c r="B751" s="70" t="n">
        <v>45247</v>
      </c>
      <c r="C751" s="137" t="n">
        <v>187.9153442382812</v>
      </c>
      <c r="D751" s="137" t="n">
        <v>4514.02001953125</v>
      </c>
      <c r="E751" s="71" t="n">
        <v>-0.01053869283514919</v>
      </c>
      <c r="F751" s="71" t="n">
        <v>0.1282049060336021</v>
      </c>
    </row>
    <row r="752">
      <c r="B752" s="70" t="n">
        <v>45250</v>
      </c>
      <c r="C752" s="137" t="n">
        <v>189.6588592529297</v>
      </c>
      <c r="D752" s="137" t="n">
        <v>4547.3798828125</v>
      </c>
      <c r="E752" s="71" t="n">
        <v>0.9278193974610494</v>
      </c>
      <c r="F752" s="71" t="n">
        <v>0.7390278097329839</v>
      </c>
    </row>
    <row r="753">
      <c r="B753" s="70" t="n">
        <v>45251</v>
      </c>
      <c r="C753" s="137" t="n">
        <v>188.8564453125</v>
      </c>
      <c r="D753" s="137" t="n">
        <v>4538.18994140625</v>
      </c>
      <c r="E753" s="71" t="n">
        <v>-0.4230827621712008</v>
      </c>
      <c r="F753" s="71" t="n">
        <v>-0.2020931095065293</v>
      </c>
    </row>
    <row r="754">
      <c r="B754" s="70" t="n">
        <v>45252</v>
      </c>
      <c r="C754" s="137" t="n">
        <v>189.5201873779297</v>
      </c>
      <c r="D754" s="137" t="n">
        <v>4556.6201171875</v>
      </c>
      <c r="E754" s="71" t="n">
        <v>0.3514532238131363</v>
      </c>
      <c r="F754" s="71" t="n">
        <v>0.406112922094648</v>
      </c>
    </row>
    <row r="755">
      <c r="B755" s="70" t="n">
        <v>45254</v>
      </c>
      <c r="C755" s="137" t="n">
        <v>188.1927337646484</v>
      </c>
      <c r="D755" s="137" t="n">
        <v>4559.33984375</v>
      </c>
      <c r="E755" s="71" t="n">
        <v>-0.7004286095571133</v>
      </c>
      <c r="F755" s="71" t="n">
        <v>0.05968736678840791</v>
      </c>
    </row>
    <row r="756">
      <c r="B756" s="70" t="n">
        <v>45257</v>
      </c>
      <c r="C756" s="137" t="n">
        <v>188.014404296875</v>
      </c>
      <c r="D756" s="137" t="n">
        <v>4550.43017578125</v>
      </c>
      <c r="E756" s="71" t="n">
        <v>-0.09475895493203934</v>
      </c>
      <c r="F756" s="71" t="n">
        <v>-0.1954157460090089</v>
      </c>
    </row>
    <row r="757">
      <c r="B757" s="70" t="n">
        <v>45258</v>
      </c>
      <c r="C757" s="137" t="n">
        <v>188.6186981201172</v>
      </c>
      <c r="D757" s="137" t="n">
        <v>4554.89013671875</v>
      </c>
      <c r="E757" s="71" t="n">
        <v>0.3214082588523404</v>
      </c>
      <c r="F757" s="71" t="n">
        <v>0.09801185306033133</v>
      </c>
    </row>
    <row r="758">
      <c r="B758" s="70" t="n">
        <v>45259</v>
      </c>
      <c r="C758" s="137" t="n">
        <v>187.5983428955078</v>
      </c>
      <c r="D758" s="137" t="n">
        <v>4550.580078125</v>
      </c>
      <c r="E758" s="71" t="n">
        <v>-0.5409618636852187</v>
      </c>
      <c r="F758" s="71" t="n">
        <v>-0.09462486392383118</v>
      </c>
    </row>
    <row r="759">
      <c r="B759" s="70" t="n">
        <v>45260</v>
      </c>
      <c r="C759" s="137" t="n">
        <v>188.1728973388672</v>
      </c>
      <c r="D759" s="137" t="n">
        <v>4567.7998046875</v>
      </c>
      <c r="E759" s="71" t="n">
        <v>0.3062684000782356</v>
      </c>
      <c r="F759" s="71" t="n">
        <v>0.3784072858156406</v>
      </c>
    </row>
    <row r="760">
      <c r="B760" s="70" t="n">
        <v>45261</v>
      </c>
      <c r="C760" s="137" t="n">
        <v>189.4508361816406</v>
      </c>
      <c r="D760" s="137" t="n">
        <v>4594.6298828125</v>
      </c>
      <c r="E760" s="71" t="n">
        <v>0.679130130239769</v>
      </c>
      <c r="F760" s="71" t="n">
        <v>0.5873742123607695</v>
      </c>
    </row>
    <row r="761">
      <c r="B761" s="70" t="n">
        <v>45264</v>
      </c>
      <c r="C761" s="137" t="n">
        <v>187.6577606201172</v>
      </c>
      <c r="D761" s="137" t="n">
        <v>4569.77978515625</v>
      </c>
      <c r="E761" s="71" t="n">
        <v>-0.946459565796931</v>
      </c>
      <c r="F761" s="71" t="n">
        <v>-0.5408509126972105</v>
      </c>
    </row>
    <row r="762">
      <c r="B762" s="70" t="n">
        <v>45265</v>
      </c>
      <c r="C762" s="137" t="n">
        <v>191.6104583740234</v>
      </c>
      <c r="D762" s="137" t="n">
        <v>4567.18017578125</v>
      </c>
      <c r="E762" s="71" t="n">
        <v>2.106333221095946</v>
      </c>
      <c r="F762" s="71" t="n">
        <v>-0.05688697261614362</v>
      </c>
    </row>
    <row r="763">
      <c r="B763" s="70" t="n">
        <v>45266</v>
      </c>
      <c r="C763" s="137" t="n">
        <v>190.520751953125</v>
      </c>
      <c r="D763" s="137" t="n">
        <v>4549.33984375</v>
      </c>
      <c r="E763" s="71" t="n">
        <v>-0.5687092605202726</v>
      </c>
      <c r="F763" s="71" t="n">
        <v>-0.3906202808869552</v>
      </c>
    </row>
    <row r="764">
      <c r="B764" s="70" t="n">
        <v>45267</v>
      </c>
      <c r="C764" s="137" t="n">
        <v>192.4524993896484</v>
      </c>
      <c r="D764" s="137" t="n">
        <v>4585.58984375</v>
      </c>
      <c r="E764" s="71" t="n">
        <v>1.01393019748246</v>
      </c>
      <c r="F764" s="71" t="n">
        <v>0.7968189065892917</v>
      </c>
    </row>
    <row r="765">
      <c r="B765" s="70" t="n">
        <v>45268</v>
      </c>
      <c r="C765" s="137" t="n">
        <v>193.8790283203125</v>
      </c>
      <c r="D765" s="137" t="n">
        <v>4604.3701171875</v>
      </c>
      <c r="E765" s="71" t="n">
        <v>0.7412368949160086</v>
      </c>
      <c r="F765" s="71" t="n">
        <v>0.409549786994079</v>
      </c>
    </row>
    <row r="766">
      <c r="B766" s="70" t="n">
        <v>45271</v>
      </c>
      <c r="C766" s="137" t="n">
        <v>191.3726806640625</v>
      </c>
      <c r="D766" s="137" t="n">
        <v>4622.43994140625</v>
      </c>
      <c r="E766" s="71" t="n">
        <v>-1.292737888137752</v>
      </c>
      <c r="F766" s="71" t="n">
        <v>0.3924494286698943</v>
      </c>
    </row>
    <row r="767">
      <c r="B767" s="70" t="n">
        <v>45272</v>
      </c>
      <c r="C767" s="137" t="n">
        <v>192.8883972167969</v>
      </c>
      <c r="D767" s="137" t="n">
        <v>4643.7001953125</v>
      </c>
      <c r="E767" s="71" t="n">
        <v>0.7920234735046217</v>
      </c>
      <c r="F767" s="71" t="n">
        <v>0.459935752021523</v>
      </c>
    </row>
    <row r="768">
      <c r="B768" s="70" t="n">
        <v>45273</v>
      </c>
      <c r="C768" s="137" t="n">
        <v>196.1079711914062</v>
      </c>
      <c r="D768" s="137" t="n">
        <v>4707.08984375</v>
      </c>
      <c r="E768" s="71" t="n">
        <v>1.669138227630484</v>
      </c>
      <c r="F768" s="71" t="n">
        <v>1.3650676351046</v>
      </c>
    </row>
    <row r="769">
      <c r="B769" s="70" t="n">
        <v>45274</v>
      </c>
      <c r="C769" s="137" t="n">
        <v>196.256591796875</v>
      </c>
      <c r="D769" s="137" t="n">
        <v>4719.5498046875</v>
      </c>
      <c r="E769" s="71" t="n">
        <v>0.07578509153192137</v>
      </c>
      <c r="F769" s="71" t="n">
        <v>0.2647062484699259</v>
      </c>
    </row>
    <row r="770">
      <c r="B770" s="70" t="n">
        <v>45275</v>
      </c>
      <c r="C770" s="137" t="n">
        <v>195.7216339111328</v>
      </c>
      <c r="D770" s="137" t="n">
        <v>4719.18994140625</v>
      </c>
      <c r="E770" s="71" t="n">
        <v>-0.2725808498171944</v>
      </c>
      <c r="F770" s="71" t="n">
        <v>-0.00762494933082003</v>
      </c>
    </row>
    <row r="771">
      <c r="B771" s="70" t="n">
        <v>45278</v>
      </c>
      <c r="C771" s="137" t="n">
        <v>194.0573120117188</v>
      </c>
      <c r="D771" s="137" t="n">
        <v>4740.56005859375</v>
      </c>
      <c r="E771" s="71" t="n">
        <v>-0.8503515253554861</v>
      </c>
      <c r="F771" s="71" t="n">
        <v>0.4528344366900416</v>
      </c>
    </row>
    <row r="772">
      <c r="B772" s="70" t="n">
        <v>45279</v>
      </c>
      <c r="C772" s="137" t="n">
        <v>195.0975189208984</v>
      </c>
      <c r="D772" s="137" t="n">
        <v>4768.3701171875</v>
      </c>
      <c r="E772" s="71" t="n">
        <v>0.536030772763052</v>
      </c>
      <c r="F772" s="71" t="n">
        <v>0.5866407818910568</v>
      </c>
    </row>
    <row r="773">
      <c r="B773" s="70" t="n">
        <v>45280</v>
      </c>
      <c r="C773" s="137" t="n">
        <v>193.0072479248047</v>
      </c>
      <c r="D773" s="137" t="n">
        <v>4698.35009765625</v>
      </c>
      <c r="E773" s="71" t="n">
        <v>-1.071398041172023</v>
      </c>
      <c r="F773" s="71" t="n">
        <v>-1.468426691100677</v>
      </c>
    </row>
    <row r="774">
      <c r="B774" s="70" t="n">
        <v>45281</v>
      </c>
      <c r="C774" s="137" t="n">
        <v>192.858642578125</v>
      </c>
      <c r="D774" s="137" t="n">
        <v>4746.75</v>
      </c>
      <c r="E774" s="71" t="n">
        <v>-0.07699469749321564</v>
      </c>
      <c r="F774" s="71" t="n">
        <v>1.030146782120256</v>
      </c>
    </row>
    <row r="775">
      <c r="B775" s="70" t="n">
        <v>45282</v>
      </c>
      <c r="C775" s="137" t="n">
        <v>191.7887725830078</v>
      </c>
      <c r="D775" s="137" t="n">
        <v>4754.6298828125</v>
      </c>
      <c r="E775" s="71" t="n">
        <v>-0.5547430910096685</v>
      </c>
      <c r="F775" s="71" t="n">
        <v>0.1660058526886887</v>
      </c>
    </row>
    <row r="776">
      <c r="B776" s="70" t="n">
        <v>45286</v>
      </c>
      <c r="C776" s="137" t="n">
        <v>191.2439117431641</v>
      </c>
      <c r="D776" s="137" t="n">
        <v>4774.75</v>
      </c>
      <c r="E776" s="71" t="n">
        <v>-0.2840942316411632</v>
      </c>
      <c r="F776" s="71" t="n">
        <v>0.423168946551078</v>
      </c>
    </row>
    <row r="777">
      <c r="B777" s="70" t="n">
        <v>45287</v>
      </c>
      <c r="C777" s="137" t="n">
        <v>191.3429565429688</v>
      </c>
      <c r="D777" s="137" t="n">
        <v>4781.580078125</v>
      </c>
      <c r="E777" s="71" t="n">
        <v>0.05178977929385375</v>
      </c>
      <c r="F777" s="71" t="n">
        <v>0.1430457746478764</v>
      </c>
    </row>
    <row r="778">
      <c r="B778" s="70" t="n">
        <v>45288</v>
      </c>
      <c r="C778" s="137" t="n">
        <v>191.7689514160156</v>
      </c>
      <c r="D778" s="137" t="n">
        <v>4783.35009765625</v>
      </c>
      <c r="E778" s="71" t="n">
        <v>0.2226342065280607</v>
      </c>
      <c r="F778" s="71" t="n">
        <v>0.03701746080437829</v>
      </c>
    </row>
    <row r="779">
      <c r="B779" s="70" t="n">
        <v>45289</v>
      </c>
      <c r="C779" s="137" t="n">
        <v>190.7287750244141</v>
      </c>
      <c r="D779" s="137" t="n">
        <v>4769.830078125</v>
      </c>
      <c r="E779" s="71" t="n">
        <v>-0.5424112630959654</v>
      </c>
      <c r="F779" s="71" t="n">
        <v>-0.2826475013374963</v>
      </c>
    </row>
    <row r="780">
      <c r="B780" s="70" t="n">
        <v>45293</v>
      </c>
      <c r="C780" s="137" t="n">
        <v>183.9032287597656</v>
      </c>
      <c r="D780" s="137" t="n">
        <v>4742.830078125</v>
      </c>
      <c r="E780" s="71" t="n">
        <v>-3.578666231026129</v>
      </c>
      <c r="F780" s="71" t="n">
        <v>-0.5660579005492328</v>
      </c>
    </row>
    <row r="781">
      <c r="B781" s="70" t="n">
        <v>45294</v>
      </c>
      <c r="C781" s="137" t="n">
        <v>182.5262603759766</v>
      </c>
      <c r="D781" s="137" t="n">
        <v>4704.81005859375</v>
      </c>
      <c r="E781" s="71" t="n">
        <v>-0.7487461710570353</v>
      </c>
      <c r="F781" s="71" t="n">
        <v>-0.8016314922730805</v>
      </c>
    </row>
    <row r="782">
      <c r="B782" s="70" t="n">
        <v>45295</v>
      </c>
      <c r="C782" s="137" t="n">
        <v>180.2081451416016</v>
      </c>
      <c r="D782" s="137" t="n">
        <v>4688.68017578125</v>
      </c>
      <c r="E782" s="71" t="n">
        <v>-1.270017382485145</v>
      </c>
      <c r="F782" s="71" t="n">
        <v>-0.3428381297357008</v>
      </c>
    </row>
    <row r="783">
      <c r="B783" s="70" t="n">
        <v>45296</v>
      </c>
      <c r="C783" s="137" t="n">
        <v>179.4849548339844</v>
      </c>
      <c r="D783" s="137" t="n">
        <v>4697.240234375</v>
      </c>
      <c r="E783" s="71" t="n">
        <v>-0.4013083354522773</v>
      </c>
      <c r="F783" s="71" t="n">
        <v>0.1825686178802632</v>
      </c>
    </row>
    <row r="784">
      <c r="B784" s="70" t="n">
        <v>45299</v>
      </c>
      <c r="C784" s="137" t="n">
        <v>183.823974609375</v>
      </c>
      <c r="D784" s="137" t="n">
        <v>4763.5400390625</v>
      </c>
      <c r="E784" s="71" t="n">
        <v>2.417483838355139</v>
      </c>
      <c r="F784" s="71" t="n">
        <v>1.411462930984664</v>
      </c>
    </row>
    <row r="785">
      <c r="B785" s="70" t="n">
        <v>45300</v>
      </c>
      <c r="C785" s="137" t="n">
        <v>183.4079132080078</v>
      </c>
      <c r="D785" s="137" t="n">
        <v>4756.5</v>
      </c>
      <c r="E785" s="71" t="n">
        <v>-0.2263368541841837</v>
      </c>
      <c r="F785" s="71" t="n">
        <v>-0.1477900679908162</v>
      </c>
    </row>
    <row r="786">
      <c r="B786" s="70" t="n">
        <v>45301</v>
      </c>
      <c r="C786" s="137" t="n">
        <v>184.4480895996094</v>
      </c>
      <c r="D786" s="137" t="n">
        <v>4783.4501953125</v>
      </c>
      <c r="E786" s="71" t="n">
        <v>0.5671382294295535</v>
      </c>
      <c r="F786" s="71" t="n">
        <v>0.566597189372442</v>
      </c>
    </row>
    <row r="787">
      <c r="B787" s="70" t="n">
        <v>45302</v>
      </c>
      <c r="C787" s="137" t="n">
        <v>183.8536987304688</v>
      </c>
      <c r="D787" s="137" t="n">
        <v>4780.240234375</v>
      </c>
      <c r="E787" s="71" t="n">
        <v>-0.3222537411099569</v>
      </c>
      <c r="F787" s="71" t="n">
        <v>-0.06710555783868699</v>
      </c>
    </row>
    <row r="788">
      <c r="B788" s="70" t="n">
        <v>45303</v>
      </c>
      <c r="C788" s="137" t="n">
        <v>184.1806030273438</v>
      </c>
      <c r="D788" s="137" t="n">
        <v>4783.830078125</v>
      </c>
      <c r="E788" s="71" t="n">
        <v>0.1778067556607921</v>
      </c>
      <c r="F788" s="71" t="n">
        <v>0.07509755941104146</v>
      </c>
    </row>
    <row r="789">
      <c r="B789" s="70" t="n">
        <v>45307</v>
      </c>
      <c r="C789" s="137" t="n">
        <v>181.9120178222656</v>
      </c>
      <c r="D789" s="137" t="n">
        <v>4765.97998046875</v>
      </c>
      <c r="E789" s="71" t="n">
        <v>-1.231717763863227</v>
      </c>
      <c r="F789" s="71" t="n">
        <v>-0.3731340236743153</v>
      </c>
    </row>
    <row r="790">
      <c r="B790" s="70" t="n">
        <v>45308</v>
      </c>
      <c r="C790" s="137" t="n">
        <v>180.9709014892578</v>
      </c>
      <c r="D790" s="137" t="n">
        <v>4739.2099609375</v>
      </c>
      <c r="E790" s="71" t="n">
        <v>-0.5173469814002574</v>
      </c>
      <c r="F790" s="71" t="n">
        <v>-0.5616897183990499</v>
      </c>
    </row>
    <row r="791">
      <c r="B791" s="70" t="n">
        <v>45309</v>
      </c>
      <c r="C791" s="137" t="n">
        <v>186.8652648925781</v>
      </c>
      <c r="D791" s="137" t="n">
        <v>4780.93994140625</v>
      </c>
      <c r="E791" s="71" t="n">
        <v>3.257077991441726</v>
      </c>
      <c r="F791" s="71" t="n">
        <v>0.8805260963896</v>
      </c>
    </row>
    <row r="792">
      <c r="B792" s="70" t="n">
        <v>45310</v>
      </c>
      <c r="C792" s="137" t="n">
        <v>189.7678375244141</v>
      </c>
      <c r="D792" s="137" t="n">
        <v>4839.81005859375</v>
      </c>
      <c r="E792" s="71" t="n">
        <v>1.553297041857715</v>
      </c>
      <c r="F792" s="71" t="n">
        <v>1.231350276493615</v>
      </c>
    </row>
    <row r="793">
      <c r="B793" s="70" t="n">
        <v>45313</v>
      </c>
      <c r="C793" s="137" t="n">
        <v>192.0760345458984</v>
      </c>
      <c r="D793" s="137" t="n">
        <v>4850.43017578125</v>
      </c>
      <c r="E793" s="71" t="n">
        <v>1.216326776758136</v>
      </c>
      <c r="F793" s="71" t="n">
        <v>0.2194325202627079</v>
      </c>
    </row>
    <row r="794">
      <c r="B794" s="70" t="n">
        <v>45314</v>
      </c>
      <c r="C794" s="137" t="n">
        <v>193.3539581298828</v>
      </c>
      <c r="D794" s="137" t="n">
        <v>4864.60009765625</v>
      </c>
      <c r="E794" s="71" t="n">
        <v>0.6653217237671649</v>
      </c>
      <c r="F794" s="71" t="n">
        <v>0.2921374261968035</v>
      </c>
    </row>
    <row r="795">
      <c r="B795" s="70" t="n">
        <v>45315</v>
      </c>
      <c r="C795" s="137" t="n">
        <v>192.6803283691406</v>
      </c>
      <c r="D795" s="137" t="n">
        <v>4868.5498046875</v>
      </c>
      <c r="E795" s="71" t="n">
        <v>-0.3483920201363122</v>
      </c>
      <c r="F795" s="71" t="n">
        <v>0.08119284117831249</v>
      </c>
    </row>
    <row r="796">
      <c r="B796" s="70" t="n">
        <v>45316</v>
      </c>
      <c r="C796" s="137" t="n">
        <v>192.3534088134766</v>
      </c>
      <c r="D796" s="137" t="n">
        <v>4894.16015625</v>
      </c>
      <c r="E796" s="71" t="n">
        <v>-0.1696693992744747</v>
      </c>
      <c r="F796" s="71" t="n">
        <v>0.5260365527706368</v>
      </c>
    </row>
    <row r="797">
      <c r="B797" s="70" t="n">
        <v>45317</v>
      </c>
      <c r="C797" s="137" t="n">
        <v>190.6198120117188</v>
      </c>
      <c r="D797" s="137" t="n">
        <v>4890.97021484375</v>
      </c>
      <c r="E797" s="71" t="n">
        <v>-0.9012560850631179</v>
      </c>
      <c r="F797" s="71" t="n">
        <v>-0.06517852510764532</v>
      </c>
    </row>
    <row r="798">
      <c r="B798" s="70" t="n">
        <v>45320</v>
      </c>
      <c r="C798" s="137" t="n">
        <v>189.9362487792969</v>
      </c>
      <c r="D798" s="137" t="n">
        <v>4927.93017578125</v>
      </c>
      <c r="E798" s="71" t="n">
        <v>-0.3586003077056255</v>
      </c>
      <c r="F798" s="71" t="n">
        <v>0.7556774896180896</v>
      </c>
    </row>
    <row r="799">
      <c r="B799" s="70" t="n">
        <v>45321</v>
      </c>
      <c r="C799" s="137" t="n">
        <v>186.2807769775391</v>
      </c>
      <c r="D799" s="137" t="n">
        <v>4924.97021484375</v>
      </c>
      <c r="E799" s="71" t="n">
        <v>-1.924578286267731</v>
      </c>
      <c r="F799" s="71" t="n">
        <v>-0.06006499345398986</v>
      </c>
    </row>
    <row r="800">
      <c r="B800" s="70" t="n">
        <v>45322</v>
      </c>
      <c r="C800" s="137" t="n">
        <v>182.6748199462891</v>
      </c>
      <c r="D800" s="137" t="n">
        <v>4845.64990234375</v>
      </c>
      <c r="E800" s="71" t="n">
        <v>-1.935764435685594</v>
      </c>
      <c r="F800" s="71" t="n">
        <v>-1.610574461159797</v>
      </c>
    </row>
    <row r="801">
      <c r="B801" s="70" t="n">
        <v>45323</v>
      </c>
      <c r="C801" s="137" t="n">
        <v>185.11181640625</v>
      </c>
      <c r="D801" s="137" t="n">
        <v>4906.18994140625</v>
      </c>
      <c r="E801" s="71" t="n">
        <v>1.334062604072872</v>
      </c>
      <c r="F801" s="71" t="n">
        <v>1.249368821160979</v>
      </c>
    </row>
    <row r="802">
      <c r="B802" s="70" t="n">
        <v>45324</v>
      </c>
      <c r="C802" s="137" t="n">
        <v>184.1112670898438</v>
      </c>
      <c r="D802" s="137" t="n">
        <v>4958.60986328125</v>
      </c>
      <c r="E802" s="71" t="n">
        <v>-0.5405107765840134</v>
      </c>
      <c r="F802" s="71" t="n">
        <v>1.068444607751462</v>
      </c>
    </row>
    <row r="803">
      <c r="B803" s="70" t="n">
        <v>45327</v>
      </c>
      <c r="C803" s="137" t="n">
        <v>185.9241333007812</v>
      </c>
      <c r="D803" s="137" t="n">
        <v>4942.81005859375</v>
      </c>
      <c r="E803" s="71" t="n">
        <v>0.9846579405988987</v>
      </c>
      <c r="F803" s="71" t="n">
        <v>-0.3186337526672189</v>
      </c>
    </row>
    <row r="804">
      <c r="B804" s="70" t="n">
        <v>45328</v>
      </c>
      <c r="C804" s="137" t="n">
        <v>187.5289916992188</v>
      </c>
      <c r="D804" s="137" t="n">
        <v>4954.22998046875</v>
      </c>
      <c r="E804" s="71" t="n">
        <v>0.863179174185702</v>
      </c>
      <c r="F804" s="71" t="n">
        <v>0.2310410826963594</v>
      </c>
    </row>
    <row r="805">
      <c r="B805" s="70" t="n">
        <v>45329</v>
      </c>
      <c r="C805" s="137" t="n">
        <v>187.6379699707031</v>
      </c>
      <c r="D805" s="137" t="n">
        <v>4995.06005859375</v>
      </c>
      <c r="E805" s="71" t="n">
        <v>0.05811275925755588</v>
      </c>
      <c r="F805" s="71" t="n">
        <v>0.8241457963390042</v>
      </c>
    </row>
    <row r="806">
      <c r="B806" s="70" t="n">
        <v>45330</v>
      </c>
      <c r="C806" s="137" t="n">
        <v>186.5581665039062</v>
      </c>
      <c r="D806" s="137" t="n">
        <v>4997.91015625</v>
      </c>
      <c r="E806" s="71" t="n">
        <v>-0.5754717272658083</v>
      </c>
      <c r="F806" s="71" t="n">
        <v>0.05705832608251526</v>
      </c>
    </row>
    <row r="807">
      <c r="B807" s="70" t="n">
        <v>45331</v>
      </c>
      <c r="C807" s="137" t="n">
        <v>187.3219451904297</v>
      </c>
      <c r="D807" s="137" t="n">
        <v>5026.60986328125</v>
      </c>
      <c r="E807" s="71" t="n">
        <v>0.4094051205780325</v>
      </c>
      <c r="F807" s="71" t="n">
        <v>0.5742341525559524</v>
      </c>
    </row>
    <row r="808">
      <c r="B808" s="70" t="n">
        <v>45334</v>
      </c>
      <c r="C808" s="137" t="n">
        <v>185.6356964111328</v>
      </c>
      <c r="D808" s="137" t="n">
        <v>5021.83984375</v>
      </c>
      <c r="E808" s="71" t="n">
        <v>-0.9001875234546874</v>
      </c>
      <c r="F808" s="71" t="n">
        <v>-0.09489536011326738</v>
      </c>
    </row>
    <row r="809">
      <c r="B809" s="70" t="n">
        <v>45335</v>
      </c>
      <c r="C809" s="137" t="n">
        <v>183.542724609375</v>
      </c>
      <c r="D809" s="137" t="n">
        <v>4953.169921875</v>
      </c>
      <c r="E809" s="71" t="n">
        <v>-1.127461927970175</v>
      </c>
      <c r="F809" s="71" t="n">
        <v>-1.367425565362546</v>
      </c>
    </row>
    <row r="810">
      <c r="B810" s="70" t="n">
        <v>45336</v>
      </c>
      <c r="C810" s="137" t="n">
        <v>182.6599426269531</v>
      </c>
      <c r="D810" s="137" t="n">
        <v>5000.6201171875</v>
      </c>
      <c r="E810" s="71" t="n">
        <v>-0.4809681148085221</v>
      </c>
      <c r="F810" s="71" t="n">
        <v>0.9579763275017639</v>
      </c>
    </row>
    <row r="811">
      <c r="B811" s="70" t="n">
        <v>45337</v>
      </c>
      <c r="C811" s="137" t="n">
        <v>182.3722839355469</v>
      </c>
      <c r="D811" s="137" t="n">
        <v>5029.72998046875</v>
      </c>
      <c r="E811" s="71" t="n">
        <v>-0.1574831828309975</v>
      </c>
      <c r="F811" s="71" t="n">
        <v>0.5821250684729495</v>
      </c>
    </row>
    <row r="812">
      <c r="B812" s="70" t="n">
        <v>45338</v>
      </c>
      <c r="C812" s="137" t="n">
        <v>180.8348388671875</v>
      </c>
      <c r="D812" s="137" t="n">
        <v>5005.56982421875</v>
      </c>
      <c r="E812" s="71" t="n">
        <v>-0.8430256150670168</v>
      </c>
      <c r="F812" s="71" t="n">
        <v>-0.4803469837112107</v>
      </c>
    </row>
    <row r="813">
      <c r="B813" s="70" t="n">
        <v>45342</v>
      </c>
      <c r="C813" s="137" t="n">
        <v>180.0909118652344</v>
      </c>
      <c r="D813" s="137" t="n">
        <v>4975.509765625</v>
      </c>
      <c r="E813" s="71" t="n">
        <v>-0.4113847788475455</v>
      </c>
      <c r="F813" s="71" t="n">
        <v>-0.6005322001165325</v>
      </c>
    </row>
    <row r="814">
      <c r="B814" s="70" t="n">
        <v>45343</v>
      </c>
      <c r="C814" s="137" t="n">
        <v>180.8447875976562</v>
      </c>
      <c r="D814" s="137" t="n">
        <v>4981.7998046875</v>
      </c>
      <c r="E814" s="71" t="n">
        <v>0.4186084264962364</v>
      </c>
      <c r="F814" s="71" t="n">
        <v>0.1264199922982101</v>
      </c>
    </row>
    <row r="815">
      <c r="B815" s="70" t="n">
        <v>45344</v>
      </c>
      <c r="C815" s="137" t="n">
        <v>182.878173828125</v>
      </c>
      <c r="D815" s="137" t="n">
        <v>5087.02978515625</v>
      </c>
      <c r="E815" s="71" t="n">
        <v>1.124381994903101</v>
      </c>
      <c r="F815" s="71" t="n">
        <v>2.112288421741404</v>
      </c>
    </row>
    <row r="816">
      <c r="B816" s="70" t="n">
        <v>45345</v>
      </c>
      <c r="C816" s="137" t="n">
        <v>181.0431365966797</v>
      </c>
      <c r="D816" s="137" t="n">
        <v>5088.7998046875</v>
      </c>
      <c r="E816" s="71" t="n">
        <v>-1.003420579412573</v>
      </c>
      <c r="F816" s="71" t="n">
        <v>0.03479475462115911</v>
      </c>
    </row>
    <row r="817">
      <c r="B817" s="70" t="n">
        <v>45348</v>
      </c>
      <c r="C817" s="137" t="n">
        <v>179.6941528320312</v>
      </c>
      <c r="D817" s="137" t="n">
        <v>5069.52978515625</v>
      </c>
      <c r="E817" s="71" t="n">
        <v>-0.7451173184508497</v>
      </c>
      <c r="F817" s="71" t="n">
        <v>-0.3786751350190576</v>
      </c>
    </row>
    <row r="818">
      <c r="B818" s="70" t="n">
        <v>45349</v>
      </c>
      <c r="C818" s="137" t="n">
        <v>181.1522369384766</v>
      </c>
      <c r="D818" s="137" t="n">
        <v>5078.18017578125</v>
      </c>
      <c r="E818" s="71" t="n">
        <v>0.8114254601307769</v>
      </c>
      <c r="F818" s="71" t="n">
        <v>0.1706349699399867</v>
      </c>
    </row>
    <row r="819">
      <c r="B819" s="70" t="n">
        <v>45350</v>
      </c>
      <c r="C819" s="137" t="n">
        <v>179.9520416259766</v>
      </c>
      <c r="D819" s="137" t="n">
        <v>5069.759765625</v>
      </c>
      <c r="E819" s="71" t="n">
        <v>-0.662534083367472</v>
      </c>
      <c r="F819" s="71" t="n">
        <v>-0.1658155060430544</v>
      </c>
    </row>
    <row r="820">
      <c r="B820" s="70" t="n">
        <v>45351</v>
      </c>
      <c r="C820" s="137" t="n">
        <v>179.2874755859375</v>
      </c>
      <c r="D820" s="137" t="n">
        <v>5096.27001953125</v>
      </c>
      <c r="E820" s="71" t="n">
        <v>-0.3693017506410823</v>
      </c>
      <c r="F820" s="71" t="n">
        <v>0.5229094697149161</v>
      </c>
    </row>
    <row r="821">
      <c r="B821" s="70" t="n">
        <v>45352</v>
      </c>
      <c r="C821" s="137" t="n">
        <v>178.2063140869141</v>
      </c>
      <c r="D821" s="137" t="n">
        <v>5137.080078125</v>
      </c>
      <c r="E821" s="71" t="n">
        <v>-0.6030323621268097</v>
      </c>
      <c r="F821" s="71" t="n">
        <v>0.800782894888763</v>
      </c>
    </row>
    <row r="822">
      <c r="B822" s="70" t="n">
        <v>45355</v>
      </c>
      <c r="C822" s="137" t="n">
        <v>173.6831665039062</v>
      </c>
      <c r="D822" s="137" t="n">
        <v>5130.9501953125</v>
      </c>
      <c r="E822" s="71" t="n">
        <v>-2.538152256940729</v>
      </c>
      <c r="F822" s="71" t="n">
        <v>-0.1193262070918966</v>
      </c>
    </row>
    <row r="823">
      <c r="B823" s="70" t="n">
        <v>45356</v>
      </c>
      <c r="C823" s="137" t="n">
        <v>168.7434692382812</v>
      </c>
      <c r="D823" s="137" t="n">
        <v>5078.64990234375</v>
      </c>
      <c r="E823" s="71" t="n">
        <v>-2.844085218537229</v>
      </c>
      <c r="F823" s="71" t="n">
        <v>-1.019310088344461</v>
      </c>
    </row>
    <row r="824">
      <c r="B824" s="70" t="n">
        <v>45357</v>
      </c>
      <c r="C824" s="137" t="n">
        <v>167.7515563964844</v>
      </c>
      <c r="D824" s="137" t="n">
        <v>5104.759765625</v>
      </c>
      <c r="E824" s="71" t="n">
        <v>-0.5878229517707223</v>
      </c>
      <c r="F824" s="71" t="n">
        <v>0.5141103203274655</v>
      </c>
    </row>
    <row r="825">
      <c r="B825" s="70" t="n">
        <v>45358</v>
      </c>
      <c r="C825" s="137" t="n">
        <v>167.6325225830078</v>
      </c>
      <c r="D825" s="137" t="n">
        <v>5157.35986328125</v>
      </c>
      <c r="E825" s="71" t="n">
        <v>-0.07095839587637487</v>
      </c>
      <c r="F825" s="71" t="n">
        <v>1.030412792595148</v>
      </c>
    </row>
    <row r="826">
      <c r="B826" s="70" t="n">
        <v>45359</v>
      </c>
      <c r="C826" s="137" t="n">
        <v>169.3485260009766</v>
      </c>
      <c r="D826" s="137" t="n">
        <v>5123.68994140625</v>
      </c>
      <c r="E826" s="71" t="n">
        <v>1.023669745898537</v>
      </c>
      <c r="F826" s="71" t="n">
        <v>-0.6528519003437983</v>
      </c>
    </row>
    <row r="827">
      <c r="B827" s="70" t="n">
        <v>45362</v>
      </c>
      <c r="C827" s="137" t="n">
        <v>171.3522033691406</v>
      </c>
      <c r="D827" s="137" t="n">
        <v>5117.93994140625</v>
      </c>
      <c r="E827" s="71" t="n">
        <v>1.183167881929159</v>
      </c>
      <c r="F827" s="71" t="n">
        <v>-0.1122238087346461</v>
      </c>
    </row>
    <row r="828">
      <c r="B828" s="70" t="n">
        <v>45363</v>
      </c>
      <c r="C828" s="137" t="n">
        <v>171.8283081054688</v>
      </c>
      <c r="D828" s="137" t="n">
        <v>5175.27001953125</v>
      </c>
      <c r="E828" s="71" t="n">
        <v>0.2778515402586113</v>
      </c>
      <c r="F828" s="71" t="n">
        <v>1.12017879813664</v>
      </c>
    </row>
    <row r="829">
      <c r="B829" s="70" t="n">
        <v>45364</v>
      </c>
      <c r="C829" s="137" t="n">
        <v>169.7453002929688</v>
      </c>
      <c r="D829" s="137" t="n">
        <v>5165.31005859375</v>
      </c>
      <c r="E829" s="71" t="n">
        <v>-1.212261143385895</v>
      </c>
      <c r="F829" s="71" t="n">
        <v>-0.1924529715340739</v>
      </c>
    </row>
    <row r="830">
      <c r="B830" s="70" t="n">
        <v>45365</v>
      </c>
      <c r="C830" s="137" t="n">
        <v>171.6001586914062</v>
      </c>
      <c r="D830" s="137" t="n">
        <v>5150.47998046875</v>
      </c>
      <c r="E830" s="71" t="n">
        <v>1.092730340831838</v>
      </c>
      <c r="F830" s="71" t="n">
        <v>-0.2871091562127392</v>
      </c>
    </row>
    <row r="831">
      <c r="B831" s="70" t="n">
        <v>45366</v>
      </c>
      <c r="C831" s="137" t="n">
        <v>171.2232513427734</v>
      </c>
      <c r="D831" s="137" t="n">
        <v>5117.08984375</v>
      </c>
      <c r="E831" s="71" t="n">
        <v>-0.2196427739385665</v>
      </c>
      <c r="F831" s="71" t="n">
        <v>-0.6482917484461503</v>
      </c>
    </row>
    <row r="832">
      <c r="B832" s="70" t="n">
        <v>45369</v>
      </c>
      <c r="C832" s="137" t="n">
        <v>172.3143463134766</v>
      </c>
      <c r="D832" s="137" t="n">
        <v>5149.419921875</v>
      </c>
      <c r="E832" s="71" t="n">
        <v>0.637235283261206</v>
      </c>
      <c r="F832" s="71" t="n">
        <v>0.6318059504952345</v>
      </c>
    </row>
    <row r="833">
      <c r="B833" s="70" t="n">
        <v>45370</v>
      </c>
      <c r="C833" s="137" t="n">
        <v>174.6552429199219</v>
      </c>
      <c r="D833" s="137" t="n">
        <v>5178.509765625</v>
      </c>
      <c r="E833" s="71" t="n">
        <v>1.358503604909789</v>
      </c>
      <c r="F833" s="71" t="n">
        <v>0.5649149650123642</v>
      </c>
    </row>
    <row r="834">
      <c r="B834" s="70" t="n">
        <v>45371</v>
      </c>
      <c r="C834" s="137" t="n">
        <v>177.2242889404297</v>
      </c>
      <c r="D834" s="137" t="n">
        <v>5224.6201171875</v>
      </c>
      <c r="E834" s="71" t="n">
        <v>1.470924077375502</v>
      </c>
      <c r="F834" s="71" t="n">
        <v>0.8904173912846591</v>
      </c>
    </row>
    <row r="835">
      <c r="B835" s="70" t="n">
        <v>45372</v>
      </c>
      <c r="C835" s="137" t="n">
        <v>169.9833526611328</v>
      </c>
      <c r="D835" s="137" t="n">
        <v>5241.52978515625</v>
      </c>
      <c r="E835" s="71" t="n">
        <v>-4.085747118856132</v>
      </c>
      <c r="F835" s="71" t="n">
        <v>0.3236535401516027</v>
      </c>
    </row>
    <row r="836">
      <c r="B836" s="70" t="n">
        <v>45373</v>
      </c>
      <c r="C836" s="137" t="n">
        <v>170.8860168457031</v>
      </c>
      <c r="D836" s="137" t="n">
        <v>5234.18017578125</v>
      </c>
      <c r="E836" s="71" t="n">
        <v>0.531030933581933</v>
      </c>
      <c r="F836" s="71" t="n">
        <v>-0.140218784901569</v>
      </c>
    </row>
    <row r="837">
      <c r="B837" s="70" t="n">
        <v>45376</v>
      </c>
      <c r="C837" s="137" t="n">
        <v>169.4675750732422</v>
      </c>
      <c r="D837" s="137" t="n">
        <v>5218.18994140625</v>
      </c>
      <c r="E837" s="71" t="n">
        <v>-0.8300513983784064</v>
      </c>
      <c r="F837" s="71" t="n">
        <v>-0.305496445250153</v>
      </c>
    </row>
    <row r="838">
      <c r="B838" s="70" t="n">
        <v>45377</v>
      </c>
      <c r="C838" s="137" t="n">
        <v>168.3368225097656</v>
      </c>
      <c r="D838" s="137" t="n">
        <v>5203.580078125</v>
      </c>
      <c r="E838" s="71" t="n">
        <v>-0.6672382979386438</v>
      </c>
      <c r="F838" s="71" t="n">
        <v>-0.2799795225030266</v>
      </c>
    </row>
    <row r="839">
      <c r="B839" s="70" t="n">
        <v>45378</v>
      </c>
      <c r="C839" s="137" t="n">
        <v>171.9076843261719</v>
      </c>
      <c r="D839" s="137" t="n">
        <v>5248.490234375</v>
      </c>
      <c r="E839" s="71" t="n">
        <v>2.121260080336351</v>
      </c>
      <c r="F839" s="71" t="n">
        <v>0.8630626525532925</v>
      </c>
    </row>
    <row r="840">
      <c r="B840" s="70" t="n">
        <v>45379</v>
      </c>
      <c r="C840" s="137" t="n">
        <v>170.0924530029297</v>
      </c>
      <c r="D840" s="137" t="n">
        <v>5254.35009765625</v>
      </c>
      <c r="E840" s="71" t="n">
        <v>-1.055933788159269</v>
      </c>
      <c r="F840" s="71" t="n">
        <v>0.1116485507179021</v>
      </c>
    </row>
    <row r="841">
      <c r="B841" s="70" t="n">
        <v>45383</v>
      </c>
      <c r="C841" s="137" t="n">
        <v>168.6541900634766</v>
      </c>
      <c r="D841" s="137" t="n">
        <v>5243.77001953125</v>
      </c>
      <c r="E841" s="71" t="n">
        <v>-0.8455771635137332</v>
      </c>
      <c r="F841" s="71" t="n">
        <v>-0.2013584540116464</v>
      </c>
    </row>
    <row r="842">
      <c r="B842" s="70" t="n">
        <v>45384</v>
      </c>
      <c r="C842" s="137" t="n">
        <v>167.4738311767578</v>
      </c>
      <c r="D842" s="137" t="n">
        <v>5205.81005859375</v>
      </c>
      <c r="E842" s="71" t="n">
        <v>-0.6998692924703009</v>
      </c>
      <c r="F842" s="71" t="n">
        <v>-0.723905907316913</v>
      </c>
    </row>
    <row r="843">
      <c r="B843" s="70" t="n">
        <v>45385</v>
      </c>
      <c r="C843" s="137" t="n">
        <v>168.2772674560547</v>
      </c>
      <c r="D843" s="137" t="n">
        <v>5211.490234375</v>
      </c>
      <c r="E843" s="71" t="n">
        <v>0.4797384007110272</v>
      </c>
      <c r="F843" s="71" t="n">
        <v>0.1091122364688113</v>
      </c>
    </row>
    <row r="844">
      <c r="B844" s="70" t="n">
        <v>45386</v>
      </c>
      <c r="C844" s="137" t="n">
        <v>167.4540100097656</v>
      </c>
      <c r="D844" s="137" t="n">
        <v>5147.2099609375</v>
      </c>
      <c r="E844" s="71" t="n">
        <v>-0.4892267736068878</v>
      </c>
      <c r="F844" s="71" t="n">
        <v>-1.233433635037962</v>
      </c>
    </row>
    <row r="845">
      <c r="B845" s="70" t="n">
        <v>45387</v>
      </c>
      <c r="C845" s="137" t="n">
        <v>168.2078399658203</v>
      </c>
      <c r="D845" s="137" t="n">
        <v>5204.33984375</v>
      </c>
      <c r="E845" s="71" t="n">
        <v>0.4501713371992455</v>
      </c>
      <c r="F845" s="71" t="n">
        <v>1.109919417433169</v>
      </c>
    </row>
    <row r="846">
      <c r="B846" s="70" t="n">
        <v>45390</v>
      </c>
      <c r="C846" s="137" t="n">
        <v>167.0869750976562</v>
      </c>
      <c r="D846" s="137" t="n">
        <v>5202.39013671875</v>
      </c>
      <c r="E846" s="71" t="n">
        <v>-0.6663570903662319</v>
      </c>
      <c r="F846" s="71" t="n">
        <v>-0.03746309983179152</v>
      </c>
    </row>
    <row r="847">
      <c r="B847" s="70" t="n">
        <v>45391</v>
      </c>
      <c r="C847" s="137" t="n">
        <v>168.297119140625</v>
      </c>
      <c r="D847" s="137" t="n">
        <v>5209.91015625</v>
      </c>
      <c r="E847" s="71" t="n">
        <v>0.7242599504009961</v>
      </c>
      <c r="F847" s="71" t="n">
        <v>0.1445493193248382</v>
      </c>
    </row>
    <row r="848">
      <c r="B848" s="70" t="n">
        <v>45392</v>
      </c>
      <c r="C848" s="137" t="n">
        <v>166.4224090576172</v>
      </c>
      <c r="D848" s="137" t="n">
        <v>5160.64013671875</v>
      </c>
      <c r="E848" s="71" t="n">
        <v>-1.113928801978692</v>
      </c>
      <c r="F848" s="71" t="n">
        <v>-0.9456980649108493</v>
      </c>
    </row>
    <row r="849">
      <c r="B849" s="70" t="n">
        <v>45393</v>
      </c>
      <c r="C849" s="137" t="n">
        <v>173.6236724853516</v>
      </c>
      <c r="D849" s="137" t="n">
        <v>5199.06005859375</v>
      </c>
      <c r="E849" s="71" t="n">
        <v>4.327099618682517</v>
      </c>
      <c r="F849" s="71" t="n">
        <v>0.7444797710585593</v>
      </c>
    </row>
    <row r="850">
      <c r="B850" s="70" t="n">
        <v>45394</v>
      </c>
      <c r="C850" s="137" t="n">
        <v>175.1214447021484</v>
      </c>
      <c r="D850" s="137" t="n">
        <v>5123.41015625</v>
      </c>
      <c r="E850" s="71" t="n">
        <v>0.862654380797756</v>
      </c>
      <c r="F850" s="71" t="n">
        <v>-1.455068829580164</v>
      </c>
    </row>
    <row r="851">
      <c r="B851" s="70" t="n">
        <v>45397</v>
      </c>
      <c r="C851" s="137" t="n">
        <v>171.2926788330078</v>
      </c>
      <c r="D851" s="137" t="n">
        <v>5061.81982421875</v>
      </c>
      <c r="E851" s="71" t="n">
        <v>-2.18634895095382</v>
      </c>
      <c r="F851" s="71" t="n">
        <v>-1.202135494776202</v>
      </c>
    </row>
    <row r="852">
      <c r="B852" s="70" t="n">
        <v>45398</v>
      </c>
      <c r="C852" s="137" t="n">
        <v>168.0094604492188</v>
      </c>
      <c r="D852" s="137" t="n">
        <v>5051.41015625</v>
      </c>
      <c r="E852" s="71" t="n">
        <v>-1.916730128898148</v>
      </c>
      <c r="F852" s="71" t="n">
        <v>-0.2056507013336151</v>
      </c>
    </row>
    <row r="853">
      <c r="B853" s="70" t="n">
        <v>45399</v>
      </c>
      <c r="C853" s="137" t="n">
        <v>166.6406402587891</v>
      </c>
      <c r="D853" s="137" t="n">
        <v>5022.2099609375</v>
      </c>
      <c r="E853" s="71" t="n">
        <v>-0.8147280437481363</v>
      </c>
      <c r="F853" s="71" t="n">
        <v>-0.5780602724641426</v>
      </c>
    </row>
    <row r="854">
      <c r="B854" s="70" t="n">
        <v>45400</v>
      </c>
      <c r="C854" s="137" t="n">
        <v>165.6884002685547</v>
      </c>
      <c r="D854" s="137" t="n">
        <v>5011.1201171875</v>
      </c>
      <c r="E854" s="71" t="n">
        <v>-0.5714332282662826</v>
      </c>
      <c r="F854" s="71" t="n">
        <v>-0.2208160119998248</v>
      </c>
    </row>
    <row r="855">
      <c r="B855" s="70" t="n">
        <v>45401</v>
      </c>
      <c r="C855" s="137" t="n">
        <v>163.6649017333984</v>
      </c>
      <c r="D855" s="137" t="n">
        <v>4967.22998046875</v>
      </c>
      <c r="E855" s="71" t="n">
        <v>-1.221267470671761</v>
      </c>
      <c r="F855" s="71" t="n">
        <v>-0.875854812743615</v>
      </c>
    </row>
    <row r="856">
      <c r="B856" s="70" t="n">
        <v>45404</v>
      </c>
      <c r="C856" s="137" t="n">
        <v>164.4981079101562</v>
      </c>
      <c r="D856" s="137" t="n">
        <v>5010.60009765625</v>
      </c>
      <c r="E856" s="71" t="n">
        <v>0.5090927669483047</v>
      </c>
      <c r="F856" s="71" t="n">
        <v>0.8731248071466746</v>
      </c>
    </row>
    <row r="857">
      <c r="B857" s="70" t="n">
        <v>45405</v>
      </c>
      <c r="C857" s="137" t="n">
        <v>165.5495452880859</v>
      </c>
      <c r="D857" s="137" t="n">
        <v>5070.5498046875</v>
      </c>
      <c r="E857" s="71" t="n">
        <v>0.6391790101950567</v>
      </c>
      <c r="F857" s="71" t="n">
        <v>1.196457627087266</v>
      </c>
    </row>
    <row r="858">
      <c r="B858" s="70" t="n">
        <v>45406</v>
      </c>
      <c r="C858" s="137" t="n">
        <v>167.6523895263672</v>
      </c>
      <c r="D858" s="137" t="n">
        <v>5071.6298828125</v>
      </c>
      <c r="E858" s="71" t="n">
        <v>1.27022048572949</v>
      </c>
      <c r="F858" s="71" t="n">
        <v>0.02130100613548791</v>
      </c>
    </row>
    <row r="859">
      <c r="B859" s="70" t="n">
        <v>45407</v>
      </c>
      <c r="C859" s="137" t="n">
        <v>168.5153350830078</v>
      </c>
      <c r="D859" s="137" t="n">
        <v>5048.419921875</v>
      </c>
      <c r="E859" s="71" t="n">
        <v>0.5147230880982567</v>
      </c>
      <c r="F859" s="71" t="n">
        <v>-0.4576430353515626</v>
      </c>
    </row>
    <row r="860">
      <c r="B860" s="70" t="n">
        <v>45408</v>
      </c>
      <c r="C860" s="137" t="n">
        <v>167.9301147460938</v>
      </c>
      <c r="D860" s="137" t="n">
        <v>5099.9599609375</v>
      </c>
      <c r="E860" s="71" t="n">
        <v>-0.3472801668914838</v>
      </c>
      <c r="F860" s="71" t="n">
        <v>1.020914263474304</v>
      </c>
    </row>
    <row r="861">
      <c r="B861" s="70" t="n">
        <v>45411</v>
      </c>
      <c r="C861" s="137" t="n">
        <v>172.0961303710938</v>
      </c>
      <c r="D861" s="137" t="n">
        <v>5116.169921875</v>
      </c>
      <c r="E861" s="71" t="n">
        <v>2.48080317892887</v>
      </c>
      <c r="F861" s="71" t="n">
        <v>0.3178448666589118</v>
      </c>
    </row>
    <row r="862">
      <c r="B862" s="70" t="n">
        <v>45412</v>
      </c>
      <c r="C862" s="137" t="n">
        <v>168.9517822265625</v>
      </c>
      <c r="D862" s="137" t="n">
        <v>5035.68994140625</v>
      </c>
      <c r="E862" s="71" t="n">
        <v>-1.827088231299034</v>
      </c>
      <c r="F862" s="71" t="n">
        <v>-1.573051358686217</v>
      </c>
    </row>
    <row r="863">
      <c r="B863" s="70" t="n">
        <v>45413</v>
      </c>
      <c r="C863" s="137" t="n">
        <v>167.9301147460938</v>
      </c>
      <c r="D863" s="137" t="n">
        <v>5018.39013671875</v>
      </c>
      <c r="E863" s="71" t="n">
        <v>-0.6047095017314708</v>
      </c>
      <c r="F863" s="71" t="n">
        <v>-0.3435438815494019</v>
      </c>
    </row>
    <row r="864">
      <c r="B864" s="70" t="n">
        <v>45414</v>
      </c>
      <c r="C864" s="137" t="n">
        <v>171.6299285888672</v>
      </c>
      <c r="D864" s="137" t="n">
        <v>5064.2001953125</v>
      </c>
      <c r="E864" s="71" t="n">
        <v>2.203186634134924</v>
      </c>
      <c r="F864" s="71" t="n">
        <v>0.9128437077573048</v>
      </c>
    </row>
    <row r="865">
      <c r="B865" s="70" t="n">
        <v>45415</v>
      </c>
      <c r="C865" s="137" t="n">
        <v>181.8961639404297</v>
      </c>
      <c r="D865" s="137" t="n">
        <v>5127.7900390625</v>
      </c>
      <c r="E865" s="71" t="n">
        <v>5.981611386761609</v>
      </c>
      <c r="F865" s="71" t="n">
        <v>1.255673972147853</v>
      </c>
    </row>
    <row r="866">
      <c r="B866" s="70" t="n">
        <v>45418</v>
      </c>
      <c r="C866" s="137" t="n">
        <v>180.2396697998047</v>
      </c>
      <c r="D866" s="137" t="n">
        <v>5180.740234375</v>
      </c>
      <c r="E866" s="71" t="n">
        <v>-0.9106811846606555</v>
      </c>
      <c r="F866" s="71" t="n">
        <v>1.032612390701182</v>
      </c>
    </row>
    <row r="867">
      <c r="B867" s="70" t="n">
        <v>45419</v>
      </c>
      <c r="C867" s="137" t="n">
        <v>180.9241027832031</v>
      </c>
      <c r="D867" s="137" t="n">
        <v>5187.7001953125</v>
      </c>
      <c r="E867" s="71" t="n">
        <v>0.3797349296958963</v>
      </c>
      <c r="F867" s="71" t="n">
        <v>0.1343429823275066</v>
      </c>
    </row>
    <row r="868">
      <c r="B868" s="70" t="n">
        <v>45420</v>
      </c>
      <c r="C868" s="137" t="n">
        <v>181.2613525390625</v>
      </c>
      <c r="D868" s="137" t="n">
        <v>5187.669921875</v>
      </c>
      <c r="E868" s="71" t="n">
        <v>0.1864039951954499</v>
      </c>
      <c r="F868" s="71" t="n">
        <v>-0.0005835618166138978</v>
      </c>
    </row>
    <row r="869">
      <c r="B869" s="70" t="n">
        <v>45421</v>
      </c>
      <c r="C869" s="137" t="n">
        <v>183.0765686035156</v>
      </c>
      <c r="D869" s="137" t="n">
        <v>5214.080078125</v>
      </c>
      <c r="E869" s="71" t="n">
        <v>1.001435793690164</v>
      </c>
      <c r="F869" s="71" t="n">
        <v>0.5090947698625836</v>
      </c>
    </row>
    <row r="870">
      <c r="B870" s="70" t="n">
        <v>45422</v>
      </c>
      <c r="C870" s="137" t="n">
        <v>181.8151245117188</v>
      </c>
      <c r="D870" s="137" t="n">
        <v>5222.68017578125</v>
      </c>
      <c r="E870" s="71" t="n">
        <v>-0.6890254178450683</v>
      </c>
      <c r="F870" s="71" t="n">
        <v>0.1649398844549843</v>
      </c>
    </row>
    <row r="871">
      <c r="B871" s="70" t="n">
        <v>45425</v>
      </c>
      <c r="C871" s="137" t="n">
        <v>185.0233306884766</v>
      </c>
      <c r="D871" s="137" t="n">
        <v>5221.419921875</v>
      </c>
      <c r="E871" s="71" t="n">
        <v>1.764543068335889</v>
      </c>
      <c r="F871" s="71" t="n">
        <v>-0.02413040553572721</v>
      </c>
    </row>
    <row r="872">
      <c r="B872" s="70" t="n">
        <v>45426</v>
      </c>
      <c r="C872" s="137" t="n">
        <v>186.1655731201172</v>
      </c>
      <c r="D872" s="137" t="n">
        <v>5246.68017578125</v>
      </c>
      <c r="E872" s="71" t="n">
        <v>0.6173504862280188</v>
      </c>
      <c r="F872" s="71" t="n">
        <v>0.4837813139759728</v>
      </c>
    </row>
    <row r="873">
      <c r="B873" s="70" t="n">
        <v>45427</v>
      </c>
      <c r="C873" s="137" t="n">
        <v>188.4401245117188</v>
      </c>
      <c r="D873" s="137" t="n">
        <v>5308.14990234375</v>
      </c>
      <c r="E873" s="71" t="n">
        <v>1.221789482061775</v>
      </c>
      <c r="F873" s="71" t="n">
        <v>1.171592788259623</v>
      </c>
    </row>
    <row r="874">
      <c r="B874" s="70" t="n">
        <v>45428</v>
      </c>
      <c r="C874" s="137" t="n">
        <v>188.559326171875</v>
      </c>
      <c r="D874" s="137" t="n">
        <v>5297.10009765625</v>
      </c>
      <c r="E874" s="71" t="n">
        <v>0.06325704807566002</v>
      </c>
      <c r="F874" s="71" t="n">
        <v>-0.2081667792128705</v>
      </c>
    </row>
    <row r="875">
      <c r="B875" s="70" t="n">
        <v>45429</v>
      </c>
      <c r="C875" s="137" t="n">
        <v>188.5890960693359</v>
      </c>
      <c r="D875" s="137" t="n">
        <v>5303.27001953125</v>
      </c>
      <c r="E875" s="71" t="n">
        <v>0.01578808010469501</v>
      </c>
      <c r="F875" s="71" t="n">
        <v>0.1164773510270223</v>
      </c>
    </row>
    <row r="876">
      <c r="B876" s="70" t="n">
        <v>45432</v>
      </c>
      <c r="C876" s="137" t="n">
        <v>189.7512054443359</v>
      </c>
      <c r="D876" s="137" t="n">
        <v>5308.1298828125</v>
      </c>
      <c r="E876" s="71" t="n">
        <v>0.6162123893805216</v>
      </c>
      <c r="F876" s="71" t="n">
        <v>0.09163899374069473</v>
      </c>
    </row>
    <row r="877">
      <c r="B877" s="70" t="n">
        <v>45433</v>
      </c>
      <c r="C877" s="137" t="n">
        <v>191.0523834228516</v>
      </c>
      <c r="D877" s="137" t="n">
        <v>5321.41015625</v>
      </c>
      <c r="E877" s="71" t="n">
        <v>0.685728438704114</v>
      </c>
      <c r="F877" s="71" t="n">
        <v>0.2501874243978186</v>
      </c>
    </row>
    <row r="878">
      <c r="B878" s="70" t="n">
        <v>45434</v>
      </c>
      <c r="C878" s="137" t="n">
        <v>189.6121520996094</v>
      </c>
      <c r="D878" s="137" t="n">
        <v>5307.009765625</v>
      </c>
      <c r="E878" s="71" t="n">
        <v>-0.7538410657011108</v>
      </c>
      <c r="F878" s="71" t="n">
        <v>-0.2706123039226127</v>
      </c>
    </row>
    <row r="879">
      <c r="B879" s="70" t="n">
        <v>45435</v>
      </c>
      <c r="C879" s="137" t="n">
        <v>185.6193084716797</v>
      </c>
      <c r="D879" s="137" t="n">
        <v>5267.83984375</v>
      </c>
      <c r="E879" s="71" t="n">
        <v>-2.105795216032436</v>
      </c>
      <c r="F879" s="71" t="n">
        <v>-0.7380789485015526</v>
      </c>
    </row>
    <row r="880">
      <c r="B880" s="70" t="n">
        <v>45436</v>
      </c>
      <c r="C880" s="137" t="n">
        <v>188.6983642578125</v>
      </c>
      <c r="D880" s="137" t="n">
        <v>5304.72021484375</v>
      </c>
      <c r="E880" s="71" t="n">
        <v>1.658801453084058</v>
      </c>
      <c r="F880" s="71" t="n">
        <v>0.700104258816947</v>
      </c>
    </row>
    <row r="881">
      <c r="B881" s="70" t="n">
        <v>45440</v>
      </c>
      <c r="C881" s="137" t="n">
        <v>188.7083129882812</v>
      </c>
      <c r="D881" s="137" t="n">
        <v>5306.0400390625</v>
      </c>
      <c r="E881" s="71" t="n">
        <v>0.005272292903990561</v>
      </c>
      <c r="F881" s="71" t="n">
        <v>0.02488018529340774</v>
      </c>
    </row>
    <row r="882">
      <c r="B882" s="70" t="n">
        <v>45441</v>
      </c>
      <c r="C882" s="137" t="n">
        <v>189.0062713623047</v>
      </c>
      <c r="D882" s="137" t="n">
        <v>5266.9501953125</v>
      </c>
      <c r="E882" s="71" t="n">
        <v>0.1578936133258768</v>
      </c>
      <c r="F882" s="71" t="n">
        <v>-0.7367046509680453</v>
      </c>
    </row>
    <row r="883">
      <c r="B883" s="70" t="n">
        <v>45442</v>
      </c>
      <c r="C883" s="137" t="n">
        <v>189.99951171875</v>
      </c>
      <c r="D883" s="137" t="n">
        <v>5235.47998046875</v>
      </c>
      <c r="E883" s="71" t="n">
        <v>0.5255065608597675</v>
      </c>
      <c r="F883" s="71" t="n">
        <v>-0.5975035585443322</v>
      </c>
    </row>
    <row r="884">
      <c r="B884" s="70" t="n">
        <v>45443</v>
      </c>
      <c r="C884" s="137" t="n">
        <v>190.9530487060547</v>
      </c>
      <c r="D884" s="137" t="n">
        <v>5277.509765625</v>
      </c>
      <c r="E884" s="71" t="n">
        <v>0.5018628620036436</v>
      </c>
      <c r="F884" s="71" t="n">
        <v>0.802787620486467</v>
      </c>
    </row>
    <row r="885">
      <c r="B885" s="70" t="n">
        <v>45446</v>
      </c>
      <c r="C885" s="137" t="n">
        <v>192.7210540771484</v>
      </c>
      <c r="D885" s="137" t="n">
        <v>5283.39990234375</v>
      </c>
      <c r="E885" s="71" t="n">
        <v>0.9258848617888837</v>
      </c>
      <c r="F885" s="71" t="n">
        <v>0.111608258067375</v>
      </c>
    </row>
    <row r="886">
      <c r="B886" s="70" t="n">
        <v>45447</v>
      </c>
      <c r="C886" s="137" t="n">
        <v>193.0388946533203</v>
      </c>
      <c r="D886" s="137" t="n">
        <v>5291.33984375</v>
      </c>
      <c r="E886" s="71" t="n">
        <v>0.164922601577655</v>
      </c>
      <c r="F886" s="71" t="n">
        <v>0.1502809091306512</v>
      </c>
    </row>
    <row r="887">
      <c r="B887" s="70" t="n">
        <v>45448</v>
      </c>
      <c r="C887" s="137" t="n">
        <v>194.5486297607422</v>
      </c>
      <c r="D887" s="137" t="n">
        <v>5354.02978515625</v>
      </c>
      <c r="E887" s="71" t="n">
        <v>0.7820885579215675</v>
      </c>
      <c r="F887" s="71" t="n">
        <v>1.184764979333131</v>
      </c>
    </row>
    <row r="888">
      <c r="B888" s="70" t="n">
        <v>45449</v>
      </c>
      <c r="C888" s="137" t="n">
        <v>193.1680297851562</v>
      </c>
      <c r="D888" s="137" t="n">
        <v>5352.9599609375</v>
      </c>
      <c r="E888" s="71" t="n">
        <v>-0.7096426108391896</v>
      </c>
      <c r="F888" s="71" t="n">
        <v>-0.01998166356331765</v>
      </c>
    </row>
    <row r="889">
      <c r="B889" s="70" t="n">
        <v>45450</v>
      </c>
      <c r="C889" s="137" t="n">
        <v>195.5617523193359</v>
      </c>
      <c r="D889" s="137" t="n">
        <v>5346.990234375</v>
      </c>
      <c r="E889" s="71" t="n">
        <v>1.239191877062695</v>
      </c>
      <c r="F889" s="71" t="n">
        <v>-0.111521973003037</v>
      </c>
    </row>
    <row r="890">
      <c r="B890" s="70" t="n">
        <v>45453</v>
      </c>
      <c r="C890" s="137" t="n">
        <v>191.8171997070312</v>
      </c>
      <c r="D890" s="137" t="n">
        <v>5360.7900390625</v>
      </c>
      <c r="E890" s="71" t="n">
        <v>-1.914767365241321</v>
      </c>
      <c r="F890" s="71" t="n">
        <v>0.258085466451452</v>
      </c>
    </row>
    <row r="891">
      <c r="B891" s="70" t="n">
        <v>45454</v>
      </c>
      <c r="C891" s="137" t="n">
        <v>205.7525177001953</v>
      </c>
      <c r="D891" s="137" t="n">
        <v>5375.31982421875</v>
      </c>
      <c r="E891" s="71" t="n">
        <v>7.264894917894749</v>
      </c>
      <c r="F891" s="71" t="n">
        <v>0.2710381315137456</v>
      </c>
    </row>
    <row r="892">
      <c r="B892" s="70" t="n">
        <v>45455</v>
      </c>
      <c r="C892" s="137" t="n">
        <v>211.6325988769531</v>
      </c>
      <c r="D892" s="137" t="n">
        <v>5421.02978515625</v>
      </c>
      <c r="E892" s="71" t="n">
        <v>2.857841664579652</v>
      </c>
      <c r="F892" s="71" t="n">
        <v>0.8503672791998707</v>
      </c>
    </row>
    <row r="893">
      <c r="B893" s="70" t="n">
        <v>45456</v>
      </c>
      <c r="C893" s="137" t="n">
        <v>212.7946929931641</v>
      </c>
      <c r="D893" s="137" t="n">
        <v>5433.740234375</v>
      </c>
      <c r="E893" s="71" t="n">
        <v>0.5491092215366367</v>
      </c>
      <c r="F893" s="71" t="n">
        <v>0.234465585368171</v>
      </c>
    </row>
    <row r="894">
      <c r="B894" s="70" t="n">
        <v>45457</v>
      </c>
      <c r="C894" s="137" t="n">
        <v>211.0565185546875</v>
      </c>
      <c r="D894" s="137" t="n">
        <v>5431.60009765625</v>
      </c>
      <c r="E894" s="71" t="n">
        <v>-0.8168316671940845</v>
      </c>
      <c r="F894" s="71" t="n">
        <v>-0.0393860697500914</v>
      </c>
    </row>
    <row r="895">
      <c r="B895" s="70" t="n">
        <v>45460</v>
      </c>
      <c r="C895" s="137" t="n">
        <v>215.2083129882812</v>
      </c>
      <c r="D895" s="137" t="n">
        <v>5473.22998046875</v>
      </c>
      <c r="E895" s="71" t="n">
        <v>1.967148165820753</v>
      </c>
      <c r="F895" s="71" t="n">
        <v>0.7664386564552705</v>
      </c>
    </row>
    <row r="896">
      <c r="B896" s="70" t="n">
        <v>45461</v>
      </c>
      <c r="C896" s="137" t="n">
        <v>212.8443908691406</v>
      </c>
      <c r="D896" s="137" t="n">
        <v>5487.02978515625</v>
      </c>
      <c r="E896" s="71" t="n">
        <v>-1.098434389599678</v>
      </c>
      <c r="F896" s="71" t="n">
        <v>0.2521327394745754</v>
      </c>
    </row>
    <row r="897">
      <c r="B897" s="70" t="n">
        <v>45463</v>
      </c>
      <c r="C897" s="137" t="n">
        <v>208.2654571533203</v>
      </c>
      <c r="D897" s="137" t="n">
        <v>5473.169921875</v>
      </c>
      <c r="E897" s="71" t="n">
        <v>-2.151305795338276</v>
      </c>
      <c r="F897" s="71" t="n">
        <v>-0.2525931847270901</v>
      </c>
    </row>
    <row r="898">
      <c r="B898" s="70" t="n">
        <v>45464</v>
      </c>
      <c r="C898" s="137" t="n">
        <v>206.0902557373047</v>
      </c>
      <c r="D898" s="137" t="n">
        <v>5464.6201171875</v>
      </c>
      <c r="E898" s="71" t="n">
        <v>-1.044436963165851</v>
      </c>
      <c r="F898" s="71" t="n">
        <v>-0.1562130321101196</v>
      </c>
    </row>
    <row r="899">
      <c r="B899" s="70" t="n">
        <v>45467</v>
      </c>
      <c r="C899" s="137" t="n">
        <v>206.7358551025391</v>
      </c>
      <c r="D899" s="137" t="n">
        <v>5447.8701171875</v>
      </c>
      <c r="E899" s="71" t="n">
        <v>0.313260499835244</v>
      </c>
      <c r="F899" s="71" t="n">
        <v>-0.3065171894990004</v>
      </c>
    </row>
    <row r="900">
      <c r="B900" s="70" t="n">
        <v>45468</v>
      </c>
      <c r="C900" s="137" t="n">
        <v>207.6595916748047</v>
      </c>
      <c r="D900" s="137" t="n">
        <v>5469.2998046875</v>
      </c>
      <c r="E900" s="71" t="n">
        <v>0.4468197216237257</v>
      </c>
      <c r="F900" s="71" t="n">
        <v>0.3933590015736899</v>
      </c>
    </row>
    <row r="901">
      <c r="B901" s="70" t="n">
        <v>45469</v>
      </c>
      <c r="C901" s="137" t="n">
        <v>211.8113861083984</v>
      </c>
      <c r="D901" s="137" t="n">
        <v>5477.89990234375</v>
      </c>
      <c r="E901" s="71" t="n">
        <v>1.999327071824086</v>
      </c>
      <c r="F901" s="71" t="n">
        <v>0.1572431200220326</v>
      </c>
    </row>
    <row r="902">
      <c r="B902" s="70" t="n">
        <v>45470</v>
      </c>
      <c r="C902" s="137" t="n">
        <v>212.6556549072266</v>
      </c>
      <c r="D902" s="137" t="n">
        <v>5482.8701171875</v>
      </c>
      <c r="E902" s="71" t="n">
        <v>0.3985946243683536</v>
      </c>
      <c r="F902" s="71" t="n">
        <v>0.09073212238914774</v>
      </c>
    </row>
    <row r="903">
      <c r="B903" s="70" t="n">
        <v>45471</v>
      </c>
      <c r="C903" s="137" t="n">
        <v>209.1991271972656</v>
      </c>
      <c r="D903" s="137" t="n">
        <v>5460.47998046875</v>
      </c>
      <c r="E903" s="71" t="n">
        <v>-1.625410672229222</v>
      </c>
      <c r="F903" s="71" t="n">
        <v>-0.4083652583445674</v>
      </c>
    </row>
    <row r="904">
      <c r="B904" s="70" t="n">
        <v>45474</v>
      </c>
      <c r="C904" s="137" t="n">
        <v>215.2877960205078</v>
      </c>
      <c r="D904" s="137" t="n">
        <v>5475.08984375</v>
      </c>
      <c r="E904" s="71" t="n">
        <v>2.910465691140707</v>
      </c>
      <c r="F904" s="71" t="n">
        <v>0.26755639309195</v>
      </c>
    </row>
    <row r="905">
      <c r="B905" s="70" t="n">
        <v>45475</v>
      </c>
      <c r="C905" s="137" t="n">
        <v>218.7840423583984</v>
      </c>
      <c r="D905" s="137" t="n">
        <v>5509.009765625</v>
      </c>
      <c r="E905" s="71" t="n">
        <v>1.62398724057613</v>
      </c>
      <c r="F905" s="71" t="n">
        <v>0.6195317856513505</v>
      </c>
    </row>
    <row r="906">
      <c r="B906" s="70" t="n">
        <v>45476</v>
      </c>
      <c r="C906" s="137" t="n">
        <v>220.0553894042969</v>
      </c>
      <c r="D906" s="137" t="n">
        <v>5537.02001953125</v>
      </c>
      <c r="E906" s="71" t="n">
        <v>0.5810967894156693</v>
      </c>
      <c r="F906" s="71" t="n">
        <v>0.5084444409779065</v>
      </c>
    </row>
    <row r="907">
      <c r="B907" s="70" t="n">
        <v>45478</v>
      </c>
      <c r="C907" s="137" t="n">
        <v>224.8130950927734</v>
      </c>
      <c r="D907" s="137" t="n">
        <v>5567.18994140625</v>
      </c>
      <c r="E907" s="71" t="n">
        <v>2.162049155603918</v>
      </c>
      <c r="F907" s="71" t="n">
        <v>0.5448765178485582</v>
      </c>
    </row>
    <row r="908">
      <c r="B908" s="70" t="n">
        <v>45481</v>
      </c>
      <c r="C908" s="137" t="n">
        <v>226.2831115722656</v>
      </c>
      <c r="D908" s="137" t="n">
        <v>5572.85009765625</v>
      </c>
      <c r="E908" s="71" t="n">
        <v>0.6538838313157713</v>
      </c>
      <c r="F908" s="71" t="n">
        <v>0.1016698964751095</v>
      </c>
    </row>
    <row r="909">
      <c r="B909" s="70" t="n">
        <v>45482</v>
      </c>
      <c r="C909" s="137" t="n">
        <v>227.1372833251953</v>
      </c>
      <c r="D909" s="137" t="n">
        <v>5576.97998046875</v>
      </c>
      <c r="E909" s="71" t="n">
        <v>0.3774792325395904</v>
      </c>
      <c r="F909" s="71" t="n">
        <v>0.07410719362856977</v>
      </c>
    </row>
    <row r="910">
      <c r="B910" s="70" t="n">
        <v>45483</v>
      </c>
      <c r="C910" s="137" t="n">
        <v>231.4082794189453</v>
      </c>
      <c r="D910" s="137" t="n">
        <v>5633.91015625</v>
      </c>
      <c r="E910" s="71" t="n">
        <v>1.880358887464184</v>
      </c>
      <c r="F910" s="71" t="n">
        <v>1.020806529351481</v>
      </c>
    </row>
    <row r="911">
      <c r="B911" s="70" t="n">
        <v>45484</v>
      </c>
      <c r="C911" s="137" t="n">
        <v>226.0347900390625</v>
      </c>
      <c r="D911" s="137" t="n">
        <v>5584.5400390625</v>
      </c>
      <c r="E911" s="71" t="n">
        <v>-2.322081730772718</v>
      </c>
      <c r="F911" s="71" t="n">
        <v>-0.8763028841120457</v>
      </c>
    </row>
    <row r="912">
      <c r="B912" s="70" t="n">
        <v>45485</v>
      </c>
      <c r="C912" s="137" t="n">
        <v>228.9847564697266</v>
      </c>
      <c r="D912" s="137" t="n">
        <v>5615.35009765625</v>
      </c>
      <c r="E912" s="71" t="n">
        <v>1.305093976973315</v>
      </c>
      <c r="F912" s="71" t="n">
        <v>0.5517027074430692</v>
      </c>
    </row>
    <row r="913">
      <c r="B913" s="70" t="n">
        <v>45488</v>
      </c>
      <c r="C913" s="137" t="n">
        <v>232.8187103271484</v>
      </c>
      <c r="D913" s="137" t="n">
        <v>5631.22021484375</v>
      </c>
      <c r="E913" s="71" t="n">
        <v>1.674327110909113</v>
      </c>
      <c r="F913" s="71" t="n">
        <v>0.282620262521549</v>
      </c>
    </row>
    <row r="914">
      <c r="B914" s="70" t="n">
        <v>45489</v>
      </c>
      <c r="C914" s="137" t="n">
        <v>233.2358856201172</v>
      </c>
      <c r="D914" s="137" t="n">
        <v>5667.2001953125</v>
      </c>
      <c r="E914" s="71" t="n">
        <v>0.1791846077931591</v>
      </c>
      <c r="F914" s="71" t="n">
        <v>0.6389375498743188</v>
      </c>
    </row>
    <row r="915">
      <c r="B915" s="70" t="n">
        <v>45490</v>
      </c>
      <c r="C915" s="137" t="n">
        <v>227.3359527587891</v>
      </c>
      <c r="D915" s="137" t="n">
        <v>5588.27001953125</v>
      </c>
      <c r="E915" s="71" t="n">
        <v>-2.52959909905871</v>
      </c>
      <c r="F915" s="71" t="n">
        <v>-1.392754324199375</v>
      </c>
    </row>
    <row r="916">
      <c r="B916" s="70" t="n">
        <v>45491</v>
      </c>
      <c r="C916" s="137" t="n">
        <v>222.6676483154297</v>
      </c>
      <c r="D916" s="137" t="n">
        <v>5544.58984375</v>
      </c>
      <c r="E916" s="71" t="n">
        <v>-2.053482692336228</v>
      </c>
      <c r="F916" s="71" t="n">
        <v>-0.7816403936922511</v>
      </c>
    </row>
    <row r="917">
      <c r="B917" s="70" t="n">
        <v>45492</v>
      </c>
      <c r="C917" s="137" t="n">
        <v>222.7967834472656</v>
      </c>
      <c r="D917" s="137" t="n">
        <v>5505</v>
      </c>
      <c r="E917" s="71" t="n">
        <v>0.05799456401183178</v>
      </c>
      <c r="F917" s="71" t="n">
        <v>-0.7140265531926926</v>
      </c>
    </row>
    <row r="918">
      <c r="B918" s="70" t="n">
        <v>45495</v>
      </c>
      <c r="C918" s="137" t="n">
        <v>222.4491424560547</v>
      </c>
      <c r="D918" s="137" t="n">
        <v>5564.41015625</v>
      </c>
      <c r="E918" s="71" t="n">
        <v>-0.1560350135365374</v>
      </c>
      <c r="F918" s="71" t="n">
        <v>1.079203564940956</v>
      </c>
    </row>
    <row r="919">
      <c r="B919" s="70" t="n">
        <v>45496</v>
      </c>
      <c r="C919" s="137" t="n">
        <v>223.4920349121094</v>
      </c>
      <c r="D919" s="137" t="n">
        <v>5555.740234375</v>
      </c>
      <c r="E919" s="71" t="n">
        <v>0.4688228709448738</v>
      </c>
      <c r="F919" s="71" t="n">
        <v>-0.1558102589770738</v>
      </c>
    </row>
    <row r="920">
      <c r="B920" s="70" t="n">
        <v>45497</v>
      </c>
      <c r="C920" s="137" t="n">
        <v>217.0657043457031</v>
      </c>
      <c r="D920" s="137" t="n">
        <v>5427.1298828125</v>
      </c>
      <c r="E920" s="71" t="n">
        <v>-2.87541816375404</v>
      </c>
      <c r="F920" s="71" t="n">
        <v>-2.314909375473495</v>
      </c>
    </row>
    <row r="921">
      <c r="B921" s="70" t="n">
        <v>45498</v>
      </c>
      <c r="C921" s="137" t="n">
        <v>216.0227813720703</v>
      </c>
      <c r="D921" s="137" t="n">
        <v>5399.22021484375</v>
      </c>
      <c r="E921" s="71" t="n">
        <v>-0.4804641879178728</v>
      </c>
      <c r="F921" s="71" t="n">
        <v>-0.5142620237842288</v>
      </c>
    </row>
    <row r="922">
      <c r="B922" s="70" t="n">
        <v>45499</v>
      </c>
      <c r="C922" s="137" t="n">
        <v>216.4896240234375</v>
      </c>
      <c r="D922" s="137" t="n">
        <v>5459.10009765625</v>
      </c>
      <c r="E922" s="71" t="n">
        <v>0.2161080643448887</v>
      </c>
      <c r="F922" s="71" t="n">
        <v>1.109046870284636</v>
      </c>
    </row>
    <row r="923">
      <c r="B923" s="70" t="n">
        <v>45502</v>
      </c>
      <c r="C923" s="137" t="n">
        <v>216.7677307128906</v>
      </c>
      <c r="D923" s="137" t="n">
        <v>5463.5400390625</v>
      </c>
      <c r="E923" s="71" t="n">
        <v>0.1284619023695033</v>
      </c>
      <c r="F923" s="71" t="n">
        <v>0.08133101292933098</v>
      </c>
    </row>
    <row r="924">
      <c r="B924" s="70" t="n">
        <v>45503</v>
      </c>
      <c r="C924" s="137" t="n">
        <v>217.3239440917969</v>
      </c>
      <c r="D924" s="137" t="n">
        <v>5436.43994140625</v>
      </c>
      <c r="E924" s="71" t="n">
        <v>0.2565941789753889</v>
      </c>
      <c r="F924" s="71" t="n">
        <v>-0.4960171878030217</v>
      </c>
    </row>
    <row r="925">
      <c r="B925" s="70" t="n">
        <v>45504</v>
      </c>
      <c r="C925" s="137" t="n">
        <v>220.5818176269531</v>
      </c>
      <c r="D925" s="137" t="n">
        <v>5522.2998046875</v>
      </c>
      <c r="E925" s="71" t="n">
        <v>1.49908632883089</v>
      </c>
      <c r="F925" s="71" t="n">
        <v>1.57933986591674</v>
      </c>
    </row>
    <row r="926">
      <c r="B926" s="70" t="n">
        <v>45505</v>
      </c>
      <c r="C926" s="137" t="n">
        <v>216.8869171142578</v>
      </c>
      <c r="D926" s="137" t="n">
        <v>5446.68017578125</v>
      </c>
      <c r="E926" s="71" t="n">
        <v>-1.675070299286441</v>
      </c>
      <c r="F926" s="71" t="n">
        <v>-1.369350299345606</v>
      </c>
    </row>
    <row r="927">
      <c r="B927" s="70" t="n">
        <v>45506</v>
      </c>
      <c r="C927" s="137" t="n">
        <v>218.3768005371094</v>
      </c>
      <c r="D927" s="137" t="n">
        <v>5346.56005859375</v>
      </c>
      <c r="E927" s="71" t="n">
        <v>0.6869402003011116</v>
      </c>
      <c r="F927" s="71" t="n">
        <v>-1.838186086869675</v>
      </c>
    </row>
    <row r="928">
      <c r="B928" s="70" t="n">
        <v>45509</v>
      </c>
      <c r="C928" s="137" t="n">
        <v>207.8582611083984</v>
      </c>
      <c r="D928" s="137" t="n">
        <v>5186.330078125</v>
      </c>
      <c r="E928" s="71" t="n">
        <v>-4.816692708584469</v>
      </c>
      <c r="F928" s="71" t="n">
        <v>-2.996879838863975</v>
      </c>
    </row>
    <row r="929">
      <c r="B929" s="70" t="n">
        <v>45510</v>
      </c>
      <c r="C929" s="137" t="n">
        <v>205.8320007324219</v>
      </c>
      <c r="D929" s="137" t="n">
        <v>5240.02978515625</v>
      </c>
      <c r="E929" s="71" t="n">
        <v>-0.974827926093258</v>
      </c>
      <c r="F929" s="71" t="n">
        <v>1.035408588006104</v>
      </c>
    </row>
    <row r="930">
      <c r="B930" s="70" t="n">
        <v>45511</v>
      </c>
      <c r="C930" s="137" t="n">
        <v>208.404541015625</v>
      </c>
      <c r="D930" s="137" t="n">
        <v>5199.5</v>
      </c>
      <c r="E930" s="71" t="n">
        <v>1.249825233223745</v>
      </c>
      <c r="F930" s="71" t="n">
        <v>-0.7734647858502863</v>
      </c>
    </row>
    <row r="931">
      <c r="B931" s="70" t="n">
        <v>45512</v>
      </c>
      <c r="C931" s="137" t="n">
        <v>211.8709869384766</v>
      </c>
      <c r="D931" s="137" t="n">
        <v>5319.31005859375</v>
      </c>
      <c r="E931" s="71" t="n">
        <v>1.663325523502723</v>
      </c>
      <c r="F931" s="71" t="n">
        <v>2.304261151913645</v>
      </c>
    </row>
    <row r="932">
      <c r="B932" s="70" t="n">
        <v>45513</v>
      </c>
      <c r="C932" s="137" t="n">
        <v>214.7812194824219</v>
      </c>
      <c r="D932" s="137" t="n">
        <v>5344.16015625</v>
      </c>
      <c r="E932" s="71" t="n">
        <v>1.373587099393836</v>
      </c>
      <c r="F932" s="71" t="n">
        <v>0.4671676849538509</v>
      </c>
    </row>
    <row r="933">
      <c r="B933" s="70" t="n">
        <v>45516</v>
      </c>
      <c r="C933" s="137" t="n">
        <v>216.3126220703125</v>
      </c>
      <c r="D933" s="137" t="n">
        <v>5344.39013671875</v>
      </c>
      <c r="E933" s="71" t="n">
        <v>0.7130058166076925</v>
      </c>
      <c r="F933" s="71" t="n">
        <v>0.004303397765514916</v>
      </c>
    </row>
    <row r="934">
      <c r="B934" s="70" t="n">
        <v>45517</v>
      </c>
      <c r="C934" s="137" t="n">
        <v>220.0316619873047</v>
      </c>
      <c r="D934" s="137" t="n">
        <v>5434.43017578125</v>
      </c>
      <c r="E934" s="71" t="n">
        <v>1.719289369893229</v>
      </c>
      <c r="F934" s="71" t="n">
        <v>1.684757975355833</v>
      </c>
    </row>
    <row r="935">
      <c r="B935" s="70" t="n">
        <v>45518</v>
      </c>
      <c r="C935" s="137" t="n">
        <v>220.4791717529297</v>
      </c>
      <c r="D935" s="137" t="n">
        <v>5455.2099609375</v>
      </c>
      <c r="E935" s="71" t="n">
        <v>0.203384259148498</v>
      </c>
      <c r="F935" s="71" t="n">
        <v>0.38237284285767</v>
      </c>
    </row>
    <row r="936">
      <c r="B936" s="70" t="n">
        <v>45519</v>
      </c>
      <c r="C936" s="137" t="n">
        <v>223.4623718261719</v>
      </c>
      <c r="D936" s="137" t="n">
        <v>5543.22021484375</v>
      </c>
      <c r="E936" s="71" t="n">
        <v>1.353053011549421</v>
      </c>
      <c r="F936" s="71" t="n">
        <v>1.613324776433078</v>
      </c>
    </row>
    <row r="937">
      <c r="B937" s="70" t="n">
        <v>45520</v>
      </c>
      <c r="C937" s="137" t="n">
        <v>224.7849273681641</v>
      </c>
      <c r="D937" s="137" t="n">
        <v>5554.25</v>
      </c>
      <c r="E937" s="71" t="n">
        <v>0.5918470886995708</v>
      </c>
      <c r="F937" s="71" t="n">
        <v>0.1989779357261412</v>
      </c>
    </row>
    <row r="938">
      <c r="B938" s="70" t="n">
        <v>45523</v>
      </c>
      <c r="C938" s="137" t="n">
        <v>224.6258087158203</v>
      </c>
      <c r="D938" s="137" t="n">
        <v>5608.25</v>
      </c>
      <c r="E938" s="71" t="n">
        <v>-0.07078706486541853</v>
      </c>
      <c r="F938" s="71" t="n">
        <v>0.9722284736913167</v>
      </c>
    </row>
    <row r="939">
      <c r="B939" s="70" t="n">
        <v>45524</v>
      </c>
      <c r="C939" s="137" t="n">
        <v>225.2423400878906</v>
      </c>
      <c r="D939" s="137" t="n">
        <v>5597.1201171875</v>
      </c>
      <c r="E939" s="71" t="n">
        <v>0.2744704072942472</v>
      </c>
      <c r="F939" s="71" t="n">
        <v>-0.1984555398297116</v>
      </c>
    </row>
    <row r="940">
      <c r="B940" s="70" t="n">
        <v>45525</v>
      </c>
      <c r="C940" s="137" t="n">
        <v>225.1329498291016</v>
      </c>
      <c r="D940" s="137" t="n">
        <v>5620.85009765625</v>
      </c>
      <c r="E940" s="71" t="n">
        <v>-0.04856558440403669</v>
      </c>
      <c r="F940" s="71" t="n">
        <v>0.4239676828782013</v>
      </c>
    </row>
    <row r="941">
      <c r="B941" s="70" t="n">
        <v>45526</v>
      </c>
      <c r="C941" s="137" t="n">
        <v>223.2734222412109</v>
      </c>
      <c r="D941" s="137" t="n">
        <v>5570.64013671875</v>
      </c>
      <c r="E941" s="71" t="n">
        <v>-0.8259686506583153</v>
      </c>
      <c r="F941" s="71" t="n">
        <v>-0.8932805548120926</v>
      </c>
    </row>
    <row r="942">
      <c r="B942" s="70" t="n">
        <v>45527</v>
      </c>
      <c r="C942" s="137" t="n">
        <v>225.5704956054688</v>
      </c>
      <c r="D942" s="137" t="n">
        <v>5634.60986328125</v>
      </c>
      <c r="E942" s="71" t="n">
        <v>1.028816301196955</v>
      </c>
      <c r="F942" s="71" t="n">
        <v>1.148337085011919</v>
      </c>
    </row>
    <row r="943">
      <c r="B943" s="70" t="n">
        <v>45530</v>
      </c>
      <c r="C943" s="137" t="n">
        <v>225.9085845947266</v>
      </c>
      <c r="D943" s="137" t="n">
        <v>5616.83984375</v>
      </c>
      <c r="E943" s="71" t="n">
        <v>0.1498817424461008</v>
      </c>
      <c r="F943" s="71" t="n">
        <v>-0.3153726693138181</v>
      </c>
    </row>
    <row r="944">
      <c r="B944" s="70" t="n">
        <v>45531</v>
      </c>
      <c r="C944" s="137" t="n">
        <v>226.7538452148438</v>
      </c>
      <c r="D944" s="137" t="n">
        <v>5625.7998046875</v>
      </c>
      <c r="E944" s="71" t="n">
        <v>0.3741604692152789</v>
      </c>
      <c r="F944" s="71" t="n">
        <v>0.1595196086545014</v>
      </c>
    </row>
    <row r="945">
      <c r="B945" s="70" t="n">
        <v>45532</v>
      </c>
      <c r="C945" s="137" t="n">
        <v>225.2224578857422</v>
      </c>
      <c r="D945" s="137" t="n">
        <v>5592.18017578125</v>
      </c>
      <c r="E945" s="71" t="n">
        <v>-0.6753523088663282</v>
      </c>
      <c r="F945" s="71" t="n">
        <v>-0.597597320797616</v>
      </c>
    </row>
    <row r="946">
      <c r="B946" s="70" t="n">
        <v>45533</v>
      </c>
      <c r="C946" s="137" t="n">
        <v>228.5039672851562</v>
      </c>
      <c r="D946" s="137" t="n">
        <v>5591.9599609375</v>
      </c>
      <c r="E946" s="71" t="n">
        <v>1.457008075579536</v>
      </c>
      <c r="F946" s="71" t="n">
        <v>-0.003937906806072977</v>
      </c>
    </row>
    <row r="947">
      <c r="B947" s="70" t="n">
        <v>45534</v>
      </c>
      <c r="C947" s="137" t="n">
        <v>227.7184143066406</v>
      </c>
      <c r="D947" s="137" t="n">
        <v>5648.39990234375</v>
      </c>
      <c r="E947" s="71" t="n">
        <v>-0.3437808926683883</v>
      </c>
      <c r="F947" s="71" t="n">
        <v>1.009305177442443</v>
      </c>
    </row>
    <row r="948">
      <c r="B948" s="70" t="n">
        <v>45538</v>
      </c>
      <c r="C948" s="137" t="n">
        <v>221.5233154296875</v>
      </c>
      <c r="D948" s="137" t="n">
        <v>5528.93017578125</v>
      </c>
      <c r="E948" s="71" t="n">
        <v>-2.720508526205923</v>
      </c>
      <c r="F948" s="71" t="n">
        <v>-2.115107439771169</v>
      </c>
    </row>
    <row r="949">
      <c r="B949" s="70" t="n">
        <v>45539</v>
      </c>
      <c r="C949" s="137" t="n">
        <v>219.6140289306641</v>
      </c>
      <c r="D949" s="137" t="n">
        <v>5520.06982421875</v>
      </c>
      <c r="E949" s="71" t="n">
        <v>-0.8618896369079643</v>
      </c>
      <c r="F949" s="71" t="n">
        <v>-0.1602543580910387</v>
      </c>
    </row>
    <row r="950">
      <c r="B950" s="70" t="n">
        <v>45540</v>
      </c>
      <c r="C950" s="137" t="n">
        <v>221.1354827880859</v>
      </c>
      <c r="D950" s="137" t="n">
        <v>5503.41015625</v>
      </c>
      <c r="E950" s="71" t="n">
        <v>0.6927853675058993</v>
      </c>
      <c r="F950" s="71" t="n">
        <v>-0.3018017615584734</v>
      </c>
    </row>
    <row r="951">
      <c r="B951" s="70" t="n">
        <v>45541</v>
      </c>
      <c r="C951" s="137" t="n">
        <v>219.5842132568359</v>
      </c>
      <c r="D951" s="137" t="n">
        <v>5408.419921875</v>
      </c>
      <c r="E951" s="71" t="n">
        <v>-0.7015018628813041</v>
      </c>
      <c r="F951" s="71" t="n">
        <v>-1.726024985928465</v>
      </c>
    </row>
    <row r="952">
      <c r="B952" s="70" t="n">
        <v>45544</v>
      </c>
      <c r="C952" s="137" t="n">
        <v>219.6736907958984</v>
      </c>
      <c r="D952" s="137" t="n">
        <v>5471.0498046875</v>
      </c>
      <c r="E952" s="71" t="n">
        <v>0.04074862110321487</v>
      </c>
      <c r="F952" s="71" t="n">
        <v>1.15800702824842</v>
      </c>
    </row>
    <row r="953">
      <c r="B953" s="70" t="n">
        <v>45545</v>
      </c>
      <c r="C953" s="137" t="n">
        <v>218.878173828125</v>
      </c>
      <c r="D953" s="137" t="n">
        <v>5495.52001953125</v>
      </c>
      <c r="E953" s="71" t="n">
        <v>-0.3621357500259492</v>
      </c>
      <c r="F953" s="71" t="n">
        <v>0.4472672652839682</v>
      </c>
    </row>
    <row r="954">
      <c r="B954" s="70" t="n">
        <v>45546</v>
      </c>
      <c r="C954" s="137" t="n">
        <v>221.4138946533203</v>
      </c>
      <c r="D954" s="137" t="n">
        <v>5554.1298828125</v>
      </c>
      <c r="E954" s="71" t="n">
        <v>1.158507849753221</v>
      </c>
      <c r="F954" s="71" t="n">
        <v>1.066502588889651</v>
      </c>
    </row>
    <row r="955">
      <c r="B955" s="70" t="n">
        <v>45547</v>
      </c>
      <c r="C955" s="137" t="n">
        <v>221.5233154296875</v>
      </c>
      <c r="D955" s="137" t="n">
        <v>5595.759765625</v>
      </c>
      <c r="E955" s="71" t="n">
        <v>0.04941911009628264</v>
      </c>
      <c r="F955" s="71" t="n">
        <v>0.7495302358939249</v>
      </c>
    </row>
    <row r="956">
      <c r="B956" s="70" t="n">
        <v>45548</v>
      </c>
      <c r="C956" s="137" t="n">
        <v>221.2548065185547</v>
      </c>
      <c r="D956" s="137" t="n">
        <v>5626.02001953125</v>
      </c>
      <c r="E956" s="71" t="n">
        <v>-0.1212102259358083</v>
      </c>
      <c r="F956" s="71" t="n">
        <v>0.5407711405364557</v>
      </c>
    </row>
    <row r="957">
      <c r="B957" s="70" t="n">
        <v>45551</v>
      </c>
      <c r="C957" s="137" t="n">
        <v>215.1093902587891</v>
      </c>
      <c r="D957" s="137" t="n">
        <v>5633.08984375</v>
      </c>
      <c r="E957" s="71" t="n">
        <v>-2.777528929863149</v>
      </c>
      <c r="F957" s="71" t="n">
        <v>0.1256629765661321</v>
      </c>
    </row>
    <row r="958">
      <c r="B958" s="70" t="n">
        <v>45552</v>
      </c>
      <c r="C958" s="137" t="n">
        <v>215.5767364501953</v>
      </c>
      <c r="D958" s="137" t="n">
        <v>5634.580078125</v>
      </c>
      <c r="E958" s="71" t="n">
        <v>0.2172597815669475</v>
      </c>
      <c r="F958" s="71" t="n">
        <v>0.02645500810987134</v>
      </c>
    </row>
    <row r="959">
      <c r="B959" s="70" t="n">
        <v>45553</v>
      </c>
      <c r="C959" s="137" t="n">
        <v>219.4549255371094</v>
      </c>
      <c r="D959" s="137" t="n">
        <v>5618.259765625</v>
      </c>
      <c r="E959" s="71" t="n">
        <v>1.798983114214669</v>
      </c>
      <c r="F959" s="71" t="n">
        <v>-0.2896455862498093</v>
      </c>
    </row>
    <row r="960">
      <c r="B960" s="70" t="n">
        <v>45554</v>
      </c>
      <c r="C960" s="137" t="n">
        <v>227.5891418457031</v>
      </c>
      <c r="D960" s="137" t="n">
        <v>5713.64013671875</v>
      </c>
      <c r="E960" s="71" t="n">
        <v>3.706554450161215</v>
      </c>
      <c r="F960" s="71" t="n">
        <v>1.697685316676334</v>
      </c>
    </row>
    <row r="961">
      <c r="B961" s="70" t="n">
        <v>45555</v>
      </c>
      <c r="C961" s="137" t="n">
        <v>226.9228973388672</v>
      </c>
      <c r="D961" s="137" t="n">
        <v>5702.5498046875</v>
      </c>
      <c r="E961" s="71" t="n">
        <v>-0.2927400232861754</v>
      </c>
      <c r="F961" s="71" t="n">
        <v>-0.1941027395123807</v>
      </c>
    </row>
    <row r="962">
      <c r="B962" s="70" t="n">
        <v>45558</v>
      </c>
      <c r="C962" s="137" t="n">
        <v>225.2025756835938</v>
      </c>
      <c r="D962" s="137" t="n">
        <v>5718.56982421875</v>
      </c>
      <c r="E962" s="71" t="n">
        <v>-0.7581084480445366</v>
      </c>
      <c r="F962" s="71" t="n">
        <v>0.2809273058532735</v>
      </c>
    </row>
    <row r="963">
      <c r="B963" s="70" t="n">
        <v>45559</v>
      </c>
      <c r="C963" s="137" t="n">
        <v>226.0975341796875</v>
      </c>
      <c r="D963" s="137" t="n">
        <v>5732.93017578125</v>
      </c>
      <c r="E963" s="71" t="n">
        <v>0.3974015365397543</v>
      </c>
      <c r="F963" s="71" t="n">
        <v>0.251117884434704</v>
      </c>
    </row>
    <row r="964">
      <c r="B964" s="70" t="n">
        <v>45560</v>
      </c>
      <c r="C964" s="137" t="n">
        <v>225.1031341552734</v>
      </c>
      <c r="D964" s="137" t="n">
        <v>5722.259765625</v>
      </c>
      <c r="E964" s="71" t="n">
        <v>-0.4398102031594076</v>
      </c>
      <c r="F964" s="71" t="n">
        <v>-0.1861248930141723</v>
      </c>
    </row>
    <row r="965">
      <c r="B965" s="70" t="n">
        <v>45561</v>
      </c>
      <c r="C965" s="137" t="n">
        <v>226.2466888427734</v>
      </c>
      <c r="D965" s="137" t="n">
        <v>5745.3701171875</v>
      </c>
      <c r="E965" s="71" t="n">
        <v>0.508013667509033</v>
      </c>
      <c r="F965" s="71" t="n">
        <v>0.403867571712313</v>
      </c>
    </row>
    <row r="966">
      <c r="B966" s="70" t="n">
        <v>45562</v>
      </c>
      <c r="C966" s="137" t="n">
        <v>226.5151672363281</v>
      </c>
      <c r="D966" s="137" t="n">
        <v>5738.169921875</v>
      </c>
      <c r="E966" s="71" t="n">
        <v>0.118666220013175</v>
      </c>
      <c r="F966" s="71" t="n">
        <v>-0.1253216966990545</v>
      </c>
    </row>
    <row r="967">
      <c r="B967" s="70" t="n">
        <v>45565</v>
      </c>
      <c r="C967" s="137" t="n">
        <v>231.696044921875</v>
      </c>
      <c r="D967" s="137" t="n">
        <v>5762.47998046875</v>
      </c>
      <c r="E967" s="71" t="n">
        <v>2.287210056950228</v>
      </c>
      <c r="F967" s="71" t="n">
        <v>0.4236552581176722</v>
      </c>
    </row>
    <row r="968">
      <c r="B968" s="70" t="n">
        <v>45566</v>
      </c>
      <c r="C968" s="137" t="n">
        <v>224.9440307617188</v>
      </c>
      <c r="D968" s="137" t="n">
        <v>5708.75</v>
      </c>
      <c r="E968" s="71" t="n">
        <v>-2.914168933022954</v>
      </c>
      <c r="F968" s="71" t="n">
        <v>-0.9324107094664358</v>
      </c>
    </row>
    <row r="969">
      <c r="B969" s="70" t="n">
        <v>45567</v>
      </c>
      <c r="C969" s="137" t="n">
        <v>225.5108489990234</v>
      </c>
      <c r="D969" s="137" t="n">
        <v>5709.5400390625</v>
      </c>
      <c r="E969" s="71" t="n">
        <v>0.2519818976236987</v>
      </c>
      <c r="F969" s="71" t="n">
        <v>0.01383909021239749</v>
      </c>
    </row>
    <row r="970">
      <c r="B970" s="70" t="n">
        <v>45568</v>
      </c>
      <c r="C970" s="137" t="n">
        <v>224.4070434570312</v>
      </c>
      <c r="D970" s="137" t="n">
        <v>5699.93994140625</v>
      </c>
      <c r="E970" s="71" t="n">
        <v>-0.4894689310477429</v>
      </c>
      <c r="F970" s="71" t="n">
        <v>-0.1681413492255035</v>
      </c>
    </row>
    <row r="971">
      <c r="B971" s="70" t="n">
        <v>45569</v>
      </c>
      <c r="C971" s="137" t="n">
        <v>225.5307312011719</v>
      </c>
      <c r="D971" s="137" t="n">
        <v>5751.06982421875</v>
      </c>
      <c r="E971" s="71" t="n">
        <v>0.5007363970533696</v>
      </c>
      <c r="F971" s="71" t="n">
        <v>0.8970249395274354</v>
      </c>
    </row>
    <row r="972">
      <c r="B972" s="70" t="n">
        <v>45572</v>
      </c>
      <c r="C972" s="137" t="n">
        <v>220.4493255615234</v>
      </c>
      <c r="D972" s="137" t="n">
        <v>5695.93994140625</v>
      </c>
      <c r="E972" s="71" t="n">
        <v>-2.253087910718432</v>
      </c>
      <c r="F972" s="71" t="n">
        <v>-0.9586022165882668</v>
      </c>
    </row>
    <row r="973">
      <c r="B973" s="70" t="n">
        <v>45573</v>
      </c>
      <c r="C973" s="137" t="n">
        <v>224.5065002441406</v>
      </c>
      <c r="D973" s="137" t="n">
        <v>5751.1298828125</v>
      </c>
      <c r="E973" s="71" t="n">
        <v>1.840411474284553</v>
      </c>
      <c r="F973" s="71" t="n">
        <v>0.9689347495581924</v>
      </c>
    </row>
    <row r="974">
      <c r="B974" s="70" t="n">
        <v>45574</v>
      </c>
      <c r="C974" s="137" t="n">
        <v>228.2553863525391</v>
      </c>
      <c r="D974" s="137" t="n">
        <v>5792.0400390625</v>
      </c>
      <c r="E974" s="71" t="n">
        <v>1.669834104723811</v>
      </c>
      <c r="F974" s="71" t="n">
        <v>0.7113411987488272</v>
      </c>
    </row>
    <row r="975">
      <c r="B975" s="70" t="n">
        <v>45575</v>
      </c>
      <c r="C975" s="137" t="n">
        <v>227.7581634521484</v>
      </c>
      <c r="D975" s="137" t="n">
        <v>5780.0498046875</v>
      </c>
      <c r="E975" s="71" t="n">
        <v>-0.2178362177279514</v>
      </c>
      <c r="F975" s="71" t="n">
        <v>-0.2070122839989974</v>
      </c>
    </row>
    <row r="976">
      <c r="B976" s="70" t="n">
        <v>45576</v>
      </c>
      <c r="C976" s="137" t="n">
        <v>226.2765502929688</v>
      </c>
      <c r="D976" s="137" t="n">
        <v>5815.02978515625</v>
      </c>
      <c r="E976" s="71" t="n">
        <v>-0.6505203311805263</v>
      </c>
      <c r="F976" s="71" t="n">
        <v>0.6051847587953629</v>
      </c>
    </row>
    <row r="977">
      <c r="B977" s="70" t="n">
        <v>45579</v>
      </c>
      <c r="C977" s="137" t="n">
        <v>230.0055541992188</v>
      </c>
      <c r="D977" s="137" t="n">
        <v>5859.85009765625</v>
      </c>
      <c r="E977" s="71" t="n">
        <v>1.647985132096941</v>
      </c>
      <c r="F977" s="71" t="n">
        <v>0.7707666883222331</v>
      </c>
    </row>
    <row r="978">
      <c r="B978" s="70" t="n">
        <v>45580</v>
      </c>
      <c r="C978" s="137" t="n">
        <v>232.5412902832031</v>
      </c>
      <c r="D978" s="137" t="n">
        <v>5815.259765625</v>
      </c>
      <c r="E978" s="71" t="n">
        <v>1.102467326414192</v>
      </c>
      <c r="F978" s="71" t="n">
        <v>-0.7609466332438197</v>
      </c>
    </row>
    <row r="979">
      <c r="B979" s="70" t="n">
        <v>45581</v>
      </c>
      <c r="C979" s="137" t="n">
        <v>230.4828338623047</v>
      </c>
      <c r="D979" s="137" t="n">
        <v>5842.47021484375</v>
      </c>
      <c r="E979" s="71" t="n">
        <v>-0.885200395332586</v>
      </c>
      <c r="F979" s="71" t="n">
        <v>0.4679145956573816</v>
      </c>
    </row>
    <row r="980">
      <c r="B980" s="70" t="n">
        <v>45582</v>
      </c>
      <c r="C980" s="137" t="n">
        <v>230.8507843017578</v>
      </c>
      <c r="D980" s="137" t="n">
        <v>5841.47021484375</v>
      </c>
      <c r="E980" s="71" t="n">
        <v>0.1596433162883493</v>
      </c>
      <c r="F980" s="71" t="n">
        <v>-0.01711604789117471</v>
      </c>
    </row>
    <row r="981">
      <c r="B981" s="70" t="n">
        <v>45583</v>
      </c>
      <c r="C981" s="137" t="n">
        <v>233.6848297119141</v>
      </c>
      <c r="D981" s="137" t="n">
        <v>5864.669921875</v>
      </c>
      <c r="E981" s="71" t="n">
        <v>1.227652493678222</v>
      </c>
      <c r="F981" s="71" t="n">
        <v>0.397155273894878</v>
      </c>
    </row>
    <row r="982">
      <c r="B982" s="70" t="n">
        <v>45586</v>
      </c>
      <c r="C982" s="137" t="n">
        <v>235.1565399169922</v>
      </c>
      <c r="D982" s="137" t="n">
        <v>5853.97998046875</v>
      </c>
      <c r="E982" s="71" t="n">
        <v>0.629784229850272</v>
      </c>
      <c r="F982" s="71" t="n">
        <v>-0.1822769490636977</v>
      </c>
    </row>
    <row r="983">
      <c r="B983" s="70" t="n">
        <v>45587</v>
      </c>
      <c r="C983" s="137" t="n">
        <v>234.5400238037109</v>
      </c>
      <c r="D983" s="137" t="n">
        <v>5851.2001953125</v>
      </c>
      <c r="E983" s="71" t="n">
        <v>-0.2621726418916115</v>
      </c>
      <c r="F983" s="71" t="n">
        <v>-0.04748538883844189</v>
      </c>
    </row>
    <row r="984">
      <c r="B984" s="70" t="n">
        <v>45588</v>
      </c>
      <c r="C984" s="137" t="n">
        <v>229.4685668945312</v>
      </c>
      <c r="D984" s="137" t="n">
        <v>5797.419921875</v>
      </c>
      <c r="E984" s="71" t="n">
        <v>-2.162299136382828</v>
      </c>
      <c r="F984" s="71" t="n">
        <v>-0.9191323428069387</v>
      </c>
    </row>
    <row r="985">
      <c r="B985" s="70" t="n">
        <v>45589</v>
      </c>
      <c r="C985" s="137" t="n">
        <v>229.2796173095703</v>
      </c>
      <c r="D985" s="137" t="n">
        <v>5809.85986328125</v>
      </c>
      <c r="E985" s="71" t="n">
        <v>-0.08234225171577236</v>
      </c>
      <c r="F985" s="71" t="n">
        <v>0.2145772011323821</v>
      </c>
    </row>
    <row r="986">
      <c r="B986" s="70" t="n">
        <v>45590</v>
      </c>
      <c r="C986" s="137" t="n">
        <v>230.1149444580078</v>
      </c>
      <c r="D986" s="137" t="n">
        <v>5808.1201171875</v>
      </c>
      <c r="E986" s="71" t="n">
        <v>0.3643268242678799</v>
      </c>
      <c r="F986" s="71" t="n">
        <v>-0.02994471699301338</v>
      </c>
    </row>
    <row r="987">
      <c r="B987" s="70" t="n">
        <v>45593</v>
      </c>
      <c r="C987" s="137" t="n">
        <v>232.0937805175781</v>
      </c>
      <c r="D987" s="137" t="n">
        <v>5823.52001953125</v>
      </c>
      <c r="E987" s="71" t="n">
        <v>0.8599337449512801</v>
      </c>
      <c r="F987" s="71" t="n">
        <v>0.2651443502033946</v>
      </c>
    </row>
    <row r="988">
      <c r="B988" s="70" t="n">
        <v>45594</v>
      </c>
      <c r="C988" s="137" t="n">
        <v>232.3622741699219</v>
      </c>
      <c r="D988" s="137" t="n">
        <v>5832.919921875</v>
      </c>
      <c r="E988" s="71" t="n">
        <v>0.1156832603377289</v>
      </c>
      <c r="F988" s="71" t="n">
        <v>0.1614127248163344</v>
      </c>
    </row>
    <row r="989">
      <c r="B989" s="70" t="n">
        <v>45595</v>
      </c>
      <c r="C989" s="137" t="n">
        <v>228.812255859375</v>
      </c>
      <c r="D989" s="137" t="n">
        <v>5813.669921875</v>
      </c>
      <c r="E989" s="71" t="n">
        <v>-1.527794614348987</v>
      </c>
      <c r="F989" s="71" t="n">
        <v>-0.3300233889343751</v>
      </c>
    </row>
    <row r="990">
      <c r="B990" s="70" t="n">
        <v>45596</v>
      </c>
      <c r="C990" s="137" t="n">
        <v>224.6457061767578</v>
      </c>
      <c r="D990" s="137" t="n">
        <v>5705.4501953125</v>
      </c>
      <c r="E990" s="71" t="n">
        <v>-1.8209469011913</v>
      </c>
      <c r="F990" s="71" t="n">
        <v>-1.861470087169959</v>
      </c>
    </row>
    <row r="991">
      <c r="B991" s="70" t="n">
        <v>45597</v>
      </c>
      <c r="C991" s="137" t="n">
        <v>221.6625061035156</v>
      </c>
      <c r="D991" s="137" t="n">
        <v>5728.7998046875</v>
      </c>
      <c r="E991" s="71" t="n">
        <v>-1.327957753572617</v>
      </c>
      <c r="F991" s="71" t="n">
        <v>0.4092509543626166</v>
      </c>
    </row>
    <row r="992">
      <c r="B992" s="70" t="n">
        <v>45600</v>
      </c>
      <c r="C992" s="137" t="n">
        <v>220.7675323486328</v>
      </c>
      <c r="D992" s="137" t="n">
        <v>5712.68994140625</v>
      </c>
      <c r="E992" s="71" t="n">
        <v>-0.4037551368587522</v>
      </c>
      <c r="F992" s="71" t="n">
        <v>-0.2812083478299976</v>
      </c>
    </row>
    <row r="993">
      <c r="B993" s="70" t="n">
        <v>45601</v>
      </c>
      <c r="C993" s="137" t="n">
        <v>222.1994934082031</v>
      </c>
      <c r="D993" s="137" t="n">
        <v>5782.759765625</v>
      </c>
      <c r="E993" s="71" t="n">
        <v>0.6486284664852571</v>
      </c>
      <c r="F993" s="71" t="n">
        <v>1.226564454529133</v>
      </c>
    </row>
    <row r="994">
      <c r="B994" s="70" t="n">
        <v>45602</v>
      </c>
      <c r="C994" s="137" t="n">
        <v>221.4735565185547</v>
      </c>
      <c r="D994" s="137" t="n">
        <v>5929.0400390625</v>
      </c>
      <c r="E994" s="71" t="n">
        <v>-0.3267050156207096</v>
      </c>
      <c r="F994" s="71" t="n">
        <v>2.529592778642598</v>
      </c>
    </row>
    <row r="995">
      <c r="B995" s="70" t="n">
        <v>45603</v>
      </c>
      <c r="C995" s="137" t="n">
        <v>226.2069244384766</v>
      </c>
      <c r="D995" s="137" t="n">
        <v>5973.10009765625</v>
      </c>
      <c r="E995" s="71" t="n">
        <v>2.137215834850847</v>
      </c>
      <c r="F995" s="71" t="n">
        <v>0.7431229727488331</v>
      </c>
    </row>
    <row r="996">
      <c r="B996" s="70" t="n">
        <v>45604</v>
      </c>
      <c r="C996" s="137" t="n">
        <v>225.9381408691406</v>
      </c>
      <c r="D996" s="137" t="n">
        <v>5995.5400390625</v>
      </c>
      <c r="E996" s="71" t="n">
        <v>-0.1188219900885912</v>
      </c>
      <c r="F996" s="71" t="n">
        <v>0.3756833309231711</v>
      </c>
    </row>
    <row r="997">
      <c r="B997" s="70" t="n">
        <v>45607</v>
      </c>
      <c r="C997" s="137" t="n">
        <v>223.2204284667969</v>
      </c>
      <c r="D997" s="137" t="n">
        <v>6001.35009765625</v>
      </c>
      <c r="E997" s="71" t="n">
        <v>-1.20285684917526</v>
      </c>
      <c r="F997" s="71" t="n">
        <v>0.09690634297987444</v>
      </c>
    </row>
    <row r="998">
      <c r="B998" s="70" t="n">
        <v>45608</v>
      </c>
      <c r="C998" s="137" t="n">
        <v>223.2204284667969</v>
      </c>
      <c r="D998" s="137" t="n">
        <v>5983.990234375</v>
      </c>
      <c r="E998" s="71" t="n">
        <v>0</v>
      </c>
      <c r="F998" s="71" t="n">
        <v>-0.289265965137242</v>
      </c>
    </row>
    <row r="999">
      <c r="B999" s="70" t="n">
        <v>45609</v>
      </c>
      <c r="C999" s="137" t="n">
        <v>224.1063995361328</v>
      </c>
      <c r="D999" s="137" t="n">
        <v>5985.3798828125</v>
      </c>
      <c r="E999" s="71" t="n">
        <v>0.3969041164472609</v>
      </c>
      <c r="F999" s="71" t="n">
        <v>0.0232227724824341</v>
      </c>
    </row>
    <row r="1000">
      <c r="B1000" s="70" t="n">
        <v>45610</v>
      </c>
      <c r="C1000" s="137" t="n">
        <v>227.1924591064453</v>
      </c>
      <c r="D1000" s="137" t="n">
        <v>5949.169921875</v>
      </c>
      <c r="E1000" s="71" t="n">
        <v>1.377051068911994</v>
      </c>
      <c r="F1000" s="71" t="n">
        <v>-0.6049734794859041</v>
      </c>
    </row>
    <row r="1001">
      <c r="B1001" s="70" t="n">
        <v>45611</v>
      </c>
      <c r="C1001" s="137" t="n">
        <v>223.9869689941406</v>
      </c>
      <c r="D1001" s="137" t="n">
        <v>5870.6201171875</v>
      </c>
      <c r="E1001" s="71" t="n">
        <v>-1.410913955908577</v>
      </c>
      <c r="F1001" s="71" t="n">
        <v>-1.320348985136122</v>
      </c>
    </row>
    <row r="1002">
      <c r="B1002" s="70" t="n">
        <v>45614</v>
      </c>
      <c r="C1002" s="137" t="n">
        <v>226.9933776855469</v>
      </c>
      <c r="D1002" s="137" t="n">
        <v>5893.6201171875</v>
      </c>
      <c r="E1002" s="71" t="n">
        <v>1.342224820000548</v>
      </c>
      <c r="F1002" s="71" t="n">
        <v>0.3917814394541086</v>
      </c>
    </row>
    <row r="1003">
      <c r="B1003" s="70" t="n">
        <v>45615</v>
      </c>
      <c r="C1003" s="137" t="n">
        <v>227.252197265625</v>
      </c>
      <c r="D1003" s="137" t="n">
        <v>5916.97998046875</v>
      </c>
      <c r="E1003" s="71" t="n">
        <v>0.1140207625072831</v>
      </c>
      <c r="F1003" s="71" t="n">
        <v>0.3963584828470035</v>
      </c>
    </row>
    <row r="1004">
      <c r="B1004" s="70" t="n">
        <v>45616</v>
      </c>
      <c r="C1004" s="137" t="n">
        <v>227.9689483642578</v>
      </c>
      <c r="D1004" s="137" t="n">
        <v>5917.10986328125</v>
      </c>
      <c r="E1004" s="71" t="n">
        <v>0.3153989740284135</v>
      </c>
      <c r="F1004" s="71" t="n">
        <v>0.002195086225209586</v>
      </c>
    </row>
    <row r="1005">
      <c r="B1005" s="70" t="n">
        <v>45617</v>
      </c>
      <c r="C1005" s="137" t="n">
        <v>227.4911193847656</v>
      </c>
      <c r="D1005" s="137" t="n">
        <v>5948.7099609375</v>
      </c>
      <c r="E1005" s="71" t="n">
        <v>-0.2096026598888856</v>
      </c>
      <c r="F1005" s="71" t="n">
        <v>0.5340461540581654</v>
      </c>
    </row>
    <row r="1006">
      <c r="B1006" s="70" t="n">
        <v>45618</v>
      </c>
      <c r="C1006" s="137" t="n">
        <v>228.8350372314453</v>
      </c>
      <c r="D1006" s="137" t="n">
        <v>5969.33984375</v>
      </c>
      <c r="E1006" s="71" t="n">
        <v>0.5907561799837424</v>
      </c>
      <c r="F1006" s="71" t="n">
        <v>0.3467959094991535</v>
      </c>
    </row>
    <row r="1007">
      <c r="B1007" s="70" t="n">
        <v>45621</v>
      </c>
      <c r="C1007" s="137" t="n">
        <v>231.8215179443359</v>
      </c>
      <c r="D1007" s="137" t="n">
        <v>5987.3701171875</v>
      </c>
      <c r="E1007" s="71" t="n">
        <v>1.305080178727192</v>
      </c>
      <c r="F1007" s="71" t="n">
        <v>0.3020480305938378</v>
      </c>
    </row>
    <row r="1008">
      <c r="B1008" s="70" t="n">
        <v>45622</v>
      </c>
      <c r="C1008" s="137" t="n">
        <v>234.0016632080078</v>
      </c>
      <c r="D1008" s="137" t="n">
        <v>6021.6298828125</v>
      </c>
      <c r="E1008" s="71" t="n">
        <v>0.9404412856080846</v>
      </c>
      <c r="F1008" s="71" t="n">
        <v>0.5722005647630368</v>
      </c>
    </row>
    <row r="1009">
      <c r="B1009" s="70" t="n">
        <v>45623</v>
      </c>
      <c r="C1009" s="137" t="n">
        <v>233.8722381591797</v>
      </c>
      <c r="D1009" s="137" t="n">
        <v>5998.740234375</v>
      </c>
      <c r="E1009" s="71" t="n">
        <v>-0.05530945680205512</v>
      </c>
      <c r="F1009" s="71" t="n">
        <v>-0.3801238017440034</v>
      </c>
    </row>
    <row r="1010">
      <c r="B1010" s="70" t="n">
        <v>45625</v>
      </c>
      <c r="C1010" s="137" t="n">
        <v>236.2614440917969</v>
      </c>
      <c r="D1010" s="137" t="n">
        <v>6032.3798828125</v>
      </c>
      <c r="E1010" s="71" t="n">
        <v>1.021585952835946</v>
      </c>
      <c r="F1010" s="71" t="n">
        <v>0.5607785488815242</v>
      </c>
    </row>
    <row r="1011">
      <c r="B1011" s="70" t="n">
        <v>45628</v>
      </c>
      <c r="C1011" s="137" t="n">
        <v>238.5112609863281</v>
      </c>
      <c r="D1011" s="137" t="n">
        <v>6047.14990234375</v>
      </c>
      <c r="E1011" s="71" t="n">
        <v>0.9522573195045014</v>
      </c>
      <c r="F1011" s="71" t="n">
        <v>0.2448456466299875</v>
      </c>
    </row>
    <row r="1012">
      <c r="B1012" s="70" t="n">
        <v>45629</v>
      </c>
      <c r="C1012" s="137" t="n">
        <v>241.5574951171875</v>
      </c>
      <c r="D1012" s="137" t="n">
        <v>6049.8798828125</v>
      </c>
      <c r="E1012" s="71" t="n">
        <v>1.277186711546507</v>
      </c>
      <c r="F1012" s="71" t="n">
        <v>0.04514491145146682</v>
      </c>
    </row>
    <row r="1013">
      <c r="B1013" s="70" t="n">
        <v>45630</v>
      </c>
      <c r="C1013" s="137" t="n">
        <v>241.9158630371094</v>
      </c>
      <c r="D1013" s="137" t="n">
        <v>6086.490234375</v>
      </c>
      <c r="E1013" s="71" t="n">
        <v>0.1483571932835437</v>
      </c>
      <c r="F1013" s="71" t="n">
        <v>0.6051417924264779</v>
      </c>
    </row>
    <row r="1014">
      <c r="B1014" s="70" t="n">
        <v>45631</v>
      </c>
      <c r="C1014" s="137" t="n">
        <v>241.9457397460938</v>
      </c>
      <c r="D1014" s="137" t="n">
        <v>6075.10986328125</v>
      </c>
      <c r="E1014" s="71" t="n">
        <v>0.01235004129507278</v>
      </c>
      <c r="F1014" s="71" t="n">
        <v>-0.1869775626924808</v>
      </c>
    </row>
    <row r="1015">
      <c r="B1015" s="70" t="n">
        <v>45632</v>
      </c>
      <c r="C1015" s="137" t="n">
        <v>241.7466430664062</v>
      </c>
      <c r="D1015" s="137" t="n">
        <v>6090.27001953125</v>
      </c>
      <c r="E1015" s="71" t="n">
        <v>-0.08228980592779322</v>
      </c>
      <c r="F1015" s="71" t="n">
        <v>0.2495453842181528</v>
      </c>
    </row>
    <row r="1016">
      <c r="B1016" s="70" t="n">
        <v>45635</v>
      </c>
      <c r="C1016" s="137" t="n">
        <v>245.6390228271484</v>
      </c>
      <c r="D1016" s="137" t="n">
        <v>6052.85009765625</v>
      </c>
      <c r="E1016" s="71" t="n">
        <v>1.610107057276911</v>
      </c>
      <c r="F1016" s="71" t="n">
        <v>-0.6144213927296471</v>
      </c>
    </row>
    <row r="1017">
      <c r="B1017" s="70" t="n">
        <v>45636</v>
      </c>
      <c r="C1017" s="137" t="n">
        <v>246.6544494628906</v>
      </c>
      <c r="D1017" s="137" t="n">
        <v>6034.91015625</v>
      </c>
      <c r="E1017" s="71" t="n">
        <v>0.4133816459841233</v>
      </c>
      <c r="F1017" s="71" t="n">
        <v>-0.2963883313944371</v>
      </c>
    </row>
    <row r="1018">
      <c r="B1018" s="70" t="n">
        <v>45637</v>
      </c>
      <c r="C1018" s="137" t="n">
        <v>245.3802185058594</v>
      </c>
      <c r="D1018" s="137" t="n">
        <v>6084.18994140625</v>
      </c>
      <c r="E1018" s="71" t="n">
        <v>-0.5166057047849448</v>
      </c>
      <c r="F1018" s="71" t="n">
        <v>0.8165786048233592</v>
      </c>
    </row>
    <row r="1019">
      <c r="B1019" s="70" t="n">
        <v>45638</v>
      </c>
      <c r="C1019" s="137" t="n">
        <v>246.8435974121094</v>
      </c>
      <c r="D1019" s="137" t="n">
        <v>6051.25</v>
      </c>
      <c r="E1019" s="71" t="n">
        <v>0.596371995738143</v>
      </c>
      <c r="F1019" s="71" t="n">
        <v>-0.5414022527810203</v>
      </c>
    </row>
    <row r="1020">
      <c r="B1020" s="70" t="n">
        <v>45639</v>
      </c>
      <c r="C1020" s="137" t="n">
        <v>247.0128326416016</v>
      </c>
      <c r="D1020" s="137" t="n">
        <v>6051.08984375</v>
      </c>
      <c r="E1020" s="71" t="n">
        <v>0.06855969985304355</v>
      </c>
      <c r="F1020" s="71" t="n">
        <v>-0.002646663912420077</v>
      </c>
    </row>
    <row r="1021">
      <c r="B1021" s="70" t="n">
        <v>45642</v>
      </c>
      <c r="C1021" s="137" t="n">
        <v>249.9096984863281</v>
      </c>
      <c r="D1021" s="137" t="n">
        <v>6074.080078125</v>
      </c>
      <c r="E1021" s="71" t="n">
        <v>1.172759250500022</v>
      </c>
      <c r="F1021" s="71" t="n">
        <v>0.3799354326022186</v>
      </c>
    </row>
    <row r="1022">
      <c r="B1022" s="70" t="n">
        <v>45643</v>
      </c>
      <c r="C1022" s="137" t="n">
        <v>252.3387298583984</v>
      </c>
      <c r="D1022" s="137" t="n">
        <v>6050.60986328125</v>
      </c>
      <c r="E1022" s="71" t="n">
        <v>0.9719636279754917</v>
      </c>
      <c r="F1022" s="71" t="n">
        <v>-0.3863994965801476</v>
      </c>
    </row>
    <row r="1023">
      <c r="B1023" s="70" t="n">
        <v>45644</v>
      </c>
      <c r="C1023" s="137" t="n">
        <v>246.9331817626953</v>
      </c>
      <c r="D1023" s="137" t="n">
        <v>5872.16015625</v>
      </c>
      <c r="E1023" s="71" t="n">
        <v>-2.142179323299465</v>
      </c>
      <c r="F1023" s="71" t="n">
        <v>-2.949284635160343</v>
      </c>
    </row>
    <row r="1024">
      <c r="B1024" s="70" t="n">
        <v>45645</v>
      </c>
      <c r="C1024" s="137" t="n">
        <v>248.6653289794922</v>
      </c>
      <c r="D1024" s="137" t="n">
        <v>5867.080078125</v>
      </c>
      <c r="E1024" s="71" t="n">
        <v>0.7014639362892483</v>
      </c>
      <c r="F1024" s="71" t="n">
        <v>-0.08651123249070469</v>
      </c>
    </row>
    <row r="1025">
      <c r="B1025" s="70" t="n">
        <v>45646</v>
      </c>
      <c r="C1025" s="137" t="n">
        <v>253.3441772460938</v>
      </c>
      <c r="D1025" s="137" t="n">
        <v>5930.85009765625</v>
      </c>
      <c r="E1025" s="71" t="n">
        <v>1.881584491816102</v>
      </c>
      <c r="F1025" s="71" t="n">
        <v>1.086912376891047</v>
      </c>
    </row>
    <row r="1026">
      <c r="B1026" s="70" t="n">
        <v>45649</v>
      </c>
      <c r="C1026" s="137" t="n">
        <v>254.1206817626953</v>
      </c>
      <c r="D1026" s="137" t="n">
        <v>5974.06982421875</v>
      </c>
      <c r="E1026" s="71" t="n">
        <v>0.3065018209782</v>
      </c>
      <c r="F1026" s="71" t="n">
        <v>0.7287273468533639</v>
      </c>
    </row>
    <row r="1027">
      <c r="B1027" s="70" t="n">
        <v>45650</v>
      </c>
      <c r="C1027" s="137" t="n">
        <v>257.0374755859375</v>
      </c>
      <c r="D1027" s="137" t="n">
        <v>6040.0400390625</v>
      </c>
      <c r="E1027" s="71" t="n">
        <v>1.147798676994727</v>
      </c>
      <c r="F1027" s="71" t="n">
        <v>1.104275925539211</v>
      </c>
    </row>
    <row r="1028">
      <c r="B1028" s="70" t="n">
        <v>45652</v>
      </c>
      <c r="C1028" s="137" t="n">
        <v>257.853759765625</v>
      </c>
      <c r="D1028" s="137" t="n">
        <v>6037.58984375</v>
      </c>
      <c r="E1028" s="71" t="n">
        <v>0.3175739949307754</v>
      </c>
      <c r="F1028" s="71" t="n">
        <v>-0.0405658786473917</v>
      </c>
    </row>
    <row r="1029">
      <c r="B1029" s="70" t="n">
        <v>45653</v>
      </c>
      <c r="C1029" s="137" t="n">
        <v>254.439208984375</v>
      </c>
      <c r="D1029" s="137" t="n">
        <v>5970.83984375</v>
      </c>
      <c r="E1029" s="71" t="n">
        <v>-1.324219892839118</v>
      </c>
      <c r="F1029" s="71" t="n">
        <v>-1.105573610123556</v>
      </c>
    </row>
    <row r="1030">
      <c r="B1030" s="70" t="n">
        <v>45656</v>
      </c>
      <c r="C1030" s="137" t="n">
        <v>251.0644836425781</v>
      </c>
      <c r="D1030" s="137" t="n">
        <v>5906.93994140625</v>
      </c>
      <c r="E1030" s="71" t="n">
        <v>-1.326338560502338</v>
      </c>
      <c r="F1030" s="71" t="n">
        <v>-1.070199570176678</v>
      </c>
    </row>
    <row r="1031">
      <c r="B1031" s="70" t="n">
        <v>45657</v>
      </c>
      <c r="C1031" s="137" t="n">
        <v>249.2925109863281</v>
      </c>
      <c r="D1031" s="137" t="n">
        <v>5881.6298828125</v>
      </c>
      <c r="E1031" s="71" t="n">
        <v>-0.7057838809142902</v>
      </c>
      <c r="F1031" s="71" t="n">
        <v>-0.4284800394927402</v>
      </c>
    </row>
    <row r="1032">
      <c r="B1032" s="70" t="n">
        <v>45659</v>
      </c>
      <c r="C1032" s="137" t="n">
        <v>242.7520904541016</v>
      </c>
      <c r="D1032" s="137" t="n">
        <v>5868.5498046875</v>
      </c>
      <c r="E1032" s="71" t="n">
        <v>-2.623592865405089</v>
      </c>
      <c r="F1032" s="71" t="n">
        <v>-0.2223886641222195</v>
      </c>
    </row>
    <row r="1033">
      <c r="B1033" s="70" t="n">
        <v>45660</v>
      </c>
      <c r="C1033" s="137" t="n">
        <v>242.2642974853516</v>
      </c>
      <c r="D1033" s="137" t="n">
        <v>5942.47021484375</v>
      </c>
      <c r="E1033" s="71" t="n">
        <v>-0.2009428498998767</v>
      </c>
      <c r="F1033" s="71" t="n">
        <v>1.259602672149196</v>
      </c>
    </row>
    <row r="1034">
      <c r="B1034" s="70" t="n">
        <v>45663</v>
      </c>
      <c r="C1034" s="137" t="n">
        <v>243.8969116210938</v>
      </c>
      <c r="D1034" s="137" t="n">
        <v>5975.3798828125</v>
      </c>
      <c r="E1034" s="71" t="n">
        <v>0.6738979505805709</v>
      </c>
      <c r="F1034" s="71" t="n">
        <v>0.5538045085450305</v>
      </c>
    </row>
    <row r="1035">
      <c r="B1035" s="70" t="n">
        <v>45664</v>
      </c>
      <c r="C1035" s="137" t="n">
        <v>241.1194763183594</v>
      </c>
      <c r="D1035" s="137" t="n">
        <v>5909.02978515625</v>
      </c>
      <c r="E1035" s="71" t="n">
        <v>-1.138774281426447</v>
      </c>
      <c r="F1035" s="71" t="n">
        <v>-1.110391288210788</v>
      </c>
    </row>
    <row r="1036">
      <c r="B1036" s="70" t="n">
        <v>45665</v>
      </c>
      <c r="C1036" s="137" t="n">
        <v>241.6072692871094</v>
      </c>
      <c r="D1036" s="137" t="n">
        <v>5918.25</v>
      </c>
      <c r="E1036" s="71" t="n">
        <v>0.2023034290709713</v>
      </c>
      <c r="F1036" s="71" t="n">
        <v>0.1560360190925314</v>
      </c>
    </row>
    <row r="1037">
      <c r="B1037" s="70" t="n">
        <v>45667</v>
      </c>
      <c r="C1037" s="137" t="n">
        <v>235.7836303710938</v>
      </c>
      <c r="D1037" s="137" t="n">
        <v>5827.0400390625</v>
      </c>
      <c r="E1037" s="71" t="n">
        <v>-2.410374047601682</v>
      </c>
      <c r="F1037" s="71" t="n">
        <v>-1.541164380306681</v>
      </c>
    </row>
    <row r="1038">
      <c r="B1038" s="70" t="n">
        <v>45670</v>
      </c>
      <c r="C1038" s="137" t="n">
        <v>233.3446502685547</v>
      </c>
      <c r="D1038" s="137" t="n">
        <v>5836.22021484375</v>
      </c>
      <c r="E1038" s="71" t="n">
        <v>-1.034414517539017</v>
      </c>
      <c r="F1038" s="71" t="n">
        <v>0.1575444088200761</v>
      </c>
    </row>
    <row r="1039">
      <c r="B1039" s="70" t="n">
        <v>45671</v>
      </c>
      <c r="C1039" s="137" t="n">
        <v>232.2296752929688</v>
      </c>
      <c r="D1039" s="137" t="n">
        <v>5842.91015625</v>
      </c>
      <c r="E1039" s="71" t="n">
        <v>-0.4778232431309926</v>
      </c>
      <c r="F1039" s="71" t="n">
        <v>0.1146279811244044</v>
      </c>
    </row>
    <row r="1040">
      <c r="B1040" s="70" t="n">
        <v>45672</v>
      </c>
      <c r="C1040" s="137" t="n">
        <v>236.7990112304688</v>
      </c>
      <c r="D1040" s="137" t="n">
        <v>5949.91015625</v>
      </c>
      <c r="E1040" s="71" t="n">
        <v>1.967593474751039</v>
      </c>
      <c r="F1040" s="71" t="n">
        <v>1.831279227963911</v>
      </c>
    </row>
    <row r="1041">
      <c r="B1041" s="70" t="n">
        <v>45673</v>
      </c>
      <c r="C1041" s="137" t="n">
        <v>227.2322845458984</v>
      </c>
      <c r="D1041" s="137" t="n">
        <v>5937.33984375</v>
      </c>
      <c r="E1041" s="71" t="n">
        <v>-4.040019692168151</v>
      </c>
      <c r="F1041" s="71" t="n">
        <v>-0.2112689464192297</v>
      </c>
    </row>
    <row r="1042">
      <c r="B1042" s="70" t="n">
        <v>45674</v>
      </c>
      <c r="C1042" s="137" t="n">
        <v>228.9445343017578</v>
      </c>
      <c r="D1042" s="137" t="n">
        <v>5996.66015625</v>
      </c>
      <c r="E1042" s="71" t="n">
        <v>0.7535239806619742</v>
      </c>
      <c r="F1042" s="71" t="n">
        <v>0.9991058969353706</v>
      </c>
    </row>
    <row r="1043">
      <c r="B1043" s="70" t="n">
        <v>45678</v>
      </c>
      <c r="C1043" s="137" t="n">
        <v>221.6375732421875</v>
      </c>
      <c r="D1043" s="137" t="n">
        <v>6049.240234375</v>
      </c>
      <c r="E1043" s="71" t="n">
        <v>-3.191585718285572</v>
      </c>
      <c r="F1043" s="71" t="n">
        <v>0.8768227105582893</v>
      </c>
    </row>
    <row r="1044">
      <c r="B1044" s="70" t="n">
        <v>45679</v>
      </c>
      <c r="C1044" s="137" t="n">
        <v>222.8222351074219</v>
      </c>
      <c r="D1044" s="137" t="n">
        <v>6086.3701171875</v>
      </c>
      <c r="E1044" s="71" t="n">
        <v>0.5345040770410758</v>
      </c>
      <c r="F1044" s="71" t="n">
        <v>0.6137941522227575</v>
      </c>
    </row>
    <row r="1045">
      <c r="B1045" s="70" t="n">
        <v>45680</v>
      </c>
      <c r="C1045" s="137" t="n">
        <v>222.6530151367188</v>
      </c>
      <c r="D1045" s="137" t="n">
        <v>6118.7099609375</v>
      </c>
      <c r="E1045" s="71" t="n">
        <v>-0.07594393379166675</v>
      </c>
      <c r="F1045" s="71" t="n">
        <v>0.531348622041139</v>
      </c>
    </row>
    <row r="1046">
      <c r="B1046" s="70" t="n">
        <v>45681</v>
      </c>
      <c r="C1046" s="137" t="n">
        <v>221.7769470214844</v>
      </c>
      <c r="D1046" s="137" t="n">
        <v>6101.240234375</v>
      </c>
      <c r="E1046" s="71" t="n">
        <v>-0.3934678875542996</v>
      </c>
      <c r="F1046" s="71" t="n">
        <v>-0.2855132319398823</v>
      </c>
    </row>
    <row r="1047">
      <c r="B1047" s="70" t="n">
        <v>45684</v>
      </c>
      <c r="C1047" s="137" t="n">
        <v>228.8250885009766</v>
      </c>
      <c r="D1047" s="137" t="n">
        <v>6012.27978515625</v>
      </c>
      <c r="E1047" s="71" t="n">
        <v>3.178031609754917</v>
      </c>
      <c r="F1047" s="71" t="n">
        <v>-1.458071569080954</v>
      </c>
    </row>
    <row r="1048">
      <c r="B1048" s="70" t="n">
        <v>45685</v>
      </c>
      <c r="C1048" s="137" t="n">
        <v>237.1872406005859</v>
      </c>
      <c r="D1048" s="137" t="n">
        <v>6067.7001953125</v>
      </c>
      <c r="E1048" s="71" t="n">
        <v>3.654386044113189</v>
      </c>
      <c r="F1048" s="71" t="n">
        <v>0.9217869449967608</v>
      </c>
    </row>
    <row r="1049">
      <c r="B1049" s="70" t="n">
        <v>45686</v>
      </c>
      <c r="C1049" s="137" t="n">
        <v>238.2823028564453</v>
      </c>
      <c r="D1049" s="137" t="n">
        <v>6039.31005859375</v>
      </c>
      <c r="E1049" s="71" t="n">
        <v>0.4616868315034939</v>
      </c>
      <c r="F1049" s="71" t="n">
        <v>-0.4678895760321544</v>
      </c>
    </row>
    <row r="1050">
      <c r="B1050" s="70" t="n">
        <v>45687</v>
      </c>
      <c r="C1050" s="137" t="n">
        <v>236.5202789306641</v>
      </c>
      <c r="D1050" s="137" t="n">
        <v>6071.169921875</v>
      </c>
      <c r="E1050" s="71" t="n">
        <v>-0.7394690686881478</v>
      </c>
      <c r="F1050" s="71" t="n">
        <v>0.5275414405311762</v>
      </c>
    </row>
    <row r="1051">
      <c r="B1051" s="70" t="n">
        <v>45688</v>
      </c>
      <c r="C1051" s="137" t="n">
        <v>234.9374389648438</v>
      </c>
      <c r="D1051" s="137" t="n">
        <v>6040.52978515625</v>
      </c>
      <c r="E1051" s="71" t="n">
        <v>-0.6692195582452709</v>
      </c>
      <c r="F1051" s="71" t="n">
        <v>-0.5046825754019935</v>
      </c>
    </row>
    <row r="1052">
      <c r="B1052" s="70" t="n">
        <v>45691</v>
      </c>
      <c r="C1052" s="137" t="n">
        <v>226.9833984375</v>
      </c>
      <c r="D1052" s="137" t="n">
        <v>5994.56982421875</v>
      </c>
      <c r="E1052" s="71" t="n">
        <v>-3.385599401436423</v>
      </c>
      <c r="F1052" s="71" t="n">
        <v>-0.7608597684666707</v>
      </c>
    </row>
    <row r="1053">
      <c r="B1053" s="70" t="n">
        <v>45692</v>
      </c>
      <c r="C1053" s="137" t="n">
        <v>231.7518615722656</v>
      </c>
      <c r="D1053" s="137" t="n">
        <v>6037.8798828125</v>
      </c>
      <c r="E1053" s="71" t="n">
        <v>2.100798193872588</v>
      </c>
      <c r="F1053" s="71" t="n">
        <v>0.7224881828679752</v>
      </c>
    </row>
    <row r="1054">
      <c r="B1054" s="70" t="n">
        <v>45693</v>
      </c>
      <c r="C1054" s="137" t="n">
        <v>231.42333984375</v>
      </c>
      <c r="D1054" s="137" t="n">
        <v>6061.47998046875</v>
      </c>
      <c r="E1054" s="71" t="n">
        <v>-0.1417558099800487</v>
      </c>
      <c r="F1054" s="71" t="n">
        <v>0.3908672930614365</v>
      </c>
    </row>
    <row r="1055">
      <c r="B1055" s="70" t="n">
        <v>45694</v>
      </c>
      <c r="C1055" s="137" t="n">
        <v>232.1699523925781</v>
      </c>
      <c r="D1055" s="137" t="n">
        <v>6083.56982421875</v>
      </c>
      <c r="E1055" s="71" t="n">
        <v>0.3226176535746861</v>
      </c>
      <c r="F1055" s="71" t="n">
        <v>0.3644298722618622</v>
      </c>
    </row>
    <row r="1056">
      <c r="B1056" s="70" t="n">
        <v>45695</v>
      </c>
      <c r="C1056" s="137" t="n">
        <v>226.6051483154297</v>
      </c>
      <c r="D1056" s="137" t="n">
        <v>6025.990234375</v>
      </c>
      <c r="E1056" s="71" t="n">
        <v>-2.396866614220106</v>
      </c>
      <c r="F1056" s="71" t="n">
        <v>-0.9464770111542897</v>
      </c>
    </row>
    <row r="1057">
      <c r="B1057" s="70" t="n">
        <v>45698</v>
      </c>
      <c r="C1057" s="137" t="n">
        <v>226.8741912841797</v>
      </c>
      <c r="D1057" s="137" t="n">
        <v>6066.43994140625</v>
      </c>
      <c r="E1057" s="71" t="n">
        <v>0.1187276506072532</v>
      </c>
      <c r="F1057" s="71" t="n">
        <v>0.6712541085862833</v>
      </c>
    </row>
    <row r="1058">
      <c r="B1058" s="70" t="n">
        <v>45699</v>
      </c>
      <c r="C1058" s="137" t="n">
        <v>231.8272552490234</v>
      </c>
      <c r="D1058" s="137" t="n">
        <v>6068.5</v>
      </c>
      <c r="E1058" s="71" t="n">
        <v>2.183176471862147</v>
      </c>
      <c r="F1058" s="71" t="n">
        <v>0.03395827888592606</v>
      </c>
    </row>
    <row r="1059">
      <c r="B1059" s="70" t="n">
        <v>45700</v>
      </c>
      <c r="C1059" s="137" t="n">
        <v>236.0627746582031</v>
      </c>
      <c r="D1059" s="137" t="n">
        <v>6051.97021484375</v>
      </c>
      <c r="E1059" s="71" t="n">
        <v>1.827015294051604</v>
      </c>
      <c r="F1059" s="71" t="n">
        <v>-0.2723866714385736</v>
      </c>
    </row>
    <row r="1060">
      <c r="B1060" s="70" t="n">
        <v>45701</v>
      </c>
      <c r="C1060" s="137" t="n">
        <v>240.7068939208984</v>
      </c>
      <c r="D1060" s="137" t="n">
        <v>6115.06982421875</v>
      </c>
      <c r="E1060" s="71" t="n">
        <v>1.967323848251623</v>
      </c>
      <c r="F1060" s="71" t="n">
        <v>1.042629212223067</v>
      </c>
    </row>
    <row r="1061">
      <c r="B1061" s="70" t="n">
        <v>45702</v>
      </c>
      <c r="C1061" s="137" t="n">
        <v>243.7664337158203</v>
      </c>
      <c r="D1061" s="137" t="n">
        <v>6114.6298828125</v>
      </c>
      <c r="E1061" s="71" t="n">
        <v>1.271064465618221</v>
      </c>
      <c r="F1061" s="71" t="n">
        <v>-0.007194380749464546</v>
      </c>
    </row>
    <row r="1062">
      <c r="B1062" s="70" t="n">
        <v>45706</v>
      </c>
      <c r="C1062" s="137" t="n">
        <v>243.6368865966797</v>
      </c>
      <c r="D1062" s="137" t="n">
        <v>6129.580078125</v>
      </c>
      <c r="E1062" s="71" t="n">
        <v>-0.05314395307257636</v>
      </c>
      <c r="F1062" s="71" t="n">
        <v>0.2444987775061191</v>
      </c>
    </row>
    <row r="1063">
      <c r="B1063" s="70" t="n">
        <v>45707</v>
      </c>
      <c r="C1063" s="137" t="n">
        <v>244.0355072021484</v>
      </c>
      <c r="D1063" s="137" t="n">
        <v>6144.14990234375</v>
      </c>
      <c r="E1063" s="71" t="n">
        <v>0.1636125838894831</v>
      </c>
      <c r="F1063" s="71" t="n">
        <v>0.2376969389917383</v>
      </c>
    </row>
    <row r="1064">
      <c r="B1064" s="70" t="n">
        <v>45708</v>
      </c>
      <c r="C1064" s="137" t="n">
        <v>244.9922637939453</v>
      </c>
      <c r="D1064" s="137" t="n">
        <v>6117.52001953125</v>
      </c>
      <c r="E1064" s="71" t="n">
        <v>0.3920563047427272</v>
      </c>
      <c r="F1064" s="71" t="n">
        <v>-0.433418507617167</v>
      </c>
    </row>
    <row r="1065">
      <c r="B1065" s="70" t="n">
        <v>45709</v>
      </c>
      <c r="C1065" s="137" t="n">
        <v>244.7131958007812</v>
      </c>
      <c r="D1065" s="137" t="n">
        <v>6013.1298828125</v>
      </c>
      <c r="E1065" s="71" t="n">
        <v>-0.1139089001597315</v>
      </c>
      <c r="F1065" s="71" t="n">
        <v>-1.706412670256352</v>
      </c>
    </row>
    <row r="1066">
      <c r="B1066" s="70" t="n">
        <v>45712</v>
      </c>
      <c r="C1066" s="137" t="n">
        <v>246.2579193115234</v>
      </c>
      <c r="D1066" s="137" t="n">
        <v>5983.25</v>
      </c>
      <c r="E1066" s="71" t="n">
        <v>0.6312383382871545</v>
      </c>
      <c r="F1066" s="71" t="n">
        <v>-0.496910650440241</v>
      </c>
    </row>
    <row r="1067">
      <c r="B1067" s="70" t="n">
        <v>45713</v>
      </c>
      <c r="C1067" s="137" t="n">
        <v>246.1981201171875</v>
      </c>
      <c r="D1067" s="137" t="n">
        <v>5955.25</v>
      </c>
      <c r="E1067" s="71" t="n">
        <v>-0.02428315584859231</v>
      </c>
      <c r="F1067" s="71" t="n">
        <v>-0.4679730915472358</v>
      </c>
    </row>
    <row r="1068">
      <c r="B1068" s="70" t="n">
        <v>45714</v>
      </c>
      <c r="C1068" s="137" t="n">
        <v>239.5408935546875</v>
      </c>
      <c r="D1068" s="137" t="n">
        <v>5956.06005859375</v>
      </c>
      <c r="E1068" s="71" t="n">
        <v>-2.704011939380868</v>
      </c>
      <c r="F1068" s="71" t="n">
        <v>0.0136024280046998</v>
      </c>
    </row>
    <row r="1069">
      <c r="B1069" s="70" t="n">
        <v>45715</v>
      </c>
      <c r="C1069" s="137" t="n">
        <v>236.4913177490234</v>
      </c>
      <c r="D1069" s="137" t="n">
        <v>5861.56982421875</v>
      </c>
      <c r="E1069" s="71" t="n">
        <v>-1.273091938670534</v>
      </c>
      <c r="F1069" s="71" t="n">
        <v>-1.586455365550987</v>
      </c>
    </row>
    <row r="1070">
      <c r="B1070" s="70" t="n">
        <v>45716</v>
      </c>
      <c r="C1070" s="137" t="n">
        <v>241.0158386230469</v>
      </c>
      <c r="D1070" s="137" t="n">
        <v>5954.5</v>
      </c>
      <c r="E1070" s="71" t="n">
        <v>1.913186884444174</v>
      </c>
      <c r="F1070" s="71" t="n">
        <v>1.585414463498891</v>
      </c>
    </row>
    <row r="1071">
      <c r="B1071" s="70" t="n">
        <v>45719</v>
      </c>
      <c r="C1071" s="137" t="n">
        <v>237.2188110351562</v>
      </c>
      <c r="D1071" s="137" t="n">
        <v>5849.72021484375</v>
      </c>
      <c r="E1071" s="71" t="n">
        <v>-1.575426581748152</v>
      </c>
      <c r="F1071" s="71" t="n">
        <v>-1.75967394669998</v>
      </c>
    </row>
    <row r="1072">
      <c r="B1072" s="70" t="n">
        <v>45720</v>
      </c>
      <c r="C1072" s="137" t="n">
        <v>235.1259765625</v>
      </c>
      <c r="D1072" s="137" t="n">
        <v>5778.14990234375</v>
      </c>
      <c r="E1072" s="71" t="n">
        <v>-0.8822379909601774</v>
      </c>
      <c r="F1072" s="71" t="n">
        <v>-1.223482660220043</v>
      </c>
    </row>
    <row r="1073">
      <c r="B1073" s="70" t="n">
        <v>45721</v>
      </c>
      <c r="C1073" s="137" t="n">
        <v>234.9366302490234</v>
      </c>
      <c r="D1073" s="137" t="n">
        <v>5842.6298828125</v>
      </c>
      <c r="E1073" s="71" t="n">
        <v>-0.08052972974096351</v>
      </c>
      <c r="F1073" s="71" t="n">
        <v>1.115927789318794</v>
      </c>
    </row>
    <row r="1074">
      <c r="B1074" s="70" t="n">
        <v>45722</v>
      </c>
      <c r="C1074" s="137" t="n">
        <v>234.5280303955078</v>
      </c>
      <c r="D1074" s="137" t="n">
        <v>5738.52001953125</v>
      </c>
      <c r="E1074" s="71" t="n">
        <v>-0.1739191768786785</v>
      </c>
      <c r="F1074" s="71" t="n">
        <v>-1.78190070857499</v>
      </c>
    </row>
    <row r="1075">
      <c r="B1075" s="70" t="n">
        <v>45723</v>
      </c>
      <c r="C1075" s="137" t="n">
        <v>238.2552947998047</v>
      </c>
      <c r="D1075" s="137" t="n">
        <v>5770.2001953125</v>
      </c>
      <c r="E1075" s="71" t="n">
        <v>1.589261802954312</v>
      </c>
      <c r="F1075" s="71" t="n">
        <v>0.552061780274804</v>
      </c>
    </row>
    <row r="1076">
      <c r="B1076" s="70" t="n">
        <v>45726</v>
      </c>
      <c r="C1076" s="137" t="n">
        <v>226.7047729492188</v>
      </c>
      <c r="D1076" s="137" t="n">
        <v>5614.56005859375</v>
      </c>
      <c r="E1076" s="71" t="n">
        <v>-4.847960193409873</v>
      </c>
      <c r="F1076" s="71" t="n">
        <v>-2.69730913054258</v>
      </c>
    </row>
    <row r="1077">
      <c r="B1077" s="70" t="n">
        <v>45727</v>
      </c>
      <c r="C1077" s="137" t="n">
        <v>220.08740234375</v>
      </c>
      <c r="D1077" s="137" t="n">
        <v>5572.06982421875</v>
      </c>
      <c r="E1077" s="71" t="n">
        <v>-2.918937488339113</v>
      </c>
      <c r="F1077" s="71" t="n">
        <v>-0.7567865323653167</v>
      </c>
    </row>
    <row r="1078">
      <c r="B1078" s="70" t="n">
        <v>45728</v>
      </c>
      <c r="C1078" s="137" t="n">
        <v>216.2405548095703</v>
      </c>
      <c r="D1078" s="137" t="n">
        <v>5599.2998046875</v>
      </c>
      <c r="E1078" s="71" t="n">
        <v>-1.747872660231309</v>
      </c>
      <c r="F1078" s="71" t="n">
        <v>0.4886869929446425</v>
      </c>
    </row>
    <row r="1079">
      <c r="B1079" s="70" t="n">
        <v>45729</v>
      </c>
      <c r="C1079" s="137" t="n">
        <v>208.9654235839844</v>
      </c>
      <c r="D1079" s="137" t="n">
        <v>5521.52001953125</v>
      </c>
      <c r="E1079" s="71" t="n">
        <v>-3.364369478238094</v>
      </c>
      <c r="F1079" s="71" t="n">
        <v>-1.389098420683532</v>
      </c>
    </row>
    <row r="1080">
      <c r="B1080" s="70" t="n">
        <v>45730</v>
      </c>
      <c r="C1080" s="137" t="n">
        <v>212.762451171875</v>
      </c>
      <c r="D1080" s="137" t="n">
        <v>5638.93994140625</v>
      </c>
      <c r="E1080" s="71" t="n">
        <v>1.817060221144451</v>
      </c>
      <c r="F1080" s="71" t="n">
        <v>2.126586908308781</v>
      </c>
    </row>
    <row r="1081">
      <c r="B1081" s="70" t="n">
        <v>45733</v>
      </c>
      <c r="C1081" s="137" t="n">
        <v>213.2707214355469</v>
      </c>
      <c r="D1081" s="137" t="n">
        <v>5675.1201171875</v>
      </c>
      <c r="E1081" s="71" t="n">
        <v>0.2388909607275114</v>
      </c>
      <c r="F1081" s="71" t="n">
        <v>0.6416130719105961</v>
      </c>
    </row>
    <row r="1082">
      <c r="B1082" s="70" t="n">
        <v>45734</v>
      </c>
      <c r="C1082" s="137" t="n">
        <v>211.9651947021484</v>
      </c>
      <c r="D1082" s="137" t="n">
        <v>5614.66015625</v>
      </c>
      <c r="E1082" s="71" t="n">
        <v>-0.6121453168118296</v>
      </c>
      <c r="F1082" s="71" t="n">
        <v>-1.065351211763654</v>
      </c>
    </row>
    <row r="1083">
      <c r="B1083" s="70" t="n">
        <v>45735</v>
      </c>
      <c r="C1083" s="137" t="n">
        <v>214.5064849853516</v>
      </c>
      <c r="D1083" s="137" t="n">
        <v>5675.2900390625</v>
      </c>
      <c r="E1083" s="71" t="n">
        <v>1.198918665290383</v>
      </c>
      <c r="F1083" s="71" t="n">
        <v>1.079849556789458</v>
      </c>
    </row>
    <row r="1084">
      <c r="B1084" s="70" t="n">
        <v>45736</v>
      </c>
      <c r="C1084" s="137" t="n">
        <v>213.3703918457031</v>
      </c>
      <c r="D1084" s="137" t="n">
        <v>5662.89013671875</v>
      </c>
      <c r="E1084" s="71" t="n">
        <v>-0.5296311389961339</v>
      </c>
      <c r="F1084" s="71" t="n">
        <v>-0.2184893152315182</v>
      </c>
    </row>
    <row r="1085">
      <c r="B1085" s="70" t="n">
        <v>45737</v>
      </c>
      <c r="C1085" s="137" t="n">
        <v>217.5261840820312</v>
      </c>
      <c r="D1085" s="137" t="n">
        <v>5667.56005859375</v>
      </c>
      <c r="E1085" s="71" t="n">
        <v>1.947689274214448</v>
      </c>
      <c r="F1085" s="71" t="n">
        <v>0.08246534476661349</v>
      </c>
    </row>
    <row r="1086">
      <c r="B1086" s="70" t="n">
        <v>45740</v>
      </c>
      <c r="C1086" s="137" t="n">
        <v>219.977783203125</v>
      </c>
      <c r="D1086" s="137" t="n">
        <v>5767.56982421875</v>
      </c>
      <c r="E1086" s="71" t="n">
        <v>1.127036329644482</v>
      </c>
      <c r="F1086" s="71" t="n">
        <v>1.764600014663364</v>
      </c>
    </row>
    <row r="1087">
      <c r="B1087" s="70" t="n">
        <v>45741</v>
      </c>
      <c r="C1087" s="137" t="n">
        <v>222.9875030517578</v>
      </c>
      <c r="D1087" s="137" t="n">
        <v>5776.64990234375</v>
      </c>
      <c r="E1087" s="71" t="n">
        <v>1.368192644187927</v>
      </c>
      <c r="F1087" s="71" t="n">
        <v>0.1574333454425147</v>
      </c>
    </row>
    <row r="1088">
      <c r="B1088" s="70" t="n">
        <v>45742</v>
      </c>
      <c r="C1088" s="137" t="n">
        <v>220.7750549316406</v>
      </c>
      <c r="D1088" s="137" t="n">
        <v>5712.2001953125</v>
      </c>
      <c r="E1088" s="71" t="n">
        <v>-0.9921848040083558</v>
      </c>
      <c r="F1088" s="71" t="n">
        <v>-1.115693492262715</v>
      </c>
    </row>
    <row r="1089">
      <c r="B1089" s="70" t="n">
        <v>45743</v>
      </c>
      <c r="C1089" s="137" t="n">
        <v>223.087158203125</v>
      </c>
      <c r="D1089" s="137" t="n">
        <v>5693.31005859375</v>
      </c>
      <c r="E1089" s="71" t="n">
        <v>1.047266536611358</v>
      </c>
      <c r="F1089" s="71" t="n">
        <v>-0.3306980860763864</v>
      </c>
    </row>
    <row r="1090">
      <c r="B1090" s="70" t="n">
        <v>45744</v>
      </c>
      <c r="C1090" s="137" t="n">
        <v>217.1574249267578</v>
      </c>
      <c r="D1090" s="137" t="n">
        <v>5580.93994140625</v>
      </c>
      <c r="E1090" s="71" t="n">
        <v>-2.658034341433524</v>
      </c>
      <c r="F1090" s="71" t="n">
        <v>-1.973722070834405</v>
      </c>
    </row>
    <row r="1091">
      <c r="B1091" s="70" t="n">
        <v>45747</v>
      </c>
      <c r="C1091" s="137" t="n">
        <v>221.3730163574219</v>
      </c>
      <c r="D1091" s="137" t="n">
        <v>5611.85009765625</v>
      </c>
      <c r="E1091" s="71" t="n">
        <v>1.941260554220481</v>
      </c>
      <c r="F1091" s="71" t="n">
        <v>0.5538521570653376</v>
      </c>
    </row>
    <row r="1092">
      <c r="B1092" s="70" t="n">
        <v>45748</v>
      </c>
      <c r="C1092" s="137" t="n">
        <v>222.4294128417969</v>
      </c>
      <c r="D1092" s="137" t="n">
        <v>5633.06982421875</v>
      </c>
      <c r="E1092" s="71" t="n">
        <v>0.4772020103251284</v>
      </c>
      <c r="F1092" s="71" t="n">
        <v>0.3781235455908361</v>
      </c>
    </row>
    <row r="1093">
      <c r="B1093" s="70" t="n">
        <v>45749</v>
      </c>
      <c r="C1093" s="137" t="n">
        <v>223.1270294189453</v>
      </c>
      <c r="D1093" s="137" t="n">
        <v>5670.97021484375</v>
      </c>
      <c r="E1093" s="71" t="n">
        <v>0.3136350396449439</v>
      </c>
      <c r="F1093" s="71" t="n">
        <v>0.6728194715792668</v>
      </c>
    </row>
    <row r="1094">
      <c r="B1094" s="70" t="n">
        <v>45750</v>
      </c>
      <c r="C1094" s="137" t="n">
        <v>202.4975433349609</v>
      </c>
      <c r="D1094" s="137" t="n">
        <v>5396.52001953125</v>
      </c>
      <c r="E1094" s="71" t="n">
        <v>-9.245623955872373</v>
      </c>
      <c r="F1094" s="71" t="n">
        <v>-4.83956333599015</v>
      </c>
    </row>
    <row r="1095">
      <c r="B1095" s="70" t="n">
        <v>45751</v>
      </c>
      <c r="C1095" s="137" t="n">
        <v>187.738037109375</v>
      </c>
      <c r="D1095" s="137" t="n">
        <v>5074.080078125</v>
      </c>
      <c r="E1095" s="71" t="n">
        <v>-7.288733474248376</v>
      </c>
      <c r="F1095" s="71" t="n">
        <v>-5.974960534553109</v>
      </c>
    </row>
    <row r="1096">
      <c r="B1096" s="70" t="n">
        <v>45754</v>
      </c>
      <c r="C1096" s="137" t="n">
        <v>180.8416137695312</v>
      </c>
      <c r="D1096" s="137" t="n">
        <v>5062.25</v>
      </c>
      <c r="E1096" s="71" t="n">
        <v>-3.673428915114307</v>
      </c>
      <c r="F1096" s="71" t="n">
        <v>-0.2331472492127395</v>
      </c>
    </row>
    <row r="1097">
      <c r="B1097" s="70" t="n">
        <v>45755</v>
      </c>
      <c r="C1097" s="137" t="n">
        <v>171.8323974609375</v>
      </c>
      <c r="D1097" s="137" t="n">
        <v>4982.77001953125</v>
      </c>
      <c r="E1097" s="71" t="n">
        <v>-4.981826981523874</v>
      </c>
      <c r="F1097" s="71" t="n">
        <v>-1.570052456294135</v>
      </c>
    </row>
    <row r="1098">
      <c r="B1098" s="70" t="n">
        <v>45756</v>
      </c>
      <c r="C1098" s="137" t="n">
        <v>198.1723480224609</v>
      </c>
      <c r="D1098" s="137" t="n">
        <v>5456.89990234375</v>
      </c>
      <c r="E1098" s="71" t="n">
        <v>15.32886169938428</v>
      </c>
      <c r="F1098" s="71" t="n">
        <v>9.515387644904848</v>
      </c>
    </row>
    <row r="1099">
      <c r="B1099" s="70" t="n">
        <v>45757</v>
      </c>
      <c r="C1099" s="137" t="n">
        <v>189.7710723876953</v>
      </c>
      <c r="D1099" s="137" t="n">
        <v>5268.0498046875</v>
      </c>
      <c r="E1099" s="71" t="n">
        <v>-4.239378358585832</v>
      </c>
      <c r="F1099" s="71" t="n">
        <v>-3.460757958472693</v>
      </c>
    </row>
    <row r="1100">
      <c r="B1100" s="70" t="n">
        <v>45758</v>
      </c>
      <c r="C1100" s="137" t="n">
        <v>197.4747161865234</v>
      </c>
      <c r="D1100" s="137" t="n">
        <v>5363.35986328125</v>
      </c>
      <c r="E1100" s="71" t="n">
        <v>4.059440515301427</v>
      </c>
      <c r="F1100" s="71" t="n">
        <v>1.809209520170896</v>
      </c>
    </row>
    <row r="1101">
      <c r="B1101" s="70" t="n">
        <v>45761</v>
      </c>
      <c r="C1101" s="137" t="n">
        <v>201.8298492431641</v>
      </c>
      <c r="D1101" s="137" t="n">
        <v>5405.97021484375</v>
      </c>
      <c r="E1101" s="71" t="n">
        <v>2.205412997037581</v>
      </c>
      <c r="F1101" s="71" t="n">
        <v>0.7944712390868913</v>
      </c>
    </row>
    <row r="1102">
      <c r="B1102" s="70" t="n">
        <v>45762</v>
      </c>
      <c r="C1102" s="137" t="n">
        <v>201.4511260986328</v>
      </c>
      <c r="D1102" s="137" t="n">
        <v>5396.6298828125</v>
      </c>
      <c r="E1102" s="71" t="n">
        <v>-0.1876447641176227</v>
      </c>
      <c r="F1102" s="71" t="n">
        <v>-0.1727780890394714</v>
      </c>
    </row>
    <row r="1103">
      <c r="B1103" s="70" t="n">
        <v>45763</v>
      </c>
      <c r="C1103" s="137" t="n">
        <v>193.6079559326172</v>
      </c>
      <c r="D1103" s="137" t="n">
        <v>5275.7001953125</v>
      </c>
      <c r="E1103" s="71" t="n">
        <v>-3.89333647218012</v>
      </c>
      <c r="F1103" s="71" t="n">
        <v>-2.24083715440897</v>
      </c>
    </row>
    <row r="1104">
      <c r="B1104" s="70" t="n">
        <v>45764</v>
      </c>
      <c r="C1104" s="137" t="n">
        <v>196.3087158203125</v>
      </c>
      <c r="D1104" s="137" t="n">
        <v>5282.7001953125</v>
      </c>
      <c r="E1104" s="71" t="n">
        <v>1.39496327756039</v>
      </c>
      <c r="F1104" s="71" t="n">
        <v>0.1326838095580207</v>
      </c>
    </row>
    <row r="1105">
      <c r="B1105" s="70" t="n">
        <v>45768</v>
      </c>
      <c r="C1105" s="137" t="n">
        <v>192.5017395019531</v>
      </c>
      <c r="D1105" s="137" t="n">
        <v>5158.2001953125</v>
      </c>
      <c r="E1105" s="71" t="n">
        <v>-1.939280333250226</v>
      </c>
      <c r="F1105" s="71" t="n">
        <v>-2.356749302382755</v>
      </c>
    </row>
    <row r="1106">
      <c r="B1106" s="70" t="n">
        <v>45769</v>
      </c>
      <c r="C1106" s="137" t="n">
        <v>199.059326171875</v>
      </c>
      <c r="D1106" s="137" t="n">
        <v>5287.759765625</v>
      </c>
      <c r="E1106" s="71" t="n">
        <v>3.406507747352272</v>
      </c>
      <c r="F1106" s="71" t="n">
        <v>2.511720472389523</v>
      </c>
    </row>
    <row r="1107">
      <c r="B1107" s="70" t="n">
        <v>45770</v>
      </c>
      <c r="C1107" s="137" t="n">
        <v>203.9027557373047</v>
      </c>
      <c r="D1107" s="137" t="n">
        <v>5375.85986328125</v>
      </c>
      <c r="E1107" s="71" t="n">
        <v>2.433158826855308</v>
      </c>
      <c r="F1107" s="71" t="n">
        <v>1.666113847096007</v>
      </c>
    </row>
    <row r="1108">
      <c r="B1108" s="70" t="n">
        <v>45771</v>
      </c>
      <c r="C1108" s="137" t="n">
        <v>207.6598968505859</v>
      </c>
      <c r="D1108" s="137" t="n">
        <v>5484.77001953125</v>
      </c>
      <c r="E1108" s="71" t="n">
        <v>1.842614191110625</v>
      </c>
      <c r="F1108" s="71" t="n">
        <v>2.025911370828126</v>
      </c>
    </row>
    <row r="1109">
      <c r="B1109" s="70" t="n">
        <v>45772</v>
      </c>
      <c r="C1109" s="137" t="n">
        <v>208.5668029785156</v>
      </c>
      <c r="D1109" s="137" t="n">
        <v>5525.2099609375</v>
      </c>
      <c r="E1109" s="71" t="n">
        <v>0.4367266581964069</v>
      </c>
      <c r="F1109" s="71" t="n">
        <v>0.7373133469998461</v>
      </c>
    </row>
    <row r="1110">
      <c r="B1110" s="70" t="n">
        <v>45775</v>
      </c>
      <c r="C1110" s="137" t="n">
        <v>209.4238739013672</v>
      </c>
      <c r="D1110" s="137" t="n">
        <v>5528.75</v>
      </c>
      <c r="E1110" s="71" t="n">
        <v>0.4109335285442661</v>
      </c>
      <c r="F1110" s="71" t="n">
        <v>0.06407067039131409</v>
      </c>
    </row>
    <row r="1111">
      <c r="B1111" s="70" t="n">
        <v>45776</v>
      </c>
      <c r="C1111" s="137" t="n">
        <v>210.490234375</v>
      </c>
      <c r="D1111" s="137" t="n">
        <v>5560.830078125</v>
      </c>
      <c r="E1111" s="71" t="n">
        <v>0.5091876364272663</v>
      </c>
      <c r="F1111" s="71" t="n">
        <v>0.5802410694099036</v>
      </c>
    </row>
    <row r="1112">
      <c r="B1112" s="70" t="n">
        <v>45777</v>
      </c>
      <c r="C1112" s="137" t="n">
        <v>211.7758331298828</v>
      </c>
      <c r="D1112" s="137" t="n">
        <v>5569.06005859375</v>
      </c>
      <c r="E1112" s="71" t="n">
        <v>0.6107640854218666</v>
      </c>
      <c r="F1112" s="71" t="n">
        <v>0.147999135976562</v>
      </c>
    </row>
    <row r="1113">
      <c r="B1113" s="70" t="n">
        <v>45778</v>
      </c>
      <c r="C1113" s="137" t="n">
        <v>212.5930480957031</v>
      </c>
      <c r="D1113" s="137" t="n">
        <v>5604.14013671875</v>
      </c>
      <c r="E1113" s="71" t="n">
        <v>0.3858867906420205</v>
      </c>
      <c r="F1113" s="71" t="n">
        <v>0.6299102138585644</v>
      </c>
    </row>
    <row r="1114">
      <c r="B1114" s="70" t="n">
        <v>45779</v>
      </c>
      <c r="C1114" s="137" t="n">
        <v>204.6502075195312</v>
      </c>
      <c r="D1114" s="137" t="n">
        <v>5686.669921875</v>
      </c>
      <c r="E1114" s="71" t="n">
        <v>-3.736171359938478</v>
      </c>
      <c r="F1114" s="71" t="n">
        <v>1.472657412963474</v>
      </c>
    </row>
    <row r="1115">
      <c r="B1115" s="70" t="n">
        <v>45782</v>
      </c>
      <c r="C1115" s="137" t="n">
        <v>198.2122192382812</v>
      </c>
      <c r="D1115" s="137" t="n">
        <v>5650.3798828125</v>
      </c>
      <c r="E1115" s="71" t="n">
        <v>-3.145849867088735</v>
      </c>
      <c r="F1115" s="71" t="n">
        <v>-0.6381597588933863</v>
      </c>
    </row>
    <row r="1116">
      <c r="B1116" s="70" t="n">
        <v>45783</v>
      </c>
      <c r="C1116" s="137" t="n">
        <v>197.8335113525391</v>
      </c>
      <c r="D1116" s="137" t="n">
        <v>5606.91015625</v>
      </c>
      <c r="E1116" s="71" t="n">
        <v>-0.1910618261565578</v>
      </c>
      <c r="F1116" s="71" t="n">
        <v>-0.7693239651855532</v>
      </c>
    </row>
    <row r="1117">
      <c r="B1117" s="70" t="n">
        <v>45784</v>
      </c>
      <c r="C1117" s="137" t="n">
        <v>195.5812072753906</v>
      </c>
      <c r="D1117" s="137" t="n">
        <v>5631.27978515625</v>
      </c>
      <c r="E1117" s="71" t="n">
        <v>-1.138484608472068</v>
      </c>
      <c r="F1117" s="71" t="n">
        <v>0.434635623313584</v>
      </c>
    </row>
    <row r="1118">
      <c r="B1118" s="70" t="n">
        <v>45785</v>
      </c>
      <c r="C1118" s="137" t="n">
        <v>196.8169860839844</v>
      </c>
      <c r="D1118" s="137" t="n">
        <v>5663.93994140625</v>
      </c>
      <c r="E1118" s="71" t="n">
        <v>0.6318494633555272</v>
      </c>
      <c r="F1118" s="71" t="n">
        <v>0.5799775094835535</v>
      </c>
    </row>
    <row r="1119">
      <c r="B1119" s="70" t="n">
        <v>45786</v>
      </c>
      <c r="C1119" s="137" t="n">
        <v>197.8534393310547</v>
      </c>
      <c r="D1119" s="137" t="n">
        <v>5659.91015625</v>
      </c>
      <c r="E1119" s="71" t="n">
        <v>0.5266076204561099</v>
      </c>
      <c r="F1119" s="71" t="n">
        <v>-0.07114809122162891</v>
      </c>
    </row>
    <row r="1120">
      <c r="B1120" s="70" t="n">
        <v>45789</v>
      </c>
      <c r="C1120" s="137" t="n">
        <v>210.3471374511719</v>
      </c>
      <c r="D1120" s="137" t="n">
        <v>5844.18994140625</v>
      </c>
      <c r="E1120" s="71" t="n">
        <v>6.314622663299962</v>
      </c>
      <c r="F1120" s="71" t="n">
        <v>3.255878274900836</v>
      </c>
    </row>
    <row r="1121">
      <c r="B1121" s="70" t="n">
        <v>45790</v>
      </c>
      <c r="C1121" s="137" t="n">
        <v>212.4826354980469</v>
      </c>
      <c r="D1121" s="137" t="n">
        <v>5886.5498046875</v>
      </c>
      <c r="E1121" s="71" t="n">
        <v>1.015225627860383</v>
      </c>
      <c r="F1121" s="71" t="n">
        <v>0.7248200983532183</v>
      </c>
    </row>
    <row r="1122">
      <c r="B1122" s="70" t="n">
        <v>45791</v>
      </c>
      <c r="C1122" s="137" t="n">
        <v>211.8838958740234</v>
      </c>
      <c r="D1122" s="137" t="n">
        <v>5892.580078125</v>
      </c>
      <c r="E1122" s="71" t="n">
        <v>-0.2817828490408569</v>
      </c>
      <c r="F1122" s="71" t="n">
        <v>0.1024415597859818</v>
      </c>
    </row>
    <row r="1123">
      <c r="B1123" s="70" t="n">
        <v>45792</v>
      </c>
      <c r="C1123" s="137" t="n">
        <v>211.0057525634766</v>
      </c>
      <c r="D1123" s="137" t="n">
        <v>5916.93017578125</v>
      </c>
      <c r="E1123" s="71" t="n">
        <v>-0.4144455183460072</v>
      </c>
      <c r="F1123" s="71" t="n">
        <v>0.4132332074135769</v>
      </c>
    </row>
    <row r="1124">
      <c r="B1124" s="70" t="n">
        <v>45793</v>
      </c>
      <c r="C1124" s="137" t="n">
        <v>210.8161468505859</v>
      </c>
      <c r="D1124" s="137" t="n">
        <v>5958.3798828125</v>
      </c>
      <c r="E1124" s="71" t="n">
        <v>-0.08985807760555353</v>
      </c>
      <c r="F1124" s="71" t="n">
        <v>0.7005272294898557</v>
      </c>
    </row>
    <row r="1125">
      <c r="B1125" s="70" t="n">
        <v>45796</v>
      </c>
      <c r="C1125" s="137" t="n">
        <v>208.3413543701172</v>
      </c>
      <c r="D1125" s="137" t="n">
        <v>5963.60009765625</v>
      </c>
      <c r="E1125" s="71" t="n">
        <v>-1.173910308788018</v>
      </c>
      <c r="F1125" s="71" t="n">
        <v>0.08761131291423752</v>
      </c>
    </row>
    <row r="1126">
      <c r="B1126" s="70" t="n">
        <v>45797</v>
      </c>
      <c r="C1126" s="137" t="n">
        <v>206.4253997802734</v>
      </c>
      <c r="D1126" s="137" t="n">
        <v>5940.4599609375</v>
      </c>
      <c r="E1126" s="71" t="n">
        <v>-0.9196227967492643</v>
      </c>
      <c r="F1126" s="71" t="n">
        <v>-0.3880229448625205</v>
      </c>
    </row>
    <row r="1127">
      <c r="B1127" s="70" t="n">
        <v>45798</v>
      </c>
      <c r="C1127" s="137" t="n">
        <v>201.6654052734375</v>
      </c>
      <c r="D1127" s="137" t="n">
        <v>5844.60986328125</v>
      </c>
      <c r="E1127" s="71" t="n">
        <v>-2.305915120863333</v>
      </c>
      <c r="F1127" s="71" t="n">
        <v>-1.613513066101424</v>
      </c>
    </row>
    <row r="1128">
      <c r="B1128" s="70" t="n">
        <v>45799</v>
      </c>
      <c r="C1128" s="137" t="n">
        <v>200.9369354248047</v>
      </c>
      <c r="D1128" s="137" t="n">
        <v>5842.009765625</v>
      </c>
      <c r="E1128" s="71" t="n">
        <v>-0.3612269777481525</v>
      </c>
      <c r="F1128" s="71" t="n">
        <v>-0.04448710379429954</v>
      </c>
    </row>
    <row r="1129">
      <c r="B1129" s="70" t="n">
        <v>45800</v>
      </c>
      <c r="C1129" s="137" t="n">
        <v>194.8597564697266</v>
      </c>
      <c r="D1129" s="137" t="n">
        <v>5802.81982421875</v>
      </c>
      <c r="E1129" s="71" t="n">
        <v>-3.024421041472647</v>
      </c>
      <c r="F1129" s="71" t="n">
        <v>-0.6708297825321674</v>
      </c>
    </row>
    <row r="1130">
      <c r="B1130" s="70" t="n">
        <v>45804</v>
      </c>
      <c r="C1130" s="137" t="n">
        <v>199.7893676757812</v>
      </c>
      <c r="D1130" s="137" t="n">
        <v>5921.5400390625</v>
      </c>
      <c r="E1130" s="71" t="n">
        <v>2.529825190877966</v>
      </c>
      <c r="F1130" s="71" t="n">
        <v>2.04590558452733</v>
      </c>
    </row>
    <row r="1131">
      <c r="B1131" s="70" t="n">
        <v>45805</v>
      </c>
      <c r="C1131" s="137" t="n">
        <v>199.9989166259766</v>
      </c>
      <c r="D1131" s="137" t="n">
        <v>5888.5498046875</v>
      </c>
      <c r="E1131" s="71" t="n">
        <v>0.1048849358868065</v>
      </c>
      <c r="F1131" s="71" t="n">
        <v>-0.5571225417268844</v>
      </c>
    </row>
    <row r="1132">
      <c r="B1132" s="70" t="n">
        <v>45806</v>
      </c>
      <c r="C1132" s="137" t="n">
        <v>199.5299072265625</v>
      </c>
      <c r="D1132" s="137" t="n">
        <v>5912.169921875</v>
      </c>
      <c r="E1132" s="71" t="n">
        <v>-0.2345059699954244</v>
      </c>
      <c r="F1132" s="71" t="n">
        <v>0.4011194261904327</v>
      </c>
    </row>
    <row r="1133">
      <c r="B1133" s="70" t="n">
        <v>45807</v>
      </c>
      <c r="C1133" s="137" t="n">
        <v>200.4280242919922</v>
      </c>
      <c r="D1133" s="137" t="n">
        <v>5911.68994140625</v>
      </c>
      <c r="E1133" s="71" t="n">
        <v>0.4501165153201203</v>
      </c>
      <c r="F1133" s="71" t="n">
        <v>-0.008118516130162234</v>
      </c>
    </row>
    <row r="1134">
      <c r="B1134" s="70" t="n">
        <v>45810</v>
      </c>
      <c r="C1134" s="137" t="n">
        <v>201.2762298583984</v>
      </c>
      <c r="D1134" s="137" t="n">
        <v>5935.93994140625</v>
      </c>
      <c r="E1134" s="71" t="n">
        <v>0.4231970900289372</v>
      </c>
      <c r="F1134" s="71" t="n">
        <v>0.4102041927156908</v>
      </c>
    </row>
    <row r="1135">
      <c r="B1135" s="70" t="n">
        <v>45811</v>
      </c>
      <c r="C1135" s="137" t="n">
        <v>202.8429260253906</v>
      </c>
      <c r="D1135" s="137" t="n">
        <v>5970.3701171875</v>
      </c>
      <c r="E1135" s="71" t="n">
        <v>0.7783811173800226</v>
      </c>
      <c r="F1135" s="71" t="n">
        <v>0.5800290454605506</v>
      </c>
    </row>
    <row r="1136">
      <c r="B1136" s="70" t="n">
        <v>45812</v>
      </c>
      <c r="C1136" s="137" t="n">
        <v>202.3938903808594</v>
      </c>
      <c r="D1136" s="137" t="n">
        <v>5970.81005859375</v>
      </c>
      <c r="E1136" s="71" t="n">
        <v>-0.2213711137626695</v>
      </c>
      <c r="F1136" s="71" t="n">
        <v>0.00736874595066439</v>
      </c>
    </row>
    <row r="1137">
      <c r="B1137" s="70" t="n">
        <v>45813</v>
      </c>
      <c r="C1137" s="137" t="n">
        <v>200.20849609375</v>
      </c>
      <c r="D1137" s="137" t="n">
        <v>5939.2998046875</v>
      </c>
      <c r="E1137" s="71" t="n">
        <v>-1.079772854307504</v>
      </c>
      <c r="F1137" s="71" t="n">
        <v>-0.5277383403094138</v>
      </c>
    </row>
    <row r="1138">
      <c r="B1138" s="70" t="n">
        <v>45814</v>
      </c>
      <c r="C1138" s="137" t="n">
        <v>203.4915618896484</v>
      </c>
      <c r="D1138" s="137" t="n">
        <v>6000.35986328125</v>
      </c>
      <c r="E1138" s="71" t="n">
        <v>1.639823414067831</v>
      </c>
      <c r="F1138" s="71" t="n">
        <v>1.02806830100679</v>
      </c>
    </row>
    <row r="1139">
      <c r="B1139" s="70" t="n">
        <v>45817</v>
      </c>
      <c r="C1139" s="137" t="n">
        <v>201.0267639160156</v>
      </c>
      <c r="D1139" s="137" t="n">
        <v>6005.8798828125</v>
      </c>
      <c r="E1139" s="71" t="n">
        <v>-1.211253159956305</v>
      </c>
      <c r="F1139" s="71" t="n">
        <v>0.09199480792858594</v>
      </c>
    </row>
    <row r="1140">
      <c r="B1140" s="70" t="n">
        <v>45818</v>
      </c>
      <c r="C1140" s="137" t="n">
        <v>202.2441864013672</v>
      </c>
      <c r="D1140" s="137" t="n">
        <v>6038.81005859375</v>
      </c>
      <c r="E1140" s="71" t="n">
        <v>0.6056021902935305</v>
      </c>
      <c r="F1140" s="71" t="n">
        <v>0.548298940767844</v>
      </c>
    </row>
    <row r="1141">
      <c r="B1141" s="70" t="n">
        <v>45819</v>
      </c>
      <c r="C1141" s="137" t="n">
        <v>198.3623657226562</v>
      </c>
      <c r="D1141" s="137" t="n">
        <v>6022.240234375</v>
      </c>
      <c r="E1141" s="71" t="n">
        <v>-1.919373183369166</v>
      </c>
      <c r="F1141" s="71" t="n">
        <v>-0.2743888954607865</v>
      </c>
    </row>
    <row r="1142">
      <c r="B1142" s="70" t="n">
        <v>45820</v>
      </c>
      <c r="C1142" s="137" t="n">
        <v>198.7814788818359</v>
      </c>
      <c r="D1142" s="137" t="n">
        <v>6045.259765625</v>
      </c>
      <c r="E1142" s="71" t="n">
        <v>0.21128663073402</v>
      </c>
      <c r="F1142" s="71" t="n">
        <v>0.3822419955717526</v>
      </c>
    </row>
    <row r="1143">
      <c r="B1143" s="70" t="n">
        <v>45821</v>
      </c>
      <c r="C1143" s="137" t="n">
        <v>196.0372619628906</v>
      </c>
      <c r="D1143" s="137" t="n">
        <v>5976.97021484375</v>
      </c>
      <c r="E1143" s="71" t="n">
        <v>-1.380519419808013</v>
      </c>
      <c r="F1143" s="71" t="n">
        <v>-1.12963798792507</v>
      </c>
    </row>
    <row r="1144">
      <c r="B1144" s="70" t="n">
        <v>45824</v>
      </c>
      <c r="C1144" s="137" t="n">
        <v>198.0031280517578</v>
      </c>
      <c r="D1144" s="137" t="n">
        <v>6033.10986328125</v>
      </c>
      <c r="E1144" s="71" t="n">
        <v>1.002802257684743</v>
      </c>
      <c r="F1144" s="71" t="n">
        <v>0.9392659896159117</v>
      </c>
    </row>
    <row r="1145">
      <c r="B1145" s="70" t="n">
        <v>45825</v>
      </c>
      <c r="C1145" s="137" t="n">
        <v>195.2289581298828</v>
      </c>
      <c r="D1145" s="137" t="n">
        <v>5982.72021484375</v>
      </c>
      <c r="E1145" s="71" t="n">
        <v>-1.401073785637286</v>
      </c>
      <c r="F1145" s="71" t="n">
        <v>-0.8352184790166306</v>
      </c>
    </row>
    <row r="1146">
      <c r="B1146" s="70" t="n">
        <v>45826</v>
      </c>
      <c r="C1146" s="137" t="n">
        <v>196.1669769287109</v>
      </c>
      <c r="D1146" s="137" t="n">
        <v>5980.8701171875</v>
      </c>
      <c r="E1146" s="71" t="n">
        <v>0.4804711390223426</v>
      </c>
      <c r="F1146" s="71" t="n">
        <v>-0.03092402101070313</v>
      </c>
    </row>
    <row r="1147">
      <c r="B1147" s="70" t="n">
        <v>45828</v>
      </c>
      <c r="C1147" s="137" t="n">
        <v>200.5776977539062</v>
      </c>
      <c r="D1147" s="137" t="n">
        <v>5967.83984375</v>
      </c>
      <c r="E1147" s="71" t="n">
        <v>2.248452259524902</v>
      </c>
      <c r="F1147" s="71" t="n">
        <v>-0.2178658486505891</v>
      </c>
    </row>
    <row r="1148">
      <c r="B1148" s="70" t="n">
        <v>45831</v>
      </c>
      <c r="C1148" s="137" t="n">
        <v>201.07666015625</v>
      </c>
      <c r="D1148" s="137" t="n">
        <v>6025.169921875</v>
      </c>
      <c r="E1148" s="71" t="n">
        <v>0.2487626530423226</v>
      </c>
      <c r="F1148" s="71" t="n">
        <v>0.9606504133156335</v>
      </c>
    </row>
    <row r="1149">
      <c r="B1149" s="70" t="n">
        <v>45832</v>
      </c>
      <c r="C1149" s="137" t="n">
        <v>199.8791809082031</v>
      </c>
      <c r="D1149" s="137" t="n">
        <v>6092.18017578125</v>
      </c>
      <c r="E1149" s="71" t="n">
        <v>-0.5955336870606343</v>
      </c>
      <c r="F1149" s="71" t="n">
        <v>1.112172017970181</v>
      </c>
    </row>
    <row r="1150">
      <c r="B1150" s="70" t="n">
        <v>45833</v>
      </c>
      <c r="C1150" s="137" t="n">
        <v>201.1365356445312</v>
      </c>
      <c r="D1150" s="137" t="n">
        <v>6092.16015625</v>
      </c>
      <c r="E1150" s="71" t="n">
        <v>0.6290573788700682</v>
      </c>
      <c r="F1150" s="71" t="n">
        <v>-0.0003286102950417202</v>
      </c>
    </row>
    <row r="1151">
      <c r="B1151" s="70" t="n">
        <v>45834</v>
      </c>
      <c r="C1151" s="137" t="n">
        <v>200.5776977539062</v>
      </c>
      <c r="D1151" s="137" t="n">
        <v>6141.02001953125</v>
      </c>
      <c r="E1151" s="71" t="n">
        <v>-0.2778400695995997</v>
      </c>
      <c r="F1151" s="71" t="n">
        <v>0.8020121275230219</v>
      </c>
    </row>
    <row r="1152">
      <c r="B1152" s="70" t="n">
        <v>45835</v>
      </c>
      <c r="C1152" s="137" t="n">
        <v>200.6575317382812</v>
      </c>
      <c r="D1152" s="137" t="n">
        <v>6173.06982421875</v>
      </c>
      <c r="E1152" s="71" t="n">
        <v>0.03980202448676806</v>
      </c>
      <c r="F1152" s="71" t="n">
        <v>0.5218970885222163</v>
      </c>
    </row>
    <row r="1153">
      <c r="B1153" s="70" t="n">
        <v>45838</v>
      </c>
      <c r="C1153" s="137" t="n">
        <v>204.7389373779297</v>
      </c>
      <c r="D1153" s="137" t="n">
        <v>6204.9501953125</v>
      </c>
      <c r="E1153" s="71" t="n">
        <v>2.03401567052659</v>
      </c>
      <c r="F1153" s="71" t="n">
        <v>0.5164427424532603</v>
      </c>
    </row>
    <row r="1154">
      <c r="B1154" s="70" t="n">
        <v>45839</v>
      </c>
      <c r="C1154" s="137" t="n">
        <v>207.3833770751953</v>
      </c>
      <c r="D1154" s="137" t="n">
        <v>6198.009765625</v>
      </c>
      <c r="E1154" s="71" t="n">
        <v>1.291615425542747</v>
      </c>
      <c r="F1154" s="71" t="n">
        <v>-0.1118531087121899</v>
      </c>
    </row>
    <row r="1155">
      <c r="B1155" s="70" t="n">
        <v>45840</v>
      </c>
      <c r="C1155" s="137" t="n">
        <v>211.9936676025391</v>
      </c>
      <c r="D1155" s="137" t="n">
        <v>6227.419921875</v>
      </c>
      <c r="E1155" s="71" t="n">
        <v>2.223076213901232</v>
      </c>
      <c r="F1155" s="71" t="n">
        <v>0.4745096791088033</v>
      </c>
    </row>
    <row r="1156">
      <c r="B1156" s="70" t="n">
        <v>45841</v>
      </c>
      <c r="C1156" s="137" t="n">
        <v>213.1013488769531</v>
      </c>
      <c r="D1156" s="137" t="n">
        <v>6279.35009765625</v>
      </c>
      <c r="E1156" s="71" t="n">
        <v>0.5225067743489298</v>
      </c>
      <c r="F1156" s="71" t="n">
        <v>0.8338955206607324</v>
      </c>
    </row>
    <row r="1157">
      <c r="B1157" s="70" t="n">
        <v>45845</v>
      </c>
      <c r="C1157" s="137" t="n">
        <v>209.5088958740234</v>
      </c>
      <c r="D1157" s="137" t="n">
        <v>6229.97998046875</v>
      </c>
      <c r="E1157" s="71" t="n">
        <v>-1.68579552492838</v>
      </c>
      <c r="F1157" s="71" t="n">
        <v>-0.7862297279128794</v>
      </c>
    </row>
    <row r="1158">
      <c r="B1158" s="70" t="n">
        <v>45846</v>
      </c>
      <c r="C1158" s="137" t="n">
        <v>209.5687713623047</v>
      </c>
      <c r="D1158" s="137" t="n">
        <v>6225.52001953125</v>
      </c>
      <c r="E1158" s="71" t="n">
        <v>0.0285789718052154</v>
      </c>
      <c r="F1158" s="71" t="n">
        <v>-0.07158868810946961</v>
      </c>
    </row>
    <row r="1159">
      <c r="B1159" s="70" t="n">
        <v>45847</v>
      </c>
      <c r="C1159" s="137" t="n">
        <v>210.6963958740234</v>
      </c>
      <c r="D1159" s="137" t="n">
        <v>6263.259765625</v>
      </c>
      <c r="E1159" s="71" t="n">
        <v>0.5380689615101408</v>
      </c>
      <c r="F1159" s="71" t="n">
        <v>0.6062103402663555</v>
      </c>
    </row>
    <row r="1160">
      <c r="B1160" s="70" t="n">
        <v>45848</v>
      </c>
      <c r="C1160" s="137" t="n">
        <v>211.9637298583984</v>
      </c>
      <c r="D1160" s="137" t="n">
        <v>6280.4599609375</v>
      </c>
      <c r="E1160" s="71" t="n">
        <v>0.6014977043711456</v>
      </c>
      <c r="F1160" s="71" t="n">
        <v>0.2746205004445335</v>
      </c>
    </row>
    <row r="1161">
      <c r="B1161" s="70" t="n">
        <v>45849</v>
      </c>
      <c r="C1161" s="137" t="n">
        <v>210.7163543701172</v>
      </c>
      <c r="D1161" s="137" t="n">
        <v>6259.75</v>
      </c>
      <c r="E1161" s="71" t="n">
        <v>-0.5884853456365025</v>
      </c>
      <c r="F1161" s="71" t="n">
        <v>-0.3297522962698474</v>
      </c>
    </row>
    <row r="1162">
      <c r="B1162" s="70" t="n">
        <v>45852</v>
      </c>
      <c r="C1162" s="137" t="n">
        <v>208.1816864013672</v>
      </c>
      <c r="D1162" s="137" t="n">
        <v>6268.56005859375</v>
      </c>
      <c r="E1162" s="71" t="n">
        <v>-1.202881464197092</v>
      </c>
      <c r="F1162" s="71" t="n">
        <v>0.1407413809457303</v>
      </c>
    </row>
    <row r="1163">
      <c r="B1163" s="70" t="n">
        <v>45853</v>
      </c>
      <c r="C1163" s="137" t="n">
        <v>208.6706695556641</v>
      </c>
      <c r="D1163" s="137" t="n">
        <v>6243.759765625</v>
      </c>
      <c r="E1163" s="71" t="n">
        <v>0.2348828865542663</v>
      </c>
      <c r="F1163" s="71" t="n">
        <v>-0.3956298214731202</v>
      </c>
    </row>
    <row r="1164">
      <c r="B1164" s="70" t="n">
        <v>45854</v>
      </c>
      <c r="C1164" s="137" t="n">
        <v>209.7184753417969</v>
      </c>
      <c r="D1164" s="137" t="n">
        <v>6263.7001953125</v>
      </c>
      <c r="E1164" s="71" t="n">
        <v>0.502133715468478</v>
      </c>
      <c r="F1164" s="71" t="n">
        <v>0.3193657417327689</v>
      </c>
    </row>
    <row r="1165">
      <c r="B1165" s="70" t="n">
        <v>45855</v>
      </c>
      <c r="C1165" s="137" t="n">
        <v>209.5787506103516</v>
      </c>
      <c r="D1165" s="137" t="n">
        <v>6297.35986328125</v>
      </c>
      <c r="E1165" s="71" t="n">
        <v>-0.06662490332222104</v>
      </c>
      <c r="F1165" s="71" t="n">
        <v>0.537376740890938</v>
      </c>
    </row>
    <row r="1166">
      <c r="B1166" s="70" t="n">
        <v>45856</v>
      </c>
      <c r="C1166" s="137" t="n">
        <v>210.7363128662109</v>
      </c>
      <c r="D1166" s="137" t="n">
        <v>6296.7900390625</v>
      </c>
      <c r="E1166" s="71" t="n">
        <v>0.552328064027563</v>
      </c>
      <c r="F1166" s="71" t="n">
        <v>-0.009048620868445933</v>
      </c>
    </row>
    <row r="1167">
      <c r="B1167" s="70" t="n">
        <v>45859</v>
      </c>
      <c r="C1167" s="137" t="n">
        <v>212.0335693359375</v>
      </c>
      <c r="D1167" s="137" t="n">
        <v>6305.60009765625</v>
      </c>
      <c r="E1167" s="71" t="n">
        <v>0.6155827878369324</v>
      </c>
      <c r="F1167" s="71" t="n">
        <v>0.1399134882868358</v>
      </c>
    </row>
    <row r="1168">
      <c r="B1168" s="70" t="n">
        <v>45860</v>
      </c>
      <c r="C1168" s="137" t="n">
        <v>213.9495544433594</v>
      </c>
      <c r="D1168" s="137" t="n">
        <v>6309.6201171875</v>
      </c>
      <c r="E1168" s="71" t="n">
        <v>0.9036234750103622</v>
      </c>
      <c r="F1168" s="71" t="n">
        <v>0.06375316336257875</v>
      </c>
    </row>
    <row r="1169">
      <c r="B1169" s="70" t="n">
        <v>45861</v>
      </c>
      <c r="C1169" s="137" t="n">
        <v>213.7000732421875</v>
      </c>
      <c r="D1169" s="137" t="n">
        <v>6358.91015625</v>
      </c>
      <c r="E1169" s="71" t="n">
        <v>-0.1166074880693202</v>
      </c>
      <c r="F1169" s="71" t="n">
        <v>0.7811886951519131</v>
      </c>
    </row>
    <row r="1170">
      <c r="B1170" s="70" t="n">
        <v>45862</v>
      </c>
      <c r="C1170" s="137" t="n">
        <v>213.3108825683594</v>
      </c>
      <c r="D1170" s="137" t="n">
        <v>6363.35009765625</v>
      </c>
      <c r="E1170" s="71" t="n">
        <v>-0.1821200470001783</v>
      </c>
      <c r="F1170" s="71" t="n">
        <v>0.06982236416543941</v>
      </c>
    </row>
    <row r="1171">
      <c r="B1171" s="70" t="n">
        <v>45863</v>
      </c>
      <c r="C1171" s="137" t="n">
        <v>213.4306488037109</v>
      </c>
      <c r="D1171" s="137" t="n">
        <v>6388.64013671875</v>
      </c>
      <c r="E1171" s="71" t="n">
        <v>0.05614633154644721</v>
      </c>
      <c r="F1171" s="71" t="n">
        <v>0.397432777929585</v>
      </c>
    </row>
    <row r="1172">
      <c r="B1172" s="70" t="n">
        <v>45866</v>
      </c>
      <c r="C1172" s="137" t="n">
        <v>213.6002960205078</v>
      </c>
      <c r="D1172" s="137" t="n">
        <v>6389.77001953125</v>
      </c>
      <c r="E1172" s="71" t="n">
        <v>0.07948587409905006</v>
      </c>
      <c r="F1172" s="71" t="n">
        <v>0.01768581088181786</v>
      </c>
    </row>
    <row r="1173">
      <c r="B1173" s="70" t="n">
        <v>45867</v>
      </c>
      <c r="C1173" s="137" t="n">
        <v>210.8261260986328</v>
      </c>
      <c r="D1173" s="137" t="n">
        <v>6370.85986328125</v>
      </c>
      <c r="E1173" s="71" t="n">
        <v>-1.298766890102365</v>
      </c>
      <c r="F1173" s="71" t="n">
        <v>-0.2959442388724254</v>
      </c>
    </row>
    <row r="1174">
      <c r="B1174" s="70" t="n">
        <v>45868</v>
      </c>
      <c r="C1174" s="137" t="n">
        <v>208.6107940673828</v>
      </c>
      <c r="D1174" s="137" t="n">
        <v>6362.89990234375</v>
      </c>
      <c r="E1174" s="71" t="n">
        <v>-1.050786291170369</v>
      </c>
      <c r="F1174" s="71" t="n">
        <v>-0.1249432746649681</v>
      </c>
    </row>
    <row r="1175">
      <c r="B1175" s="70" t="n">
        <v>45869</v>
      </c>
      <c r="C1175" s="137" t="n">
        <v>207.1339111328125</v>
      </c>
      <c r="D1175" s="137" t="n">
        <v>6339.39013671875</v>
      </c>
      <c r="E1175" s="71" t="n">
        <v>-0.7079609380583052</v>
      </c>
      <c r="F1175" s="71" t="n">
        <v>-0.3694819341153011</v>
      </c>
    </row>
    <row r="1176">
      <c r="B1176" s="70" t="n">
        <v>45870</v>
      </c>
      <c r="C1176" s="137" t="n">
        <v>201.9548187255859</v>
      </c>
      <c r="D1176" s="137" t="n">
        <v>6238.009765625</v>
      </c>
      <c r="E1176" s="71" t="n">
        <v>-2.500359491549309</v>
      </c>
      <c r="F1176" s="71" t="n">
        <v>-1.599213314014847</v>
      </c>
    </row>
    <row r="1177">
      <c r="B1177" s="70" t="n">
        <v>45873</v>
      </c>
      <c r="C1177" s="137" t="n">
        <v>202.9227752685547</v>
      </c>
      <c r="D1177" s="137" t="n">
        <v>6329.93994140625</v>
      </c>
      <c r="E1177" s="71" t="n">
        <v>0.4792936108566126</v>
      </c>
      <c r="F1177" s="71" t="n">
        <v>1.473710033091602</v>
      </c>
    </row>
    <row r="1178">
      <c r="B1178" s="70" t="n">
        <v>45874</v>
      </c>
      <c r="C1178" s="137" t="n">
        <v>202.4936676025391</v>
      </c>
      <c r="D1178" s="137" t="n">
        <v>6299.18994140625</v>
      </c>
      <c r="E1178" s="71" t="n">
        <v>-0.2114635311131097</v>
      </c>
      <c r="F1178" s="71" t="n">
        <v>-0.4857865996303334</v>
      </c>
    </row>
    <row r="1179">
      <c r="B1179" s="70" t="n">
        <v>45875</v>
      </c>
      <c r="C1179" s="137" t="n">
        <v>212.8019714355469</v>
      </c>
      <c r="D1179" s="137" t="n">
        <v>6345.06005859375</v>
      </c>
      <c r="E1179" s="71" t="n">
        <v>5.090679602505532</v>
      </c>
      <c r="F1179" s="71" t="n">
        <v>0.7281907295092482</v>
      </c>
    </row>
    <row r="1180">
      <c r="B1180" s="70" t="n">
        <v>45876</v>
      </c>
      <c r="C1180" s="137" t="n">
        <v>219.5677185058594</v>
      </c>
      <c r="D1180" s="137" t="n">
        <v>6340</v>
      </c>
      <c r="E1180" s="71" t="n">
        <v>3.179362965799259</v>
      </c>
      <c r="F1180" s="71" t="n">
        <v>-0.07974800154801898</v>
      </c>
    </row>
    <row r="1181">
      <c r="B1181" s="70" t="n">
        <v>45877</v>
      </c>
      <c r="C1181" s="137" t="n">
        <v>228.8681488037109</v>
      </c>
      <c r="D1181" s="137" t="n">
        <v>6389.4501953125</v>
      </c>
      <c r="E1181" s="71" t="n">
        <v>4.235791290787261</v>
      </c>
      <c r="F1181" s="71" t="n">
        <v>0.7799715348974834</v>
      </c>
    </row>
    <row r="1182">
      <c r="B1182" s="70" t="n">
        <v>45880</v>
      </c>
      <c r="C1182" s="137" t="n">
        <v>226.9599761962891</v>
      </c>
      <c r="D1182" s="137" t="n">
        <v>6373.4501953125</v>
      </c>
      <c r="E1182" s="71" t="n">
        <v>-0.8337431911761395</v>
      </c>
      <c r="F1182" s="71" t="n">
        <v>-0.2504127821786328</v>
      </c>
    </row>
    <row r="1183">
      <c r="B1183" s="70" t="n">
        <v>45881</v>
      </c>
      <c r="C1183" s="137" t="n">
        <v>229.4275817871094</v>
      </c>
      <c r="D1183" s="137" t="n">
        <v>6445.759765625</v>
      </c>
      <c r="E1183" s="71" t="n">
        <v>1.087242619679407</v>
      </c>
      <c r="F1183" s="71" t="n">
        <v>1.134543584661274</v>
      </c>
    </row>
    <row r="1184">
      <c r="B1184" s="70" t="n">
        <v>45882</v>
      </c>
      <c r="C1184" s="137" t="n">
        <v>233.1040344238281</v>
      </c>
      <c r="D1184" s="137" t="n">
        <v>6466.580078125</v>
      </c>
      <c r="E1184" s="71" t="n">
        <v>1.602445794913243</v>
      </c>
      <c r="F1184" s="71" t="n">
        <v>0.3230078882404896</v>
      </c>
    </row>
    <row r="1185">
      <c r="B1185" s="70" t="n">
        <v>45883</v>
      </c>
      <c r="C1185" s="137" t="n">
        <v>232.5545654296875</v>
      </c>
      <c r="D1185" s="137" t="n">
        <v>6468.5400390625</v>
      </c>
      <c r="E1185" s="71" t="n">
        <v>-0.2357183544672403</v>
      </c>
      <c r="F1185" s="71" t="n">
        <v>0.03030908012924272</v>
      </c>
    </row>
    <row r="1186">
      <c r="B1186" s="70" t="n">
        <v>45884</v>
      </c>
      <c r="C1186" s="137" t="n">
        <v>231.3657073974609</v>
      </c>
      <c r="D1186" s="137" t="n">
        <v>6449.7998046875</v>
      </c>
      <c r="E1186" s="71" t="n">
        <v>-0.5112168105708692</v>
      </c>
      <c r="F1186" s="71" t="n">
        <v>-0.2897135097229109</v>
      </c>
    </row>
    <row r="1187">
      <c r="B1187" s="70" t="n">
        <v>45887</v>
      </c>
      <c r="C1187" s="137" t="n">
        <v>230.6663970947266</v>
      </c>
      <c r="D1187" s="137" t="n">
        <v>6449.14990234375</v>
      </c>
      <c r="E1187" s="71" t="n">
        <v>-0.3022532209291384</v>
      </c>
      <c r="F1187" s="71" t="n">
        <v>-0.01007631807854459</v>
      </c>
    </row>
    <row r="1188">
      <c r="B1188" s="70" t="n">
        <v>45888</v>
      </c>
      <c r="C1188" s="137" t="n">
        <v>230.3367156982422</v>
      </c>
      <c r="D1188" s="137" t="n">
        <v>6411.3701171875</v>
      </c>
      <c r="E1188" s="71" t="n">
        <v>-0.1429256279357527</v>
      </c>
      <c r="F1188" s="71" t="n">
        <v>-0.5858103118756786</v>
      </c>
    </row>
    <row r="1189">
      <c r="B1189" s="70" t="n">
        <v>45889</v>
      </c>
      <c r="C1189" s="137" t="n">
        <v>225.7911071777344</v>
      </c>
      <c r="D1189" s="137" t="n">
        <v>6395.77978515625</v>
      </c>
      <c r="E1189" s="71" t="n">
        <v>-1.973462418585004</v>
      </c>
      <c r="F1189" s="71" t="n">
        <v>-0.2431669322826235</v>
      </c>
    </row>
    <row r="1190">
      <c r="B1190" s="70" t="n">
        <v>45890</v>
      </c>
      <c r="C1190" s="137" t="n">
        <v>224.6821899414062</v>
      </c>
      <c r="D1190" s="137" t="n">
        <v>6370.169921875</v>
      </c>
      <c r="E1190" s="71" t="n">
        <v>-0.4911252928377352</v>
      </c>
      <c r="F1190" s="71" t="n">
        <v>-0.4004181529308926</v>
      </c>
    </row>
    <row r="1191">
      <c r="B1191" s="70" t="n">
        <v>45891</v>
      </c>
      <c r="C1191" s="137" t="n">
        <v>227.5394134521484</v>
      </c>
      <c r="D1191" s="137" t="n">
        <v>6466.91015625</v>
      </c>
      <c r="E1191" s="71" t="n">
        <v>1.271673340680612</v>
      </c>
      <c r="F1191" s="71" t="n">
        <v>1.518644487689347</v>
      </c>
    </row>
    <row r="1192">
      <c r="B1192" s="70" t="n">
        <v>45894</v>
      </c>
      <c r="C1192" s="137" t="n">
        <v>226.9400024414062</v>
      </c>
      <c r="D1192" s="137" t="n">
        <v>6439.31982421875</v>
      </c>
      <c r="E1192" s="71" t="n">
        <v>-0.2634317288807919</v>
      </c>
      <c r="F1192" s="71" t="n">
        <v>-0.4266385548063467</v>
      </c>
    </row>
    <row r="1193">
      <c r="B1193" s="70" t="n">
        <v>45895</v>
      </c>
      <c r="C1193" s="137" t="n">
        <v>229.0879211425781</v>
      </c>
      <c r="D1193" s="137" t="n">
        <v>6465.93994140625</v>
      </c>
      <c r="E1193" s="71" t="n">
        <v>0.9464698502091862</v>
      </c>
      <c r="F1193" s="71" t="n">
        <v>0.4133995191134998</v>
      </c>
    </row>
    <row r="1194">
      <c r="B1194" s="70" t="n">
        <v>45896</v>
      </c>
      <c r="C1194" s="137" t="n">
        <v>230.2667846679688</v>
      </c>
      <c r="D1194" s="137" t="n">
        <v>6481.39990234375</v>
      </c>
      <c r="E1194" s="71" t="n">
        <v>0.5145899965005141</v>
      </c>
      <c r="F1194" s="71" t="n">
        <v>0.2390984308174415</v>
      </c>
    </row>
    <row r="1195">
      <c r="B1195" s="70" t="n">
        <v>45897</v>
      </c>
      <c r="C1195" s="137" t="n">
        <v>232.3347778320312</v>
      </c>
      <c r="D1195" s="137" t="n">
        <v>6501.85986328125</v>
      </c>
      <c r="E1195" s="71" t="n">
        <v>0.8980857430411993</v>
      </c>
      <c r="F1195" s="71" t="n">
        <v>0.3156719419534992</v>
      </c>
    </row>
    <row r="1196">
      <c r="B1196" s="70" t="n">
        <v>45898</v>
      </c>
      <c r="C1196" s="137" t="n">
        <v>231.9151763916016</v>
      </c>
      <c r="D1196" s="137" t="n">
        <v>6460.259765625</v>
      </c>
      <c r="E1196" s="71" t="n">
        <v>-0.1806020796133012</v>
      </c>
      <c r="F1196" s="71" t="n">
        <v>-0.639818429357164</v>
      </c>
    </row>
    <row r="1197">
      <c r="B1197" s="70" t="n">
        <v>45902</v>
      </c>
      <c r="C1197" s="137" t="n">
        <v>229.4975280761719</v>
      </c>
      <c r="D1197" s="137" t="n">
        <v>6415.5400390625</v>
      </c>
      <c r="E1197" s="71" t="n">
        <v>-1.042470938317275</v>
      </c>
      <c r="F1197" s="71" t="n">
        <v>-0.6922279936861564</v>
      </c>
    </row>
    <row r="1198">
      <c r="B1198" s="70" t="n">
        <v>45903</v>
      </c>
      <c r="C1198" s="137" t="n">
        <v>238.2390594482422</v>
      </c>
      <c r="D1198" s="137" t="n">
        <v>6448.259765625</v>
      </c>
      <c r="E1198" s="71" t="n">
        <v>3.808987157878629</v>
      </c>
      <c r="F1198" s="71" t="n">
        <v>0.5100073627984258</v>
      </c>
    </row>
    <row r="1199">
      <c r="B1199" s="70" t="n">
        <v>45904</v>
      </c>
      <c r="C1199" s="137" t="n">
        <v>239.5477752685547</v>
      </c>
      <c r="D1199" s="137" t="n">
        <v>6502.080078125</v>
      </c>
      <c r="E1199" s="71" t="n">
        <v>0.5493288226302795</v>
      </c>
      <c r="F1199" s="71" t="n">
        <v>0.8346486409699372</v>
      </c>
    </row>
    <row r="1200">
      <c r="B1200" s="70" t="n">
        <v>45905</v>
      </c>
      <c r="C1200" s="137" t="n">
        <v>239.4578704833984</v>
      </c>
      <c r="D1200" s="137" t="n">
        <v>6481.5</v>
      </c>
      <c r="E1200" s="71" t="n">
        <v>-0.03753104576132982</v>
      </c>
      <c r="F1200" s="71" t="n">
        <v>-0.3165152978388819</v>
      </c>
    </row>
    <row r="1201">
      <c r="B1201" s="70" t="n">
        <v>45908</v>
      </c>
      <c r="C1201" s="137" t="n">
        <v>237.6496276855469</v>
      </c>
      <c r="D1201" s="137" t="n">
        <v>6495.14990234375</v>
      </c>
      <c r="E1201" s="71" t="n">
        <v>-0.7551402650500361</v>
      </c>
      <c r="F1201" s="71" t="n">
        <v>0.2105978915952988</v>
      </c>
    </row>
    <row r="1202">
      <c r="B1202" s="70" t="n">
        <v>45909</v>
      </c>
      <c r="C1202" s="137" t="n">
        <v>234.123046875</v>
      </c>
      <c r="D1202" s="137" t="n">
        <v>6512.60986328125</v>
      </c>
      <c r="E1202" s="71" t="n">
        <v>-1.483941231001296</v>
      </c>
      <c r="F1202" s="71" t="n">
        <v>0.2688153653112701</v>
      </c>
    </row>
    <row r="1203">
      <c r="B1203" s="70" t="n">
        <v>45910</v>
      </c>
      <c r="C1203" s="137" t="n">
        <v>226.5703582763672</v>
      </c>
      <c r="D1203" s="137" t="n">
        <v>6532.0400390625</v>
      </c>
      <c r="E1203" s="71" t="n">
        <v>-3.225948363240483</v>
      </c>
      <c r="F1203" s="71" t="n">
        <v>0.2983469943562689</v>
      </c>
    </row>
    <row r="1204">
      <c r="B1204" s="70" t="n">
        <v>45911</v>
      </c>
      <c r="C1204" s="137" t="n">
        <v>229.8072204589844</v>
      </c>
      <c r="D1204" s="137" t="n">
        <v>6587.47021484375</v>
      </c>
      <c r="E1204" s="71" t="n">
        <v>1.428634445936194</v>
      </c>
      <c r="F1204" s="71" t="n">
        <v>0.8485890387959882</v>
      </c>
    </row>
    <row r="1205">
      <c r="B1205" s="70" t="n">
        <v>45912</v>
      </c>
      <c r="C1205" s="137" t="n">
        <v>233.8433227539062</v>
      </c>
      <c r="D1205" s="137" t="n">
        <v>6584.2900390625</v>
      </c>
      <c r="E1205" s="71" t="n">
        <v>1.756299165387687</v>
      </c>
      <c r="F1205" s="71" t="n">
        <v>-0.04827613146674015</v>
      </c>
    </row>
    <row r="1206">
      <c r="B1206" s="70" t="n">
        <v>45915</v>
      </c>
      <c r="C1206" s="137" t="n">
        <v>236.4707641601562</v>
      </c>
      <c r="D1206" s="137" t="n">
        <v>6615.27978515625</v>
      </c>
      <c r="E1206" s="71" t="n">
        <v>1.123590520057349</v>
      </c>
      <c r="F1206" s="71" t="n">
        <v>0.4706619226962694</v>
      </c>
    </row>
    <row r="1207">
      <c r="B1207" s="70" t="n">
        <v>45916</v>
      </c>
      <c r="C1207" s="137" t="n">
        <v>237.9193572998047</v>
      </c>
      <c r="D1207" s="137" t="n">
        <v>6606.759765625</v>
      </c>
      <c r="E1207" s="71" t="n">
        <v>0.612588682915316</v>
      </c>
      <c r="F1207" s="71" t="n">
        <v>-0.1287930338240262</v>
      </c>
    </row>
    <row r="1208">
      <c r="B1208" s="70" t="n">
        <v>45917</v>
      </c>
      <c r="C1208" s="137" t="n">
        <v>238.7585601806641</v>
      </c>
      <c r="D1208" s="137" t="n">
        <v>6600.35009765625</v>
      </c>
      <c r="E1208" s="71" t="n">
        <v>0.3527257682534479</v>
      </c>
      <c r="F1208" s="71" t="n">
        <v>-0.09701681605103207</v>
      </c>
    </row>
    <row r="1209">
      <c r="B1209" s="70" t="n">
        <v>45918</v>
      </c>
      <c r="C1209" s="137" t="n">
        <v>237.6496276855469</v>
      </c>
      <c r="D1209" s="137" t="n">
        <v>6631.9599609375</v>
      </c>
      <c r="E1209" s="71" t="n">
        <v>-0.4644576907642972</v>
      </c>
      <c r="F1209" s="71" t="n">
        <v>0.4789119185128365</v>
      </c>
    </row>
    <row r="1210">
      <c r="B1210" s="70" t="n">
        <v>45919</v>
      </c>
      <c r="C1210" s="137" t="n">
        <v>245.2622375488281</v>
      </c>
      <c r="D1210" s="137" t="n">
        <v>6664.35986328125</v>
      </c>
      <c r="E1210" s="71" t="n">
        <v>3.203291306373957</v>
      </c>
      <c r="F1210" s="71" t="n">
        <v>0.4885418870829605</v>
      </c>
    </row>
    <row r="1211">
      <c r="B1211" s="70" t="n">
        <v>45922</v>
      </c>
      <c r="C1211" s="137" t="n">
        <v>255.8319854736328</v>
      </c>
      <c r="D1211" s="137" t="n">
        <v>6693.75</v>
      </c>
      <c r="E1211" s="71" t="n">
        <v>4.309570046510092</v>
      </c>
      <c r="F1211" s="71" t="n">
        <v>0.4410046474333074</v>
      </c>
    </row>
    <row r="1212">
      <c r="B1212" s="70" t="n">
        <v>45923</v>
      </c>
      <c r="C1212" s="137" t="n">
        <v>254.18359375</v>
      </c>
      <c r="D1212" s="137" t="n">
        <v>6656.919921875</v>
      </c>
      <c r="E1212" s="71" t="n">
        <v>-0.644325892472386</v>
      </c>
      <c r="F1212" s="71" t="n">
        <v>-0.5502159197012135</v>
      </c>
    </row>
    <row r="1213">
      <c r="B1213" s="70" t="n">
        <v>45924</v>
      </c>
      <c r="C1213" s="137" t="n">
        <v>252.0656433105469</v>
      </c>
      <c r="D1213" s="137" t="n">
        <v>6637.97021484375</v>
      </c>
      <c r="E1213" s="71" t="n">
        <v>-0.8332364839943929</v>
      </c>
      <c r="F1213" s="71" t="n">
        <v>-0.2846617843333288</v>
      </c>
    </row>
    <row r="1214">
      <c r="B1214" s="70" t="n">
        <v>45925</v>
      </c>
      <c r="C1214" s="137" t="n">
        <v>256.6212158203125</v>
      </c>
      <c r="D1214" s="137" t="n">
        <v>6604.72021484375</v>
      </c>
      <c r="E1214" s="71" t="n">
        <v>1.807296087612031</v>
      </c>
      <c r="F1214" s="71" t="n">
        <v>-0.500906134312662</v>
      </c>
    </row>
    <row r="1215">
      <c r="B1215" s="70" t="n">
        <v>45926</v>
      </c>
      <c r="C1215" s="137" t="n">
        <v>255.2126007080078</v>
      </c>
      <c r="D1215" s="137" t="n">
        <v>6643.7001953125</v>
      </c>
      <c r="E1215" s="71" t="n">
        <v>-0.5489082840644866</v>
      </c>
      <c r="F1215" s="71" t="n">
        <v>0.5901836747171263</v>
      </c>
    </row>
    <row r="1216">
      <c r="B1216" s="70" t="n">
        <v>45929</v>
      </c>
      <c r="C1216" s="137" t="n">
        <v>254.18359375</v>
      </c>
      <c r="D1216" s="137" t="n">
        <v>6661.2099609375</v>
      </c>
      <c r="E1216" s="71" t="n">
        <v>-0.4031959845059219</v>
      </c>
      <c r="F1216" s="71" t="n">
        <v>0.263554421636214</v>
      </c>
    </row>
    <row r="1217">
      <c r="B1217" s="70" t="n">
        <v>45930</v>
      </c>
      <c r="C1217" s="137" t="n">
        <v>254.3834075927734</v>
      </c>
      <c r="D1217" s="137" t="n">
        <v>6688.4599609375</v>
      </c>
      <c r="E1217" s="71" t="n">
        <v>0.07861004710238984</v>
      </c>
      <c r="F1217" s="71" t="n">
        <v>0.4090848383371704</v>
      </c>
    </row>
    <row r="1218">
      <c r="B1218" s="70" t="n">
        <v>45931</v>
      </c>
      <c r="C1218" s="137" t="n">
        <v>255.2026062011719</v>
      </c>
      <c r="D1218" s="137" t="n">
        <v>6711.2001953125</v>
      </c>
      <c r="E1218" s="71" t="n">
        <v>0.3220330351537237</v>
      </c>
      <c r="F1218" s="71" t="n">
        <v>0.3399920834961989</v>
      </c>
    </row>
    <row r="1219">
      <c r="B1219" s="70" t="n">
        <v>45932</v>
      </c>
      <c r="C1219" s="137" t="n">
        <v>256.8809814453125</v>
      </c>
      <c r="D1219" s="137" t="n">
        <v>6715.35009765625</v>
      </c>
      <c r="E1219" s="71" t="n">
        <v>0.6576638338942287</v>
      </c>
      <c r="F1219" s="71" t="n">
        <v>0.06183547238911569</v>
      </c>
    </row>
    <row r="1220">
      <c r="B1220" s="70" t="n">
        <v>45933</v>
      </c>
      <c r="C1220" s="137" t="n">
        <v>257.7701110839844</v>
      </c>
      <c r="D1220" s="137" t="n">
        <v>6715.7900390625</v>
      </c>
      <c r="E1220" s="71" t="n">
        <v>0.3461251329971216</v>
      </c>
      <c r="F1220" s="71" t="n">
        <v>0.006551280273581206</v>
      </c>
    </row>
    <row r="1221">
      <c r="B1221" s="70" t="n">
        <v>45936</v>
      </c>
      <c r="C1221" s="137" t="n">
        <v>256.44140625</v>
      </c>
      <c r="D1221" s="137" t="n">
        <v>6740.27978515625</v>
      </c>
      <c r="E1221" s="71" t="n">
        <v>-0.5154611713502621</v>
      </c>
      <c r="F1221" s="71" t="n">
        <v>0.3646591979693303</v>
      </c>
    </row>
    <row r="1222">
      <c r="B1222" s="70" t="n">
        <v>45937</v>
      </c>
      <c r="C1222" s="137" t="n">
        <v>256.2316284179688</v>
      </c>
      <c r="D1222" s="137" t="n">
        <v>6714.58984375</v>
      </c>
      <c r="E1222" s="71" t="n">
        <v>-0.08180341665522395</v>
      </c>
      <c r="F1222" s="71" t="n">
        <v>-0.3811405791021572</v>
      </c>
    </row>
    <row r="1223">
      <c r="B1223" s="70" t="n">
        <v>45938</v>
      </c>
      <c r="C1223" s="137" t="n">
        <v>257.8100891113281</v>
      </c>
      <c r="D1223" s="137" t="n">
        <v>6753.72021484375</v>
      </c>
      <c r="E1223" s="71" t="n">
        <v>0.6160288263806768</v>
      </c>
      <c r="F1223" s="71" t="n">
        <v>0.5827663640568082</v>
      </c>
    </row>
    <row r="1224">
      <c r="B1224" s="70" t="n">
        <v>45939</v>
      </c>
      <c r="C1224" s="137" t="n">
        <v>253.7939605712891</v>
      </c>
      <c r="D1224" s="137" t="n">
        <v>6735.10986328125</v>
      </c>
      <c r="E1224" s="71" t="n">
        <v>-1.557785637436704</v>
      </c>
      <c r="F1224" s="71" t="n">
        <v>-0.2755570407195318</v>
      </c>
    </row>
    <row r="1225">
      <c r="B1225" s="70" t="n">
        <v>45940</v>
      </c>
      <c r="C1225" s="137" t="n">
        <v>245.032470703125</v>
      </c>
      <c r="D1225" s="137" t="n">
        <v>6552.509765625</v>
      </c>
      <c r="E1225" s="71" t="n">
        <v>-3.452205816262144</v>
      </c>
      <c r="F1225" s="71" t="n">
        <v>-2.711167321141361</v>
      </c>
    </row>
    <row r="1226">
      <c r="B1226" s="70" t="n">
        <v>45943</v>
      </c>
      <c r="C1226" s="137" t="n">
        <v>247.4201507568359</v>
      </c>
      <c r="D1226" s="137" t="n">
        <v>6654.72021484375</v>
      </c>
      <c r="E1226" s="71" t="n">
        <v>0.9744341420789837</v>
      </c>
      <c r="F1226" s="71" t="n">
        <v>1.559867178755758</v>
      </c>
    </row>
    <row r="1227">
      <c r="B1227" s="70" t="n">
        <v>45944</v>
      </c>
      <c r="C1227" s="137" t="n">
        <v>247.5300445556641</v>
      </c>
      <c r="D1227" s="137" t="n">
        <v>6644.31005859375</v>
      </c>
      <c r="E1227" s="71" t="n">
        <v>0.04441586446861656</v>
      </c>
      <c r="F1227" s="71" t="n">
        <v>-0.1564326660462689</v>
      </c>
    </row>
    <row r="1228">
      <c r="B1228" s="70" t="n">
        <v>45945</v>
      </c>
      <c r="C1228" s="137" t="n">
        <v>249.0985260009766</v>
      </c>
      <c r="D1228" s="137" t="n">
        <v>6671.06005859375</v>
      </c>
      <c r="E1228" s="71" t="n">
        <v>0.6336529564029414</v>
      </c>
      <c r="F1228" s="71" t="n">
        <v>0.4026001159503689</v>
      </c>
    </row>
    <row r="1229">
      <c r="B1229" s="70" t="n">
        <v>45946</v>
      </c>
      <c r="C1229" s="137" t="n">
        <v>247.2103576660156</v>
      </c>
      <c r="D1229" s="137" t="n">
        <v>6629.06982421875</v>
      </c>
      <c r="E1229" s="71" t="n">
        <v>-0.7580006053321986</v>
      </c>
      <c r="F1229" s="71" t="n">
        <v>-0.6294387099829435</v>
      </c>
    </row>
    <row r="1230">
      <c r="B1230" s="70" t="n">
        <v>45947</v>
      </c>
      <c r="C1230" s="137" t="n">
        <v>252.045654296875</v>
      </c>
      <c r="D1230" s="137" t="n">
        <v>6664.009765625</v>
      </c>
      <c r="E1230" s="71" t="n">
        <v>1.955944191218695</v>
      </c>
      <c r="F1230" s="71" t="n">
        <v>0.5270715550257155</v>
      </c>
    </row>
    <row r="1231">
      <c r="B1231" s="70" t="n">
        <v>45950</v>
      </c>
      <c r="C1231" s="137" t="n">
        <v>261.9860229492188</v>
      </c>
      <c r="D1231" s="137" t="n">
        <v>6735.1298828125</v>
      </c>
      <c r="E1231" s="71" t="n">
        <v>3.943876231500276</v>
      </c>
      <c r="F1231" s="71" t="n">
        <v>1.067227085325695</v>
      </c>
    </row>
    <row r="1232">
      <c r="B1232" s="70" t="n">
        <v>45951</v>
      </c>
      <c r="C1232" s="137" t="n">
        <v>262.5155029296875</v>
      </c>
      <c r="D1232" s="137" t="n">
        <v>6735.35009765625</v>
      </c>
      <c r="E1232" s="71" t="n">
        <v>0.2021023772597719</v>
      </c>
      <c r="F1232" s="71" t="n">
        <v>0.003269645093428863</v>
      </c>
    </row>
    <row r="1233">
      <c r="B1233" s="70" t="n">
        <v>45952</v>
      </c>
      <c r="C1233" s="137" t="n">
        <v>258.19970703125</v>
      </c>
      <c r="D1233" s="137" t="n">
        <v>6699.39990234375</v>
      </c>
      <c r="E1233" s="71" t="n">
        <v>-1.644015629657292</v>
      </c>
      <c r="F1233" s="71" t="n">
        <v>-0.5337539220865439</v>
      </c>
    </row>
    <row r="1234">
      <c r="B1234" s="70" t="n">
        <v>45953</v>
      </c>
      <c r="C1234" s="137" t="n">
        <v>259.3285827636719</v>
      </c>
      <c r="D1234" s="137" t="n">
        <v>6738.43994140625</v>
      </c>
      <c r="E1234" s="71" t="n">
        <v>0.4372103072468825</v>
      </c>
      <c r="F1234" s="71" t="n">
        <v>0.5827393442932483</v>
      </c>
    </row>
    <row r="1235">
      <c r="B1235" s="70" t="n">
        <v>45954</v>
      </c>
      <c r="C1235" s="137" t="n">
        <v>262.5654907226562</v>
      </c>
      <c r="D1235" s="137" t="n">
        <v>6791.68994140625</v>
      </c>
      <c r="E1235" s="71" t="n">
        <v>1.24818788753962</v>
      </c>
      <c r="F1235" s="71" t="n">
        <v>0.7902422587873881</v>
      </c>
    </row>
    <row r="1236">
      <c r="B1236" s="70" t="n">
        <v>45957</v>
      </c>
      <c r="C1236" s="137" t="n">
        <v>268.5496520996094</v>
      </c>
      <c r="D1236" s="137" t="n">
        <v>6875.16015625</v>
      </c>
      <c r="E1236" s="71" t="n">
        <v>2.279111912415854</v>
      </c>
      <c r="F1236" s="71" t="n">
        <v>1.229005086567114</v>
      </c>
    </row>
    <row r="1237">
      <c r="B1237" s="70" t="n">
        <v>45958</v>
      </c>
      <c r="C1237" s="137" t="n">
        <v>268.7394714355469</v>
      </c>
      <c r="D1237" s="137" t="n">
        <v>6890.89013671875</v>
      </c>
      <c r="E1237" s="71" t="n">
        <v>0.07068314349076843</v>
      </c>
      <c r="F1237" s="71" t="n">
        <v>0.2287943860398656</v>
      </c>
    </row>
    <row r="1238">
      <c r="B1238" s="70" t="n">
        <v>45959</v>
      </c>
      <c r="C1238" s="137" t="n">
        <v>269.4388122558594</v>
      </c>
      <c r="D1238" s="137" t="n">
        <v>6890.58984375</v>
      </c>
      <c r="E1238" s="71" t="n">
        <v>0.2602300349021203</v>
      </c>
      <c r="F1238" s="71" t="n">
        <v>-0.004357825517342651</v>
      </c>
    </row>
    <row r="1239">
      <c r="B1239" s="70" t="n">
        <v>45960</v>
      </c>
      <c r="C1239" s="137" t="n">
        <v>271.1371459960938</v>
      </c>
      <c r="D1239" s="137" t="n">
        <v>6822.33984375</v>
      </c>
      <c r="E1239" s="71" t="n">
        <v>0.6303226049785726</v>
      </c>
      <c r="F1239" s="71" t="n">
        <v>-0.9904812439519239</v>
      </c>
    </row>
    <row r="1240">
      <c r="B1240" s="70" t="n">
        <v>45961</v>
      </c>
      <c r="C1240" s="137" t="n">
        <v>270.108154296875</v>
      </c>
      <c r="D1240" s="137" t="n">
        <v>6840.2001953125</v>
      </c>
      <c r="E1240" s="71" t="n">
        <v>-0.3795096741313508</v>
      </c>
      <c r="F1240" s="71" t="n">
        <v>0.26179217059763</v>
      </c>
    </row>
    <row r="1241">
      <c r="B1241" s="70" t="n">
        <v>45964</v>
      </c>
      <c r="C1241" s="137" t="n">
        <v>268.7894287109375</v>
      </c>
      <c r="D1241" s="137" t="n">
        <v>6851.97021484375</v>
      </c>
      <c r="E1241" s="71" t="n">
        <v>-0.4882213161503057</v>
      </c>
      <c r="F1241" s="71" t="n">
        <v>0.1720712726992479</v>
      </c>
    </row>
    <row r="1242">
      <c r="B1242" s="70" t="n">
        <v>45965</v>
      </c>
      <c r="C1242" s="137" t="n">
        <v>269.7784729003906</v>
      </c>
      <c r="D1242" s="137" t="n">
        <v>6771.5498046875</v>
      </c>
      <c r="E1242" s="71" t="n">
        <v>0.3679624582694219</v>
      </c>
      <c r="F1242" s="71" t="n">
        <v>-1.173683008458382</v>
      </c>
    </row>
    <row r="1243">
      <c r="B1243" s="70" t="n">
        <v>45966</v>
      </c>
      <c r="C1243" s="137" t="n">
        <v>269.8783874511719</v>
      </c>
      <c r="D1243" s="137" t="n">
        <v>6796.2900390625</v>
      </c>
      <c r="E1243" s="71" t="n">
        <v>0.03703577594871277</v>
      </c>
      <c r="F1243" s="71" t="n">
        <v>0.3653555698264865</v>
      </c>
    </row>
    <row r="1244">
      <c r="B1244" s="70" t="n">
        <v>45967</v>
      </c>
      <c r="C1244" s="137" t="n">
        <v>269.5087280273438</v>
      </c>
      <c r="D1244" s="137" t="n">
        <v>6720.31982421875</v>
      </c>
      <c r="E1244" s="71" t="n">
        <v>-0.1369725924774023</v>
      </c>
      <c r="F1244" s="71" t="n">
        <v>-1.117818904241907</v>
      </c>
    </row>
    <row r="1245">
      <c r="B1245" s="70" t="n">
        <v>45968</v>
      </c>
      <c r="C1245" s="137" t="n">
        <v>268.2099914550781</v>
      </c>
      <c r="D1245" s="137" t="n">
        <v>6728.7998046875</v>
      </c>
      <c r="E1245" s="71" t="n">
        <v>-0.4818903572332278</v>
      </c>
      <c r="F1245" s="71" t="n">
        <v>0.1261841800771046</v>
      </c>
    </row>
    <row r="1246">
      <c r="B1246" s="70" t="n">
        <v>45971</v>
      </c>
      <c r="C1246" s="137" t="n">
        <v>269.4299926757812</v>
      </c>
      <c r="D1246" s="137" t="n">
        <v>6832.43017578125</v>
      </c>
      <c r="E1246" s="71" t="n">
        <v>0.4548679242277309</v>
      </c>
      <c r="F1246" s="71" t="n">
        <v>1.540101862170995</v>
      </c>
    </row>
    <row r="1247">
      <c r="B1247" s="70" t="n">
        <v>45972</v>
      </c>
      <c r="C1247" s="137" t="n">
        <v>275.25</v>
      </c>
      <c r="D1247" s="137" t="n">
        <v>6846.60986328125</v>
      </c>
      <c r="E1247" s="71" t="n">
        <v>2.160118577155701</v>
      </c>
      <c r="F1247" s="71" t="n">
        <v>0.2075350517340535</v>
      </c>
    </row>
    <row r="1248">
      <c r="B1248" s="70" t="n">
        <v>45973</v>
      </c>
      <c r="C1248" s="137" t="n">
        <v>273.4700012207031</v>
      </c>
      <c r="D1248" s="137" t="n">
        <v>6850.919921875</v>
      </c>
      <c r="E1248" s="71" t="n">
        <v>-0.6466843884820661</v>
      </c>
      <c r="F1248" s="71" t="n">
        <v>0.06295171887717999</v>
      </c>
    </row>
    <row r="1249">
      <c r="B1249" s="70" t="n">
        <v>45974</v>
      </c>
      <c r="C1249" s="137" t="n">
        <v>272.9500122070312</v>
      </c>
      <c r="D1249" s="137" t="n">
        <v>6737.490234375</v>
      </c>
      <c r="E1249" s="71" t="n">
        <v>-0.1901448097966218</v>
      </c>
      <c r="F1249" s="71" t="n">
        <v>-1.655685496159698</v>
      </c>
    </row>
    <row r="1250">
      <c r="B1250" s="70" t="n">
        <v>45975</v>
      </c>
      <c r="C1250" s="137" t="n">
        <v>272.4100036621094</v>
      </c>
      <c r="D1250" s="137" t="n">
        <v>6734.10986328125</v>
      </c>
      <c r="E1250" s="71" t="n">
        <v>-0.1978415536806111</v>
      </c>
      <c r="F1250" s="71" t="n">
        <v>-0.05017255648851471</v>
      </c>
    </row>
    <row r="1251">
      <c r="B1251" s="70" t="n">
        <v>45978</v>
      </c>
      <c r="C1251" s="137" t="n">
        <v>267.4599914550781</v>
      </c>
      <c r="D1251" s="137" t="n">
        <v>6672.41015625</v>
      </c>
      <c r="E1251" s="71" t="n">
        <v>-1.817118365877313</v>
      </c>
      <c r="F1251" s="71" t="n">
        <v>-0.9162266176807821</v>
      </c>
    </row>
    <row r="1252">
      <c r="B1252" s="70" t="n">
        <v>45979</v>
      </c>
      <c r="C1252" s="137" t="n">
        <v>267.4400024414062</v>
      </c>
      <c r="D1252" s="137" t="n">
        <v>6617.31982421875</v>
      </c>
      <c r="E1252" s="71" t="n">
        <v>-0.007473646268807421</v>
      </c>
      <c r="F1252" s="71" t="n">
        <v>-0.8256436690967983</v>
      </c>
    </row>
    <row r="1253">
      <c r="B1253" s="70" t="n">
        <v>45980</v>
      </c>
      <c r="C1253" s="137" t="n">
        <v>268.5599975585938</v>
      </c>
      <c r="D1253" s="137" t="n">
        <v>6642.16015625</v>
      </c>
      <c r="E1253" s="71" t="n">
        <v>0.4187836924033128</v>
      </c>
      <c r="F1253" s="71" t="n">
        <v>0.3753835796229232</v>
      </c>
    </row>
    <row r="1254">
      <c r="B1254" s="70" t="n">
        <v>45981</v>
      </c>
      <c r="C1254" s="137" t="n">
        <v>266.25</v>
      </c>
      <c r="D1254" s="137" t="n">
        <v>6538.759765625</v>
      </c>
      <c r="E1254" s="71" t="n">
        <v>-0.8601420835542828</v>
      </c>
      <c r="F1254" s="71" t="n">
        <v>-1.556728356327042</v>
      </c>
    </row>
    <row r="1255">
      <c r="B1255" s="70" t="n">
        <v>45982</v>
      </c>
      <c r="C1255" s="137" t="n">
        <v>271.489990234375</v>
      </c>
      <c r="D1255" s="137" t="n">
        <v>6602.990234375</v>
      </c>
      <c r="E1255" s="71" t="n">
        <v>1.968071449530506</v>
      </c>
      <c r="F1255" s="71" t="n">
        <v>0.9823035415319481</v>
      </c>
    </row>
    <row r="1256">
      <c r="B1256" s="70" t="n">
        <v>45985</v>
      </c>
      <c r="C1256" s="137" t="n">
        <v>275.9200134277344</v>
      </c>
      <c r="D1256" s="137" t="n">
        <v>6705.1201171875</v>
      </c>
      <c r="E1256" s="71" t="n">
        <v>1.63174457722548</v>
      </c>
      <c r="F1256" s="71" t="n">
        <v>1.54672170012935</v>
      </c>
    </row>
    <row r="1257">
      <c r="B1257" s="70" t="n">
        <v>45986</v>
      </c>
      <c r="C1257" s="137" t="n">
        <v>276.9700012207031</v>
      </c>
      <c r="D1257" s="137" t="n">
        <v>6765.8798828125</v>
      </c>
      <c r="E1257" s="71" t="n">
        <v>0.3805406428931457</v>
      </c>
      <c r="F1257" s="71" t="n">
        <v>0.9061696817220577</v>
      </c>
    </row>
    <row r="1258">
      <c r="B1258" s="70" t="n">
        <v>45987</v>
      </c>
      <c r="C1258" s="137" t="n">
        <v>277.5499877929688</v>
      </c>
      <c r="D1258" s="137" t="n">
        <v>6812.60986328125</v>
      </c>
      <c r="E1258" s="71" t="n">
        <v>0.2094041122538526</v>
      </c>
      <c r="F1258" s="71" t="n">
        <v>0.6906711511012631</v>
      </c>
    </row>
    <row r="1259">
      <c r="B1259" s="70" t="n">
        <v>45989</v>
      </c>
      <c r="C1259" s="137" t="n">
        <v>278.8500061035156</v>
      </c>
      <c r="D1259" s="137" t="n">
        <v>6849.08984375</v>
      </c>
      <c r="E1259" s="71" t="n">
        <v>0.4683906927484882</v>
      </c>
      <c r="F1259" s="71" t="n">
        <v>0.5354773163420257</v>
      </c>
    </row>
    <row r="1260">
      <c r="B1260" s="70" t="n">
        <v>45992</v>
      </c>
      <c r="C1260" s="137" t="n">
        <v>283.1000061035156</v>
      </c>
      <c r="D1260" s="137" t="n">
        <v>6812.6298828125</v>
      </c>
      <c r="E1260" s="71" t="n">
        <v>1.524116875372172</v>
      </c>
      <c r="F1260" s="71" t="n">
        <v>-0.5323329342915684</v>
      </c>
    </row>
    <row r="1261">
      <c r="B1261" s="70" t="n">
        <v>45993</v>
      </c>
      <c r="C1261" s="137" t="n">
        <v>285.5046997070312</v>
      </c>
      <c r="D1261" s="137" t="n">
        <v>6812.7099609375</v>
      </c>
      <c r="E1261" s="71" t="n">
        <v>0.8494148893222864</v>
      </c>
      <c r="F1261" s="71" t="n">
        <v>0.001175436305467237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B2:N49"/>
  <sheetViews>
    <sheetView showGridLines="0" workbookViewId="0">
      <selection activeCell="L32" sqref="L32"/>
    </sheetView>
  </sheetViews>
  <sheetFormatPr baseColWidth="8" defaultColWidth="12.88671875" defaultRowHeight="14.4"/>
  <cols>
    <col width="2.88671875" customWidth="1" min="1" max="1"/>
    <col width="21.109375" customWidth="1" min="2" max="2"/>
    <col width="2.88671875" customWidth="1" min="3" max="3"/>
  </cols>
  <sheetData>
    <row r="2" ht="21.6" customHeight="1">
      <c r="B2" s="15" t="inlineStr">
        <is>
          <t>"Company Name" DCF Analysis (UNITS)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</row>
    <row r="3" ht="16.8" customHeight="1">
      <c r="B3" s="1" t="n"/>
      <c r="C3" s="1" t="n"/>
      <c r="D3" s="1" t="n"/>
      <c r="E3" s="1" t="n"/>
      <c r="F3" s="1" t="n"/>
      <c r="G3" s="2" t="n"/>
      <c r="H3" s="1" t="n"/>
      <c r="I3" s="1" t="n"/>
      <c r="J3" s="1" t="n"/>
    </row>
    <row r="4" ht="16.8" customHeight="1">
      <c r="B4" s="17" t="inlineStr">
        <is>
          <t>WACC</t>
        </is>
      </c>
      <c r="C4" s="16" t="n"/>
      <c r="D4" s="16" t="n"/>
      <c r="E4" s="16" t="n"/>
      <c r="F4" s="1" t="n"/>
      <c r="G4" s="17" t="inlineStr">
        <is>
          <t xml:space="preserve">Other Assumptions </t>
        </is>
      </c>
      <c r="H4" s="16" t="n"/>
      <c r="I4" s="16" t="n"/>
      <c r="J4" s="16" t="n"/>
    </row>
    <row r="5" ht="16.8" customHeight="1">
      <c r="B5" s="3" t="inlineStr">
        <is>
          <t xml:space="preserve">Beta </t>
        </is>
      </c>
      <c r="C5" s="1" t="n"/>
      <c r="D5" s="1" t="n"/>
      <c r="E5" s="30" t="inlineStr">
        <is>
          <t>#</t>
        </is>
      </c>
      <c r="F5" s="1" t="n"/>
      <c r="G5" s="1" t="inlineStr">
        <is>
          <t xml:space="preserve">Fiscal Year End </t>
        </is>
      </c>
      <c r="H5" s="1" t="n"/>
      <c r="I5" s="1" t="n"/>
      <c r="J5" s="28" t="n">
        <v>46022</v>
      </c>
    </row>
    <row r="6" ht="16.8" customHeight="1">
      <c r="B6" s="3" t="inlineStr">
        <is>
          <t xml:space="preserve">Market Risk Premium </t>
        </is>
      </c>
      <c r="C6" s="1" t="n"/>
      <c r="D6" s="1" t="n"/>
      <c r="E6" s="31" t="inlineStr">
        <is>
          <t>#</t>
        </is>
      </c>
      <c r="F6" s="1" t="n"/>
      <c r="G6" s="3" t="inlineStr">
        <is>
          <t xml:space="preserve">LTGR </t>
        </is>
      </c>
      <c r="H6" s="1" t="n"/>
      <c r="I6" s="1" t="n"/>
      <c r="J6" s="24" t="n">
        <v>0.02</v>
      </c>
    </row>
    <row r="7" ht="16.8" customHeight="1">
      <c r="B7" s="3" t="inlineStr">
        <is>
          <t xml:space="preserve">Risk Free Rate </t>
        </is>
      </c>
      <c r="C7" s="1" t="n"/>
      <c r="D7" s="1" t="n"/>
      <c r="E7" s="31" t="inlineStr">
        <is>
          <t>#</t>
        </is>
      </c>
      <c r="F7" s="1" t="n"/>
      <c r="G7" s="3" t="inlineStr">
        <is>
          <t>Cash &amp; Equivalents</t>
        </is>
      </c>
      <c r="H7" s="1" t="n"/>
      <c r="I7" s="1" t="n"/>
      <c r="J7" s="25" t="inlineStr">
        <is>
          <t>#</t>
        </is>
      </c>
      <c r="L7" s="53" t="inlineStr">
        <is>
          <t>1 year (4 Quarters) historical and forecasted</t>
        </is>
      </c>
      <c r="M7" s="54" t="n"/>
      <c r="N7" s="54" t="n"/>
    </row>
    <row r="8" ht="16.8" customHeight="1">
      <c r="B8" s="3" t="inlineStr">
        <is>
          <t xml:space="preserve">Cost of Equity </t>
        </is>
      </c>
      <c r="C8" s="1" t="n"/>
      <c r="D8" s="1" t="n"/>
      <c r="E8" s="32">
        <f>E7+(E5*E6)</f>
        <v/>
      </c>
      <c r="F8" s="1" t="n"/>
      <c r="G8" s="3" t="inlineStr">
        <is>
          <t>Diluted S/O</t>
        </is>
      </c>
      <c r="H8" s="1" t="n"/>
      <c r="I8" s="1" t="n"/>
      <c r="J8" s="26" t="inlineStr">
        <is>
          <t>#</t>
        </is>
      </c>
    </row>
    <row r="9" ht="16.8" customHeight="1">
      <c r="B9" s="3" t="inlineStr">
        <is>
          <t xml:space="preserve">Weight of Equity </t>
        </is>
      </c>
      <c r="C9" s="1" t="n"/>
      <c r="D9" s="1" t="n"/>
      <c r="E9" s="32">
        <f>J10/SUM(J10:J11)</f>
        <v/>
      </c>
      <c r="F9" s="1" t="n"/>
      <c r="G9" s="3" t="inlineStr">
        <is>
          <t xml:space="preserve">Current Price </t>
        </is>
      </c>
      <c r="H9" s="1" t="n"/>
      <c r="I9" s="1" t="n"/>
      <c r="J9" s="27" t="inlineStr">
        <is>
          <t>#</t>
        </is>
      </c>
    </row>
    <row r="10" ht="16.8" customHeight="1">
      <c r="B10" s="3" t="inlineStr">
        <is>
          <t xml:space="preserve">Cost of Debt </t>
        </is>
      </c>
      <c r="C10" s="1" t="n"/>
      <c r="D10" s="1" t="n"/>
      <c r="E10" s="33" t="inlineStr">
        <is>
          <t>#</t>
        </is>
      </c>
      <c r="F10" s="1" t="n"/>
      <c r="G10" s="3" t="inlineStr">
        <is>
          <t xml:space="preserve">Mkt Cap </t>
        </is>
      </c>
      <c r="H10" s="1" t="n"/>
      <c r="I10" s="1" t="n"/>
      <c r="J10" s="29">
        <f>J8*J9</f>
        <v/>
      </c>
    </row>
    <row r="11" ht="16.8" customHeight="1">
      <c r="B11" s="5" t="inlineStr">
        <is>
          <t xml:space="preserve">After Tax CoD </t>
        </is>
      </c>
      <c r="C11" s="1" t="n"/>
      <c r="D11" s="1" t="n"/>
      <c r="E11" s="32">
        <f>E10*(1-E13)</f>
        <v/>
      </c>
      <c r="F11" s="1" t="n"/>
      <c r="G11" s="3" t="inlineStr">
        <is>
          <t xml:space="preserve">BV debt </t>
        </is>
      </c>
      <c r="H11" s="1" t="n"/>
      <c r="I11" s="1" t="n"/>
      <c r="J11" s="26" t="n"/>
    </row>
    <row r="12" ht="16.8" customHeight="1">
      <c r="B12" s="3" t="inlineStr">
        <is>
          <t xml:space="preserve">Weight of Debt </t>
        </is>
      </c>
      <c r="C12" s="1" t="n"/>
      <c r="D12" s="1" t="n"/>
      <c r="E12" s="34">
        <f>1-E9</f>
        <v/>
      </c>
      <c r="F12" s="1" t="n"/>
      <c r="G12" s="1" t="inlineStr">
        <is>
          <t>Financial Units</t>
        </is>
      </c>
      <c r="H12" s="1" t="n"/>
      <c r="I12" s="1" t="n"/>
      <c r="J12" s="44" t="n"/>
    </row>
    <row r="13" ht="16.8" customHeight="1">
      <c r="B13" s="3" t="inlineStr">
        <is>
          <t xml:space="preserve">Tax Rate </t>
        </is>
      </c>
      <c r="C13" s="1" t="n"/>
      <c r="D13" s="1" t="n"/>
      <c r="E13" s="35" t="inlineStr">
        <is>
          <t>#</t>
        </is>
      </c>
      <c r="F13" s="1" t="n"/>
      <c r="G13" s="1" t="n"/>
      <c r="H13" s="1" t="n"/>
      <c r="I13" s="1" t="n"/>
      <c r="J13" s="1" t="n"/>
    </row>
    <row r="14" ht="17.4" customHeight="1" thickBot="1">
      <c r="B14" s="6" t="inlineStr">
        <is>
          <t xml:space="preserve">WACC </t>
        </is>
      </c>
      <c r="C14" s="6" t="n"/>
      <c r="D14" s="6" t="n"/>
      <c r="E14" s="46">
        <f>(E9*E8)+(E11*E12)</f>
        <v/>
      </c>
      <c r="F14" s="1" t="n"/>
      <c r="G14" s="1" t="n"/>
      <c r="H14" s="1" t="n"/>
      <c r="I14" s="1" t="n"/>
      <c r="J14" s="1" t="n"/>
    </row>
    <row r="15" ht="15" customHeight="1" thickTop="1"/>
    <row r="16" ht="16.8" customHeight="1">
      <c r="B16" s="18" t="inlineStr">
        <is>
          <t xml:space="preserve">Free Cash Flow  </t>
        </is>
      </c>
      <c r="C16" s="19" t="n"/>
      <c r="D16" s="19" t="inlineStr">
        <is>
          <t>Q1 "YEAR""A"</t>
        </is>
      </c>
      <c r="E16" s="19" t="inlineStr">
        <is>
          <t>Q2 "YEAR""A"</t>
        </is>
      </c>
      <c r="F16" s="19" t="inlineStr">
        <is>
          <t>Q3 "YEAR""A"</t>
        </is>
      </c>
      <c r="G16" s="19" t="inlineStr">
        <is>
          <t>Q4 "YEAR""A"</t>
        </is>
      </c>
      <c r="H16" s="19" t="inlineStr">
        <is>
          <t>"####"A</t>
        </is>
      </c>
      <c r="I16" s="19" t="inlineStr">
        <is>
          <t>Q1 "YEAR""E"</t>
        </is>
      </c>
      <c r="J16" s="19" t="inlineStr">
        <is>
          <t>Q2 "YEAR""E"</t>
        </is>
      </c>
      <c r="K16" s="19" t="inlineStr">
        <is>
          <t>Q3 "YEAR""E"</t>
        </is>
      </c>
      <c r="L16" s="19" t="inlineStr">
        <is>
          <t>Q4 "YEAR""E"</t>
        </is>
      </c>
      <c r="M16" s="19" t="inlineStr">
        <is>
          <t>"####"E</t>
        </is>
      </c>
    </row>
    <row r="17" ht="16.8" customHeight="1">
      <c r="B17" s="3" t="inlineStr">
        <is>
          <t xml:space="preserve">Revenue </t>
        </is>
      </c>
      <c r="C17" s="1" t="n"/>
      <c r="D17" s="1" t="inlineStr">
        <is>
          <t>HIST</t>
        </is>
      </c>
      <c r="E17" s="1" t="inlineStr">
        <is>
          <t>HIST</t>
        </is>
      </c>
      <c r="F17" s="1" t="inlineStr">
        <is>
          <t>HIST</t>
        </is>
      </c>
      <c r="G17" s="1" t="inlineStr">
        <is>
          <t>HIST</t>
        </is>
      </c>
      <c r="H17" s="1">
        <f>SUM(D17:G17)</f>
        <v/>
      </c>
      <c r="I17" s="1" t="inlineStr">
        <is>
          <t>Forecast Formula</t>
        </is>
      </c>
      <c r="J17" s="1" t="inlineStr">
        <is>
          <t>Forecast Formula</t>
        </is>
      </c>
      <c r="K17" s="1" t="inlineStr">
        <is>
          <t>Forecast Formula</t>
        </is>
      </c>
      <c r="L17" s="1" t="inlineStr">
        <is>
          <t>Forecast Formula</t>
        </is>
      </c>
      <c r="M17" s="1">
        <f>SUM(I17:L17)</f>
        <v/>
      </c>
    </row>
    <row r="18" ht="16.8" customHeight="1">
      <c r="B18" s="37" t="inlineStr">
        <is>
          <t xml:space="preserve">Revenue Growth (%) </t>
        </is>
      </c>
      <c r="C18" s="1" t="n"/>
      <c r="D18" s="1" t="n"/>
      <c r="E18" s="69">
        <f>IFERROR(E17/D17-1,"")</f>
        <v/>
      </c>
      <c r="F18" s="69">
        <f>IFERROR(F17/E17-1,"")</f>
        <v/>
      </c>
      <c r="G18" s="69">
        <f>IFERROR(G17/F17-1,"")</f>
        <v/>
      </c>
      <c r="H18" s="1" t="n"/>
      <c r="I18" s="1">
        <f>I17/H17-1</f>
        <v/>
      </c>
      <c r="J18" s="1">
        <f>J17/I17-1</f>
        <v/>
      </c>
      <c r="K18" s="1">
        <f>K17/J17-1</f>
        <v/>
      </c>
      <c r="L18" s="1">
        <f>L17/K17-1</f>
        <v/>
      </c>
      <c r="M18" s="1" t="n"/>
    </row>
    <row r="19" ht="16.8" customHeight="1">
      <c r="B19" s="3" t="inlineStr">
        <is>
          <t xml:space="preserve">(-) COGS </t>
        </is>
      </c>
      <c r="C19" s="1" t="n"/>
      <c r="D19" s="1" t="inlineStr">
        <is>
          <t>HIST</t>
        </is>
      </c>
      <c r="E19" s="1" t="inlineStr">
        <is>
          <t>HIST</t>
        </is>
      </c>
      <c r="F19" s="1" t="inlineStr">
        <is>
          <t>HIST</t>
        </is>
      </c>
      <c r="G19" s="1" t="inlineStr">
        <is>
          <t>HIST</t>
        </is>
      </c>
      <c r="H19" s="1">
        <f>SUM(D19:G19)</f>
        <v/>
      </c>
      <c r="I19" s="1" t="n"/>
      <c r="J19" s="1" t="n"/>
      <c r="K19" s="1" t="n"/>
      <c r="L19" s="1" t="n"/>
      <c r="M19" s="1">
        <f>SUM(I19:L19)</f>
        <v/>
      </c>
    </row>
    <row r="20" ht="16.8" customHeight="1">
      <c r="B20" s="8" t="inlineStr">
        <is>
          <t xml:space="preserve">GP </t>
        </is>
      </c>
      <c r="C20" s="22" t="n"/>
      <c r="D20" s="22">
        <f>D17+D19</f>
        <v/>
      </c>
      <c r="E20" s="22">
        <f>E17+E19</f>
        <v/>
      </c>
      <c r="F20" s="22">
        <f>F17+F19</f>
        <v/>
      </c>
      <c r="G20" s="22">
        <f>G17+G19</f>
        <v/>
      </c>
      <c r="H20" s="22">
        <f>H17+H19</f>
        <v/>
      </c>
      <c r="I20" s="22">
        <f>I17+I19</f>
        <v/>
      </c>
      <c r="J20" s="22">
        <f>J17+J19</f>
        <v/>
      </c>
      <c r="K20" s="22">
        <f>K17+K19</f>
        <v/>
      </c>
      <c r="L20" s="22">
        <f>L17+L19</f>
        <v/>
      </c>
      <c r="M20" s="22">
        <f>M17+M19</f>
        <v/>
      </c>
    </row>
    <row r="21" ht="16.8" customHeight="1">
      <c r="B21" s="37" t="inlineStr">
        <is>
          <t xml:space="preserve">GP Margin (%) </t>
        </is>
      </c>
      <c r="C21" s="1" t="n"/>
      <c r="D21" s="20">
        <f>D19/D17</f>
        <v/>
      </c>
      <c r="E21" s="20">
        <f>E19/E17</f>
        <v/>
      </c>
      <c r="F21" s="20">
        <f>F19/F17</f>
        <v/>
      </c>
      <c r="G21" s="20">
        <f>G19/G17</f>
        <v/>
      </c>
      <c r="H21" s="20">
        <f>H19/H17</f>
        <v/>
      </c>
      <c r="I21" s="20">
        <f>I19/I17</f>
        <v/>
      </c>
      <c r="J21" s="20">
        <f>J19/J17</f>
        <v/>
      </c>
      <c r="K21" s="20">
        <f>K19/K17</f>
        <v/>
      </c>
      <c r="L21" s="20">
        <f>L19/L17</f>
        <v/>
      </c>
      <c r="M21" s="20">
        <f>M19/M17</f>
        <v/>
      </c>
    </row>
    <row r="22" ht="16.8" customHeight="1">
      <c r="B22" s="7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16.8" customHeight="1">
      <c r="B23" s="3" t="inlineStr">
        <is>
          <t>(-) Op Ex</t>
        </is>
      </c>
      <c r="C23" s="1" t="n"/>
      <c r="D23" s="1" t="inlineStr">
        <is>
          <t>HIST</t>
        </is>
      </c>
      <c r="E23" s="1" t="inlineStr">
        <is>
          <t>HIST</t>
        </is>
      </c>
      <c r="F23" s="1" t="inlineStr">
        <is>
          <t>HIST</t>
        </is>
      </c>
      <c r="G23" s="1" t="inlineStr">
        <is>
          <t>HIST</t>
        </is>
      </c>
      <c r="H23" s="1">
        <f>SUM(D23:G23)</f>
        <v/>
      </c>
      <c r="I23" s="1" t="inlineStr">
        <is>
          <t>Forecast Formula</t>
        </is>
      </c>
      <c r="J23" s="1" t="inlineStr">
        <is>
          <t>Forecast Formula</t>
        </is>
      </c>
      <c r="K23" s="1" t="inlineStr">
        <is>
          <t>Forecast Formula</t>
        </is>
      </c>
      <c r="L23" s="1" t="inlineStr">
        <is>
          <t>Forecast Formula</t>
        </is>
      </c>
      <c r="M23" s="1">
        <f>SUM(I23:L23)</f>
        <v/>
      </c>
    </row>
    <row r="24" ht="16.8" customHeight="1">
      <c r="B24" s="9" t="inlineStr">
        <is>
          <t xml:space="preserve">EBIT </t>
        </is>
      </c>
      <c r="C24" s="22" t="n"/>
      <c r="D24" s="22">
        <f>D20+D23</f>
        <v/>
      </c>
      <c r="E24" s="22">
        <f>E20+E23</f>
        <v/>
      </c>
      <c r="F24" s="22">
        <f>F20+F23</f>
        <v/>
      </c>
      <c r="G24" s="22">
        <f>G20+G23</f>
        <v/>
      </c>
      <c r="H24" s="22">
        <f>H20+H23</f>
        <v/>
      </c>
      <c r="I24" s="22">
        <f>I20+I23</f>
        <v/>
      </c>
      <c r="J24" s="22">
        <f>J20+J23</f>
        <v/>
      </c>
      <c r="K24" s="22">
        <f>K20+K23</f>
        <v/>
      </c>
      <c r="L24" s="22">
        <f>L20+L23</f>
        <v/>
      </c>
      <c r="M24" s="22">
        <f>M20+M23</f>
        <v/>
      </c>
    </row>
    <row r="25" ht="16.8" customHeight="1">
      <c r="B25" s="7" t="inlineStr">
        <is>
          <t>EBIT Margin (%)</t>
        </is>
      </c>
      <c r="C25" s="1" t="n"/>
      <c r="D25" s="69">
        <f>D24/D17</f>
        <v/>
      </c>
      <c r="E25" s="69">
        <f>E24/E17</f>
        <v/>
      </c>
      <c r="F25" s="69">
        <f>F24/F17</f>
        <v/>
      </c>
      <c r="G25" s="69">
        <f>G24/G17</f>
        <v/>
      </c>
      <c r="H25" s="20">
        <f>H23/H17</f>
        <v/>
      </c>
      <c r="I25" s="20">
        <f>I23/I17</f>
        <v/>
      </c>
      <c r="J25" s="20">
        <f>J23/J17</f>
        <v/>
      </c>
      <c r="K25" s="20">
        <f>K23/K17</f>
        <v/>
      </c>
      <c r="L25" s="20">
        <f>L23/L17</f>
        <v/>
      </c>
      <c r="M25" s="20">
        <f>M23/M17</f>
        <v/>
      </c>
    </row>
    <row r="26" ht="16.8" customHeight="1">
      <c r="B26" s="7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16.8" customHeight="1">
      <c r="B27" s="10" t="inlineStr">
        <is>
          <t xml:space="preserve">NOPAT </t>
        </is>
      </c>
      <c r="C27" s="1" t="n"/>
      <c r="D27" s="47">
        <f>D24*(1-$E$13)</f>
        <v/>
      </c>
      <c r="E27" s="47">
        <f>E24*(1-$E$13)</f>
        <v/>
      </c>
      <c r="F27" s="47">
        <f>F24*(1-$E$13)</f>
        <v/>
      </c>
      <c r="G27" s="47">
        <f>G24*(1-$E$13)</f>
        <v/>
      </c>
      <c r="H27" s="47">
        <f>H24*(1-$E$13)</f>
        <v/>
      </c>
      <c r="I27" s="47">
        <f>I24*(1-$E$13)</f>
        <v/>
      </c>
      <c r="J27" s="47">
        <f>J24*(1-$E$13)</f>
        <v/>
      </c>
      <c r="K27" s="47">
        <f>K24*(1-$E$13)</f>
        <v/>
      </c>
      <c r="L27" s="47">
        <f>L24*(1-$E$13)</f>
        <v/>
      </c>
      <c r="M27" s="47">
        <f>M24*(1-$E$13)</f>
        <v/>
      </c>
    </row>
    <row r="28" ht="16.8" customHeight="1">
      <c r="B28" s="3" t="inlineStr">
        <is>
          <t xml:space="preserve">(+) D&amp;A </t>
        </is>
      </c>
      <c r="C28" s="1" t="n"/>
      <c r="D28" s="1" t="inlineStr">
        <is>
          <t>HIST</t>
        </is>
      </c>
      <c r="E28" s="1" t="inlineStr">
        <is>
          <t>HIST</t>
        </is>
      </c>
      <c r="F28" s="1" t="inlineStr">
        <is>
          <t>HIST</t>
        </is>
      </c>
      <c r="G28" s="1" t="inlineStr">
        <is>
          <t>HIST</t>
        </is>
      </c>
      <c r="H28" s="1">
        <f>SUM(D28:G28)</f>
        <v/>
      </c>
      <c r="I28" s="1" t="inlineStr">
        <is>
          <t>Forecast Formula</t>
        </is>
      </c>
      <c r="J28" s="1" t="inlineStr">
        <is>
          <t>Forecast Formula</t>
        </is>
      </c>
      <c r="K28" s="1" t="inlineStr">
        <is>
          <t>Forecast Formula</t>
        </is>
      </c>
      <c r="L28" s="1" t="inlineStr">
        <is>
          <t>Forecast Formula</t>
        </is>
      </c>
      <c r="M28" s="1">
        <f>SUM(I28:L28)</f>
        <v/>
      </c>
    </row>
    <row r="29" ht="16.8" customHeight="1">
      <c r="B29" s="3" t="inlineStr">
        <is>
          <t>(-) CapEx</t>
        </is>
      </c>
      <c r="C29" s="1" t="n"/>
      <c r="D29" s="1" t="inlineStr">
        <is>
          <t>HIST</t>
        </is>
      </c>
      <c r="E29" s="1" t="inlineStr">
        <is>
          <t>HIST</t>
        </is>
      </c>
      <c r="F29" s="1" t="inlineStr">
        <is>
          <t>HIST</t>
        </is>
      </c>
      <c r="G29" s="1" t="inlineStr">
        <is>
          <t>HIST</t>
        </is>
      </c>
      <c r="H29" s="1">
        <f>SUM(D29:G29)</f>
        <v/>
      </c>
      <c r="I29" s="1" t="inlineStr">
        <is>
          <t>Forecast Formula</t>
        </is>
      </c>
      <c r="J29" s="1" t="inlineStr">
        <is>
          <t>Forecast Formula</t>
        </is>
      </c>
      <c r="K29" s="1" t="inlineStr">
        <is>
          <t>Forecast Formula</t>
        </is>
      </c>
      <c r="L29" s="1" t="inlineStr">
        <is>
          <t>Forecast Formula</t>
        </is>
      </c>
      <c r="M29" s="1">
        <f>SUM(I29:L29)</f>
        <v/>
      </c>
    </row>
    <row r="30" ht="16.8" customHeight="1">
      <c r="B30" s="3" t="inlineStr">
        <is>
          <t xml:space="preserve">(-) Changes in WC </t>
        </is>
      </c>
      <c r="C30" s="1" t="n"/>
      <c r="D30" s="1" t="inlineStr">
        <is>
          <t>HIST</t>
        </is>
      </c>
      <c r="E30" s="1" t="inlineStr">
        <is>
          <t>HIST</t>
        </is>
      </c>
      <c r="F30" s="1" t="inlineStr">
        <is>
          <t>HIST</t>
        </is>
      </c>
      <c r="G30" s="1" t="inlineStr">
        <is>
          <t>HIST</t>
        </is>
      </c>
      <c r="H30" s="1">
        <f>SUM(D30:G30)</f>
        <v/>
      </c>
      <c r="I30" s="1" t="inlineStr">
        <is>
          <t>Forecast Formula</t>
        </is>
      </c>
      <c r="J30" s="1" t="inlineStr">
        <is>
          <t>Forecast Formula</t>
        </is>
      </c>
      <c r="K30" s="1" t="inlineStr">
        <is>
          <t>Forecast Formula</t>
        </is>
      </c>
      <c r="L30" s="1" t="inlineStr">
        <is>
          <t>Forecast Formula</t>
        </is>
      </c>
      <c r="M30" s="1">
        <f>SUM(I30:L30)</f>
        <v/>
      </c>
    </row>
    <row r="31" ht="16.8" customHeight="1">
      <c r="B31" s="9" t="inlineStr">
        <is>
          <t xml:space="preserve">Unlevered Free Cash Flow </t>
        </is>
      </c>
      <c r="C31" s="22" t="n"/>
      <c r="D31" s="23">
        <f>D27+D28+D29+D30</f>
        <v/>
      </c>
      <c r="E31" s="23">
        <f>E27+E28+E29+E30</f>
        <v/>
      </c>
      <c r="F31" s="23">
        <f>F27+F28+F29+F30</f>
        <v/>
      </c>
      <c r="G31" s="23">
        <f>G27+G28+G29+G30</f>
        <v/>
      </c>
      <c r="H31" s="23">
        <f>H27+H28+H29+H30</f>
        <v/>
      </c>
      <c r="I31" s="23">
        <f>I27+I28+I29+I30</f>
        <v/>
      </c>
      <c r="J31" s="23">
        <f>J27+J28+J29+J30</f>
        <v/>
      </c>
      <c r="K31" s="23">
        <f>K27+K28+K29+K30</f>
        <v/>
      </c>
      <c r="L31" s="23">
        <f>L27+L28+L29+L30</f>
        <v/>
      </c>
      <c r="M31" s="23">
        <f>M27+M28+M29+M30</f>
        <v/>
      </c>
    </row>
    <row r="32" ht="16.8" customHeight="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16.8" customHeight="1">
      <c r="B33" s="17" t="inlineStr">
        <is>
          <t xml:space="preserve">DCF </t>
        </is>
      </c>
      <c r="C33" s="19" t="n"/>
      <c r="D33" s="19" t="n"/>
      <c r="E33" s="19" t="n"/>
      <c r="F33" s="19" t="n"/>
      <c r="G33" s="19" t="n"/>
      <c r="H33" s="19" t="n"/>
      <c r="I33" s="19" t="inlineStr">
        <is>
          <t>Year"E"</t>
        </is>
      </c>
      <c r="J33" s="19" t="inlineStr">
        <is>
          <t>Year"E"</t>
        </is>
      </c>
      <c r="K33" s="19" t="inlineStr">
        <is>
          <t>Year"E"</t>
        </is>
      </c>
      <c r="L33" s="19" t="inlineStr">
        <is>
          <t>Year"E"</t>
        </is>
      </c>
      <c r="M33" s="19" t="inlineStr">
        <is>
          <t>Year"E"</t>
        </is>
      </c>
    </row>
    <row r="34" ht="16.8" customHeight="1">
      <c r="B34" s="3" t="inlineStr">
        <is>
          <t xml:space="preserve">Discount Period </t>
        </is>
      </c>
      <c r="C34" s="1" t="n"/>
      <c r="D34" s="1" t="n"/>
      <c r="E34" s="1" t="n"/>
      <c r="F34" s="1" t="n"/>
      <c r="G34" s="1" t="n"/>
      <c r="H34" s="1" t="n"/>
      <c r="I34" s="48">
        <f>YEARFRAC(TODAY(),$J$5)</f>
        <v/>
      </c>
      <c r="J34" s="48">
        <f>I34+0.25</f>
        <v/>
      </c>
      <c r="K34" s="48">
        <f>J34+0.25</f>
        <v/>
      </c>
      <c r="L34" s="48">
        <f>K34+0.25</f>
        <v/>
      </c>
      <c r="M34" s="48" t="n"/>
    </row>
    <row r="35" ht="16.8" customHeight="1">
      <c r="B35" s="3" t="inlineStr">
        <is>
          <t xml:space="preserve">Discount Factor </t>
        </is>
      </c>
      <c r="C35" s="1" t="n"/>
      <c r="D35" s="1" t="n"/>
      <c r="E35" s="1" t="n"/>
      <c r="F35" s="1" t="n"/>
      <c r="G35" s="1" t="n"/>
      <c r="H35" s="1" t="n"/>
      <c r="I35" s="49">
        <f>(1/(1+$E$14))^I34</f>
        <v/>
      </c>
      <c r="J35" s="49">
        <f>(1/(1+$E$14))^J34</f>
        <v/>
      </c>
      <c r="K35" s="49">
        <f>(1/(1+$E$14))^K34</f>
        <v/>
      </c>
      <c r="L35" s="49">
        <f>(1/(1+$E$14))^L34</f>
        <v/>
      </c>
      <c r="M35" s="49" t="n"/>
    </row>
    <row r="36" ht="16.8" customHeight="1">
      <c r="B36" s="3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 ht="16.8" customHeight="1">
      <c r="B37" s="11" t="inlineStr">
        <is>
          <t xml:space="preserve">PV of UFCF </t>
        </is>
      </c>
      <c r="C37" s="1" t="n"/>
      <c r="D37" s="1" t="n"/>
      <c r="E37" s="1" t="n"/>
      <c r="F37" s="1" t="n"/>
      <c r="G37" s="1" t="n"/>
      <c r="H37" s="1" t="n"/>
      <c r="I37" s="1">
        <f>I31*I35</f>
        <v/>
      </c>
      <c r="J37" s="1">
        <f>J31*J35</f>
        <v/>
      </c>
      <c r="K37" s="1">
        <f>K31*K35</f>
        <v/>
      </c>
      <c r="L37" s="1">
        <f>L31*L35</f>
        <v/>
      </c>
      <c r="M37" s="1">
        <f>SUM(I37:L37)</f>
        <v/>
      </c>
    </row>
    <row r="38" ht="16.8" customHeight="1">
      <c r="B38" s="12" t="inlineStr">
        <is>
          <t xml:space="preserve">Total PV of UFCF 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21">
        <f>SUM(M37)</f>
        <v/>
      </c>
    </row>
    <row r="39" ht="16.8" customHeight="1">
      <c r="B39" s="12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 ht="16.8" customHeight="1">
      <c r="B40" s="11" t="inlineStr">
        <is>
          <t xml:space="preserve">Terminal Value 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50">
        <f>(M31*(1+J6))/(E14-F2)</f>
        <v/>
      </c>
    </row>
    <row r="41" ht="16.8" customHeight="1">
      <c r="B41" s="12" t="inlineStr">
        <is>
          <t xml:space="preserve">PV of TV 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39">
        <f>M40*M35</f>
        <v/>
      </c>
    </row>
    <row r="42" ht="16.8" customHeight="1">
      <c r="B42" s="12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40" t="n"/>
    </row>
    <row r="43" ht="16.8" customHeight="1">
      <c r="B43" s="12" t="inlineStr">
        <is>
          <t xml:space="preserve">Enterprise Value 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40">
        <f>M38+M41</f>
        <v/>
      </c>
    </row>
    <row r="44" ht="16.8" customHeight="1">
      <c r="B44" s="11" t="inlineStr">
        <is>
          <t xml:space="preserve">(-) Net Debt 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1">
        <f>-($J$11-$J$7)</f>
        <v/>
      </c>
    </row>
    <row r="45" ht="16.8" customHeight="1">
      <c r="B45" s="13" t="inlineStr">
        <is>
          <t xml:space="preserve">Equity Value 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41">
        <f>M43+M44</f>
        <v/>
      </c>
    </row>
    <row r="46" ht="16.8" customHeight="1">
      <c r="B46" s="12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40" t="n"/>
    </row>
    <row r="47" ht="16.8" customHeight="1">
      <c r="B47" s="11" t="inlineStr">
        <is>
          <t xml:space="preserve">(/) Shares Outstanding 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42">
        <f>J8</f>
        <v/>
      </c>
    </row>
    <row r="48" ht="16.8" customHeight="1">
      <c r="B48" s="36" t="inlineStr">
        <is>
          <t xml:space="preserve">Per Share Price Target 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43">
        <f>M45/M47</f>
        <v/>
      </c>
    </row>
    <row r="49" ht="16.8" customHeight="1">
      <c r="B49" s="38" t="inlineStr">
        <is>
          <t>Implied Upside/Downside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40">
        <f>M48/J9-1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2:T84"/>
  <sheetViews>
    <sheetView showGridLines="0" topLeftCell="D1" workbookViewId="0">
      <selection activeCell="C7" sqref="C7"/>
    </sheetView>
  </sheetViews>
  <sheetFormatPr baseColWidth="8" defaultRowHeight="14.4"/>
  <cols>
    <col width="2.88671875" customWidth="1" min="1" max="1"/>
    <col width="51.6640625" bestFit="1" customWidth="1" min="2" max="2"/>
    <col width="2.88671875" customWidth="1" min="3" max="3"/>
    <col width="12.88671875" customWidth="1" min="4" max="12"/>
    <col width="17.6640625" bestFit="1" customWidth="1" min="15" max="15"/>
  </cols>
  <sheetData>
    <row r="2" ht="21.6" customHeight="1">
      <c r="A2" s="1" t="n"/>
      <c r="B2" s="15" t="inlineStr">
        <is>
          <t>"Company Name" 3 Statement Model (UNITS)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9" t="n"/>
      <c r="L2" s="19" t="n"/>
      <c r="M2" s="56" t="n"/>
    </row>
    <row r="4" ht="21.6" customHeight="1">
      <c r="B4" s="60" t="inlineStr">
        <is>
          <t xml:space="preserve">Income Statement </t>
        </is>
      </c>
      <c r="C4" s="60" t="n"/>
      <c r="D4" s="60" t="n"/>
      <c r="E4" s="60" t="n"/>
      <c r="F4" s="60" t="n"/>
      <c r="G4" s="60" t="n"/>
      <c r="H4" s="60" t="n"/>
      <c r="I4" s="60" t="n"/>
      <c r="J4" s="60" t="n"/>
      <c r="K4" s="61" t="n"/>
      <c r="L4" s="62" t="n"/>
      <c r="M4" s="62" t="n"/>
    </row>
    <row r="5" ht="16.8" customHeight="1">
      <c r="B5" s="17" t="n"/>
      <c r="C5" s="16" t="n"/>
      <c r="D5" s="19" t="inlineStr">
        <is>
          <t>Q1 "YEAR""A"</t>
        </is>
      </c>
      <c r="E5" s="19" t="inlineStr">
        <is>
          <t>Q2 "YEAR""A"</t>
        </is>
      </c>
      <c r="F5" s="19" t="inlineStr">
        <is>
          <t>Q3 "YEAR""A"</t>
        </is>
      </c>
      <c r="G5" s="19" t="inlineStr">
        <is>
          <t>Q4 "YEAR""A"</t>
        </is>
      </c>
      <c r="H5" s="19" t="inlineStr">
        <is>
          <t>"####"A</t>
        </is>
      </c>
      <c r="I5" s="19" t="inlineStr">
        <is>
          <t>Q1 "YEAR""E"</t>
        </is>
      </c>
      <c r="J5" s="19" t="inlineStr">
        <is>
          <t>Q2 "YEAR""E"</t>
        </is>
      </c>
      <c r="K5" s="19" t="inlineStr">
        <is>
          <t>Q3 "YEAR""E"</t>
        </is>
      </c>
      <c r="L5" s="19" t="inlineStr">
        <is>
          <t>Q4 "YEAR""E"</t>
        </is>
      </c>
      <c r="M5" s="19" t="inlineStr">
        <is>
          <t>"####"E</t>
        </is>
      </c>
      <c r="O5" s="57" t="inlineStr">
        <is>
          <t>Assumptions</t>
        </is>
      </c>
      <c r="P5" s="57" t="inlineStr">
        <is>
          <t xml:space="preserve">Type </t>
        </is>
      </c>
      <c r="Q5" s="57" t="inlineStr">
        <is>
          <t>Value</t>
        </is>
      </c>
    </row>
    <row r="6">
      <c r="B6" t="inlineStr">
        <is>
          <t xml:space="preserve">Line Item </t>
        </is>
      </c>
      <c r="O6" t="inlineStr">
        <is>
          <t xml:space="preserve">Revenue </t>
        </is>
      </c>
      <c r="P6" t="inlineStr">
        <is>
          <t xml:space="preserve">Custom </t>
        </is>
      </c>
      <c r="Q6" s="65" t="n">
        <v>0.02</v>
      </c>
      <c r="R6" s="66" t="n">
        <v>0.04</v>
      </c>
      <c r="S6" s="66" t="n">
        <v>0.03</v>
      </c>
    </row>
    <row r="7">
      <c r="B7" t="inlineStr">
        <is>
          <t xml:space="preserve">Line Item </t>
        </is>
      </c>
      <c r="O7" t="inlineStr">
        <is>
          <t xml:space="preserve">Gross Margin </t>
        </is>
      </c>
      <c r="P7" t="inlineStr">
        <is>
          <t xml:space="preserve">Step </t>
        </is>
      </c>
      <c r="Q7" s="67" t="n">
        <v>0.005</v>
      </c>
    </row>
    <row r="8">
      <c r="B8" t="inlineStr">
        <is>
          <t>Gross Income</t>
        </is>
      </c>
      <c r="O8" t="inlineStr">
        <is>
          <t xml:space="preserve">Operating Costs </t>
        </is>
      </c>
      <c r="P8" t="inlineStr">
        <is>
          <t xml:space="preserve">Step </t>
        </is>
      </c>
      <c r="Q8" s="67" t="n">
        <v>0.0075</v>
      </c>
    </row>
    <row r="9">
      <c r="B9" s="58" t="inlineStr">
        <is>
          <t>Gross Margin %</t>
        </is>
      </c>
      <c r="O9" t="inlineStr">
        <is>
          <t xml:space="preserve">EBITDA Margin </t>
        </is>
      </c>
      <c r="P9" t="inlineStr">
        <is>
          <t xml:space="preserve">Custom </t>
        </is>
      </c>
      <c r="R9" t="inlineStr">
        <is>
          <t xml:space="preserve">**ford doesn’t report </t>
        </is>
      </c>
    </row>
    <row r="10">
      <c r="B10" t="inlineStr">
        <is>
          <t xml:space="preserve">Line Item </t>
        </is>
      </c>
      <c r="O10" t="inlineStr">
        <is>
          <t xml:space="preserve">Tax Rate </t>
        </is>
      </c>
      <c r="P10" t="inlineStr">
        <is>
          <t>Constant</t>
        </is>
      </c>
      <c r="Q10" s="66" t="n">
        <v>0.21</v>
      </c>
      <c r="R10" s="66" t="n"/>
      <c r="S10" s="66" t="n"/>
    </row>
    <row r="11">
      <c r="B11" t="inlineStr">
        <is>
          <t xml:space="preserve">Line Item </t>
        </is>
      </c>
      <c r="O11" t="inlineStr">
        <is>
          <t>Interest Rate on Debt</t>
        </is>
      </c>
      <c r="P11" t="inlineStr">
        <is>
          <t xml:space="preserve">Custom </t>
        </is>
      </c>
      <c r="Q11" s="66" t="n">
        <v>0.06</v>
      </c>
      <c r="R11" s="66" t="n">
        <v>0.05</v>
      </c>
      <c r="S11" s="66" t="n">
        <v>0.04</v>
      </c>
      <c r="T11" s="66" t="n">
        <v>0.07000000000000001</v>
      </c>
    </row>
    <row r="12">
      <c r="B12" t="inlineStr">
        <is>
          <t xml:space="preserve">Operating Income </t>
        </is>
      </c>
    </row>
    <row r="13">
      <c r="B13" s="58" t="inlineStr">
        <is>
          <t>Operating Margin %</t>
        </is>
      </c>
    </row>
    <row r="14">
      <c r="B14" t="inlineStr">
        <is>
          <t xml:space="preserve">Line Item </t>
        </is>
      </c>
    </row>
    <row r="15">
      <c r="B15" t="inlineStr">
        <is>
          <t>Income before Taxes</t>
        </is>
      </c>
    </row>
    <row r="16">
      <c r="B16" t="inlineStr">
        <is>
          <t xml:space="preserve">Income Tax Expense </t>
        </is>
      </c>
    </row>
    <row r="17">
      <c r="B17" t="inlineStr">
        <is>
          <t xml:space="preserve">Net Income </t>
        </is>
      </c>
    </row>
    <row r="18">
      <c r="B18" s="58" t="inlineStr">
        <is>
          <t>Net Income Margin %</t>
        </is>
      </c>
    </row>
    <row r="19">
      <c r="B19" t="inlineStr">
        <is>
          <t>EPS</t>
        </is>
      </c>
    </row>
    <row r="21" ht="21.6" customHeight="1">
      <c r="B21" s="60" t="inlineStr">
        <is>
          <t xml:space="preserve">Balance Sheet </t>
        </is>
      </c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</row>
    <row r="22" ht="16.8" customHeight="1">
      <c r="B22" s="17" t="inlineStr">
        <is>
          <t>Assets</t>
        </is>
      </c>
      <c r="C22" s="16" t="n"/>
      <c r="D22" s="19" t="inlineStr">
        <is>
          <t>Q1 "YEAR""A"</t>
        </is>
      </c>
      <c r="E22" s="19" t="inlineStr">
        <is>
          <t>Q2 "YEAR""A"</t>
        </is>
      </c>
      <c r="F22" s="19" t="inlineStr">
        <is>
          <t>Q3 "YEAR""A"</t>
        </is>
      </c>
      <c r="G22" s="19" t="inlineStr">
        <is>
          <t>Q4 "YEAR""A"</t>
        </is>
      </c>
      <c r="H22" s="19" t="inlineStr">
        <is>
          <t>"####"A</t>
        </is>
      </c>
      <c r="I22" s="19" t="inlineStr">
        <is>
          <t>Q1 "YEAR""E"</t>
        </is>
      </c>
      <c r="J22" s="19" t="inlineStr">
        <is>
          <t>Q2 "YEAR""E"</t>
        </is>
      </c>
      <c r="K22" s="19" t="inlineStr">
        <is>
          <t>Q3 "YEAR""E"</t>
        </is>
      </c>
      <c r="L22" s="19" t="inlineStr">
        <is>
          <t>Q4 "YEAR""E"</t>
        </is>
      </c>
      <c r="M22" s="19" t="inlineStr">
        <is>
          <t>"####"E</t>
        </is>
      </c>
    </row>
    <row r="23">
      <c r="B23" t="inlineStr">
        <is>
          <t xml:space="preserve">Line Item </t>
        </is>
      </c>
    </row>
    <row r="24">
      <c r="B24" t="inlineStr">
        <is>
          <t xml:space="preserve">Line Item  </t>
        </is>
      </c>
    </row>
    <row r="25">
      <c r="B25" s="58" t="inlineStr">
        <is>
          <t>Total Current Assets</t>
        </is>
      </c>
    </row>
    <row r="26">
      <c r="B26" t="inlineStr">
        <is>
          <t xml:space="preserve">Line Item </t>
        </is>
      </c>
    </row>
    <row r="27">
      <c r="B27" t="inlineStr">
        <is>
          <t xml:space="preserve">Line Item </t>
        </is>
      </c>
    </row>
    <row r="28">
      <c r="B28" t="inlineStr">
        <is>
          <t xml:space="preserve">Line Item </t>
        </is>
      </c>
    </row>
    <row r="29">
      <c r="B29" t="inlineStr">
        <is>
          <t xml:space="preserve">Line Item  </t>
        </is>
      </c>
    </row>
    <row r="30">
      <c r="B30" s="58" t="inlineStr">
        <is>
          <t>Total Assets</t>
        </is>
      </c>
    </row>
    <row r="32" ht="16.8" customHeight="1">
      <c r="B32" s="17" t="inlineStr">
        <is>
          <t xml:space="preserve">Liabilties </t>
        </is>
      </c>
      <c r="C32" s="16" t="n"/>
      <c r="D32" s="16" t="n"/>
      <c r="E32" s="16" t="n"/>
      <c r="F32" s="56" t="n"/>
      <c r="G32" s="56" t="n"/>
      <c r="H32" s="56" t="n"/>
      <c r="I32" s="56" t="n"/>
      <c r="J32" s="56" t="n"/>
      <c r="K32" s="56" t="n"/>
      <c r="L32" s="56" t="n"/>
      <c r="M32" s="56" t="n"/>
    </row>
    <row r="33">
      <c r="B33" t="inlineStr">
        <is>
          <t xml:space="preserve">Line Item </t>
        </is>
      </c>
    </row>
    <row r="34">
      <c r="B34" t="inlineStr">
        <is>
          <t xml:space="preserve">Line Item </t>
        </is>
      </c>
    </row>
    <row r="35">
      <c r="B35" t="inlineStr">
        <is>
          <t xml:space="preserve">Line Item </t>
        </is>
      </c>
    </row>
    <row r="36">
      <c r="B36" t="inlineStr">
        <is>
          <t xml:space="preserve">Line Item </t>
        </is>
      </c>
    </row>
    <row r="37">
      <c r="B37" s="58" t="inlineStr">
        <is>
          <t xml:space="preserve">Total Current Liabilties </t>
        </is>
      </c>
    </row>
    <row r="38">
      <c r="B38" t="inlineStr">
        <is>
          <t xml:space="preserve">Line Item </t>
        </is>
      </c>
    </row>
    <row r="39">
      <c r="B39" t="inlineStr">
        <is>
          <t xml:space="preserve">Line Item </t>
        </is>
      </c>
    </row>
    <row r="40">
      <c r="B40" s="58" t="inlineStr">
        <is>
          <t xml:space="preserve">Total Liabilities </t>
        </is>
      </c>
    </row>
    <row r="42" ht="16.8" customHeight="1">
      <c r="B42" s="17" t="inlineStr">
        <is>
          <t>Equity</t>
        </is>
      </c>
      <c r="C42" s="16" t="n"/>
      <c r="D42" s="16" t="n"/>
      <c r="E42" s="16" t="n"/>
      <c r="F42" s="56" t="n"/>
      <c r="G42" s="56" t="n"/>
      <c r="H42" s="56" t="n"/>
      <c r="I42" s="56" t="n"/>
      <c r="J42" s="56" t="n"/>
      <c r="K42" s="56" t="n"/>
      <c r="L42" s="56" t="n"/>
      <c r="M42" s="56" t="n"/>
    </row>
    <row r="43">
      <c r="B43" t="inlineStr">
        <is>
          <t xml:space="preserve">Line Item </t>
        </is>
      </c>
    </row>
    <row r="44">
      <c r="B44" t="inlineStr">
        <is>
          <t xml:space="preserve">Line Item </t>
        </is>
      </c>
    </row>
    <row r="45">
      <c r="B45" t="inlineStr">
        <is>
          <t xml:space="preserve">Line Item </t>
        </is>
      </c>
    </row>
    <row r="46">
      <c r="B46" t="inlineStr">
        <is>
          <t xml:space="preserve">Line Item </t>
        </is>
      </c>
    </row>
    <row r="47">
      <c r="B47" t="inlineStr">
        <is>
          <t xml:space="preserve">Line Item </t>
        </is>
      </c>
    </row>
    <row r="48">
      <c r="B48" s="58" t="inlineStr">
        <is>
          <t xml:space="preserve">Total Equity </t>
        </is>
      </c>
    </row>
    <row r="49">
      <c r="B49" s="58" t="inlineStr">
        <is>
          <t xml:space="preserve">Total Liabilities and Equity </t>
        </is>
      </c>
    </row>
    <row r="51" ht="21.6" customHeight="1">
      <c r="B51" s="60" t="inlineStr">
        <is>
          <t xml:space="preserve">Cash Flow Statement </t>
        </is>
      </c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</row>
    <row r="52" ht="16.8" customHeight="1">
      <c r="B52" s="17" t="inlineStr">
        <is>
          <t xml:space="preserve">Cash Flows from Operating Activities </t>
        </is>
      </c>
      <c r="C52" s="16" t="n"/>
      <c r="D52" s="19" t="inlineStr">
        <is>
          <t>Q1 "YEAR""A"</t>
        </is>
      </c>
      <c r="E52" s="19" t="inlineStr">
        <is>
          <t>Q2 "YEAR""A"</t>
        </is>
      </c>
      <c r="F52" s="19" t="inlineStr">
        <is>
          <t>Q3 "YEAR""A"</t>
        </is>
      </c>
      <c r="G52" s="19" t="inlineStr">
        <is>
          <t>Q4 "YEAR""A"</t>
        </is>
      </c>
      <c r="H52" s="19" t="inlineStr">
        <is>
          <t>"####"A</t>
        </is>
      </c>
      <c r="I52" s="19" t="inlineStr">
        <is>
          <t>Q1 "YEAR""E"</t>
        </is>
      </c>
      <c r="J52" s="19" t="inlineStr">
        <is>
          <t>Q2 "YEAR""E"</t>
        </is>
      </c>
      <c r="K52" s="19" t="inlineStr">
        <is>
          <t>Q3 "YEAR""E"</t>
        </is>
      </c>
      <c r="L52" s="19" t="inlineStr">
        <is>
          <t>Q4 "YEAR""E"</t>
        </is>
      </c>
      <c r="M52" s="19" t="inlineStr">
        <is>
          <t>"####"E</t>
        </is>
      </c>
    </row>
    <row r="53">
      <c r="B53" t="inlineStr">
        <is>
          <t xml:space="preserve">Line Item </t>
        </is>
      </c>
    </row>
    <row r="54">
      <c r="B54" t="inlineStr">
        <is>
          <t xml:space="preserve">Line Item  </t>
        </is>
      </c>
    </row>
    <row r="55">
      <c r="B55" t="inlineStr">
        <is>
          <t>Total Current Assets</t>
        </is>
      </c>
    </row>
    <row r="56">
      <c r="B56" t="inlineStr">
        <is>
          <t xml:space="preserve">Line Item </t>
        </is>
      </c>
    </row>
    <row r="57">
      <c r="B57" t="inlineStr">
        <is>
          <t xml:space="preserve">Line Item </t>
        </is>
      </c>
    </row>
    <row r="58">
      <c r="B58" t="inlineStr">
        <is>
          <t xml:space="preserve">Line Item </t>
        </is>
      </c>
    </row>
    <row r="59">
      <c r="B59" t="inlineStr">
        <is>
          <t xml:space="preserve">Line Item  </t>
        </is>
      </c>
    </row>
    <row r="60">
      <c r="B60" s="58" t="inlineStr">
        <is>
          <t xml:space="preserve">Net Cash Provided by/(used in) Operating Activities </t>
        </is>
      </c>
    </row>
    <row r="62" ht="16.8" customHeight="1">
      <c r="B62" s="17" t="inlineStr">
        <is>
          <t xml:space="preserve">Cash Flows from Investing Activities </t>
        </is>
      </c>
      <c r="C62" s="16" t="n"/>
      <c r="D62" s="16" t="n"/>
      <c r="E62" s="16" t="n"/>
      <c r="F62" s="56" t="n"/>
      <c r="G62" s="56" t="n"/>
      <c r="H62" s="56" t="n"/>
      <c r="I62" s="56" t="n"/>
      <c r="J62" s="56" t="n"/>
      <c r="K62" s="56" t="n"/>
      <c r="L62" s="56" t="n"/>
      <c r="M62" s="56" t="n"/>
    </row>
    <row r="63">
      <c r="B63" t="inlineStr">
        <is>
          <t xml:space="preserve">Line Item </t>
        </is>
      </c>
    </row>
    <row r="64">
      <c r="B64" t="inlineStr">
        <is>
          <t xml:space="preserve">Line Item </t>
        </is>
      </c>
    </row>
    <row r="65">
      <c r="B65" t="inlineStr">
        <is>
          <t xml:space="preserve">Line Item </t>
        </is>
      </c>
    </row>
    <row r="66">
      <c r="B66" t="inlineStr">
        <is>
          <t xml:space="preserve">Line Item </t>
        </is>
      </c>
    </row>
    <row r="67">
      <c r="B67" t="inlineStr">
        <is>
          <t xml:space="preserve">Total Current Liabilties </t>
        </is>
      </c>
    </row>
    <row r="68">
      <c r="B68" t="inlineStr">
        <is>
          <t xml:space="preserve">Line Item </t>
        </is>
      </c>
    </row>
    <row r="69">
      <c r="B69" t="inlineStr">
        <is>
          <t xml:space="preserve">Line Item </t>
        </is>
      </c>
    </row>
    <row r="70">
      <c r="B70" s="58" t="inlineStr">
        <is>
          <t xml:space="preserve">Net Cash Provided by/(used in) Investing Activities </t>
        </is>
      </c>
    </row>
    <row r="72" ht="16.8" customHeight="1">
      <c r="B72" s="17" t="inlineStr">
        <is>
          <t xml:space="preserve">Cash Flows from Financing Activities </t>
        </is>
      </c>
      <c r="C72" s="16" t="n"/>
      <c r="D72" s="16" t="n"/>
      <c r="E72" s="16" t="n"/>
      <c r="F72" s="56" t="n"/>
      <c r="G72" s="56" t="n"/>
      <c r="H72" s="56" t="n"/>
      <c r="I72" s="56" t="n"/>
      <c r="J72" s="56" t="n"/>
      <c r="K72" s="56" t="n"/>
      <c r="L72" s="56" t="n"/>
      <c r="M72" s="56" t="n"/>
    </row>
    <row r="73">
      <c r="B73" t="inlineStr">
        <is>
          <t xml:space="preserve">Line Item </t>
        </is>
      </c>
    </row>
    <row r="74">
      <c r="B74" t="inlineStr">
        <is>
          <t xml:space="preserve">Line Item </t>
        </is>
      </c>
    </row>
    <row r="75">
      <c r="B75" t="inlineStr">
        <is>
          <t xml:space="preserve">Line Item </t>
        </is>
      </c>
    </row>
    <row r="76">
      <c r="B76" t="inlineStr">
        <is>
          <t xml:space="preserve">Line Item </t>
        </is>
      </c>
    </row>
    <row r="77">
      <c r="B77" t="inlineStr">
        <is>
          <t xml:space="preserve">Line Item </t>
        </is>
      </c>
    </row>
    <row r="78">
      <c r="B78" s="58" t="inlineStr">
        <is>
          <t xml:space="preserve">Net Cash Provided by/(used in) Financing Activities </t>
        </is>
      </c>
    </row>
    <row r="79">
      <c r="B79" t="inlineStr">
        <is>
          <t>Effects of Exchange Rate</t>
        </is>
      </c>
    </row>
    <row r="80">
      <c r="B80" s="58" t="inlineStr">
        <is>
          <t xml:space="preserve">Net Increase/(decrease) in Cash, Cash Equivalents, and Restricted Cash </t>
        </is>
      </c>
    </row>
    <row r="82">
      <c r="B82" s="59" t="inlineStr">
        <is>
          <t xml:space="preserve">Cash, Cash Equivalents, and Restricted Cash at Beginning of Period </t>
        </is>
      </c>
    </row>
    <row r="83">
      <c r="B83" t="inlineStr">
        <is>
          <t xml:space="preserve">Net Increase/(decrease) in Cash, Cash Equivalents, and Restricted Cash </t>
        </is>
      </c>
    </row>
    <row r="84">
      <c r="B84" s="57" t="inlineStr">
        <is>
          <t xml:space="preserve">Cash, Cash Equivalents, and Restricted Cash at End of Period 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31"/>
  <sheetViews>
    <sheetView showGridLines="0" workbookViewId="0">
      <selection activeCell="D4" sqref="D4:M4"/>
    </sheetView>
  </sheetViews>
  <sheetFormatPr baseColWidth="8" defaultRowHeight="14.4"/>
  <cols>
    <col width="2.88671875" customWidth="1" min="1" max="1"/>
    <col width="51.6640625" bestFit="1" customWidth="1" min="2" max="2"/>
    <col width="2.88671875" customWidth="1" min="3" max="3"/>
    <col width="12.88671875" customWidth="1" min="4" max="13"/>
  </cols>
  <sheetData>
    <row r="2" ht="17.1" customHeight="1">
      <c r="A2" s="1" t="n"/>
      <c r="B2" s="15" t="inlineStr">
        <is>
          <t>"Company Name" Balance Sheet (UNITS)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9" t="n"/>
      <c r="L2" s="19" t="n"/>
      <c r="M2" s="56" t="n"/>
    </row>
    <row r="4" ht="16.8" customHeight="1">
      <c r="B4" s="17" t="inlineStr">
        <is>
          <t xml:space="preserve">Assets </t>
        </is>
      </c>
      <c r="C4" s="16" t="n"/>
      <c r="D4" s="19" t="inlineStr">
        <is>
          <t>Q1 "YEAR""A"</t>
        </is>
      </c>
      <c r="E4" s="19" t="inlineStr">
        <is>
          <t>Q2 "YEAR""A"</t>
        </is>
      </c>
      <c r="F4" s="19" t="inlineStr">
        <is>
          <t>Q3 "YEAR""A"</t>
        </is>
      </c>
      <c r="G4" s="19" t="inlineStr">
        <is>
          <t>Q4 "YEAR""A"</t>
        </is>
      </c>
      <c r="H4" s="19" t="inlineStr">
        <is>
          <t>"####"A</t>
        </is>
      </c>
      <c r="I4" s="19" t="inlineStr">
        <is>
          <t>Q1 "YEAR""E"</t>
        </is>
      </c>
      <c r="J4" s="19" t="inlineStr">
        <is>
          <t>Q2 "YEAR""E"</t>
        </is>
      </c>
      <c r="K4" s="19" t="inlineStr">
        <is>
          <t>Q3 "YEAR""E"</t>
        </is>
      </c>
      <c r="L4" s="19" t="inlineStr">
        <is>
          <t>Q4 "YEAR""E"</t>
        </is>
      </c>
      <c r="M4" s="19" t="inlineStr">
        <is>
          <t>"####"E</t>
        </is>
      </c>
    </row>
    <row r="5">
      <c r="B5" t="inlineStr">
        <is>
          <t xml:space="preserve">Line Item </t>
        </is>
      </c>
    </row>
    <row r="6">
      <c r="B6" t="inlineStr">
        <is>
          <t xml:space="preserve">Line Item  </t>
        </is>
      </c>
    </row>
    <row r="7">
      <c r="B7" s="58" t="inlineStr">
        <is>
          <t>Total Current Assets</t>
        </is>
      </c>
    </row>
    <row r="8">
      <c r="B8" t="inlineStr">
        <is>
          <t xml:space="preserve">Line Item </t>
        </is>
      </c>
    </row>
    <row r="9">
      <c r="B9" t="inlineStr">
        <is>
          <t xml:space="preserve">Line Item </t>
        </is>
      </c>
    </row>
    <row r="10">
      <c r="B10" t="inlineStr">
        <is>
          <t xml:space="preserve">Line Item </t>
        </is>
      </c>
    </row>
    <row r="11">
      <c r="B11" t="inlineStr">
        <is>
          <t xml:space="preserve">Line Item  </t>
        </is>
      </c>
    </row>
    <row r="12">
      <c r="B12" s="58" t="inlineStr">
        <is>
          <t>Total Assets</t>
        </is>
      </c>
    </row>
    <row r="14" ht="16.8" customHeight="1">
      <c r="B14" s="17" t="inlineStr">
        <is>
          <t>Liabilties</t>
        </is>
      </c>
      <c r="C14" s="16" t="n"/>
      <c r="D14" s="16" t="n"/>
      <c r="E14" s="16" t="n"/>
      <c r="F14" s="56" t="n"/>
      <c r="G14" s="56" t="n"/>
      <c r="H14" s="56" t="n"/>
      <c r="I14" s="56" t="n"/>
      <c r="J14" s="56" t="n"/>
      <c r="K14" s="56" t="n"/>
      <c r="L14" s="56" t="n"/>
      <c r="M14" s="56" t="n"/>
    </row>
    <row r="15">
      <c r="B15" t="inlineStr">
        <is>
          <t xml:space="preserve">Line Item </t>
        </is>
      </c>
    </row>
    <row r="16">
      <c r="B16" t="inlineStr">
        <is>
          <t xml:space="preserve">Line Item </t>
        </is>
      </c>
    </row>
    <row r="17">
      <c r="B17" t="inlineStr">
        <is>
          <t xml:space="preserve">Line Item </t>
        </is>
      </c>
    </row>
    <row r="18">
      <c r="B18" t="inlineStr">
        <is>
          <t xml:space="preserve">Line Item </t>
        </is>
      </c>
    </row>
    <row r="19">
      <c r="B19" s="58" t="inlineStr">
        <is>
          <t xml:space="preserve">Total Current Liabilties </t>
        </is>
      </c>
    </row>
    <row r="20">
      <c r="B20" t="inlineStr">
        <is>
          <t xml:space="preserve">Line Item </t>
        </is>
      </c>
    </row>
    <row r="21">
      <c r="B21" t="inlineStr">
        <is>
          <t xml:space="preserve">Line Item </t>
        </is>
      </c>
    </row>
    <row r="22">
      <c r="B22" s="58" t="inlineStr">
        <is>
          <t xml:space="preserve">Total Liabilities </t>
        </is>
      </c>
    </row>
    <row r="24" ht="16.8" customHeight="1">
      <c r="B24" s="17" t="inlineStr">
        <is>
          <t xml:space="preserve">Equity </t>
        </is>
      </c>
      <c r="C24" s="16" t="n"/>
      <c r="D24" s="16" t="n"/>
      <c r="E24" s="16" t="n"/>
      <c r="F24" s="56" t="n"/>
      <c r="G24" s="56" t="n"/>
      <c r="H24" s="56" t="n"/>
      <c r="I24" s="56" t="n"/>
      <c r="J24" s="56" t="n"/>
      <c r="K24" s="56" t="n"/>
      <c r="L24" s="56" t="n"/>
      <c r="M24" s="56" t="n"/>
    </row>
    <row r="25">
      <c r="B25" t="inlineStr">
        <is>
          <t xml:space="preserve">Line Item </t>
        </is>
      </c>
    </row>
    <row r="26">
      <c r="B26" t="inlineStr">
        <is>
          <t xml:space="preserve">Line Item </t>
        </is>
      </c>
    </row>
    <row r="27">
      <c r="B27" t="inlineStr">
        <is>
          <t xml:space="preserve">Line Item </t>
        </is>
      </c>
    </row>
    <row r="28">
      <c r="B28" t="inlineStr">
        <is>
          <t xml:space="preserve">Line Item </t>
        </is>
      </c>
    </row>
    <row r="29">
      <c r="B29" t="inlineStr">
        <is>
          <t xml:space="preserve">Line Item </t>
        </is>
      </c>
    </row>
    <row r="30">
      <c r="B30" s="58" t="inlineStr">
        <is>
          <t xml:space="preserve">Total Equity </t>
        </is>
      </c>
    </row>
    <row r="31">
      <c r="B31" s="58" t="inlineStr">
        <is>
          <t xml:space="preserve">Total Liabilities and Equity 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L36"/>
  <sheetViews>
    <sheetView showGridLines="0" workbookViewId="0">
      <selection activeCell="B14" sqref="B14"/>
    </sheetView>
  </sheetViews>
  <sheetFormatPr baseColWidth="8" defaultRowHeight="14.4"/>
  <cols>
    <col width="2.88671875" customWidth="1" min="1" max="1"/>
    <col width="66" bestFit="1" customWidth="1" min="2" max="2"/>
    <col width="2.88671875" customWidth="1" min="3" max="3"/>
    <col width="12.88671875" customWidth="1" min="4" max="12"/>
  </cols>
  <sheetData>
    <row r="2" ht="17.1" customHeight="1">
      <c r="A2" s="1" t="n"/>
      <c r="B2" s="15" t="inlineStr">
        <is>
          <t>"Company Name" Statements of Cash Flows (UNITS)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" t="n"/>
      <c r="L2" s="1" t="n"/>
    </row>
    <row r="4" ht="16.8" customHeight="1">
      <c r="B4" s="17" t="inlineStr">
        <is>
          <t xml:space="preserve">Cash Flows from Operating Activities </t>
        </is>
      </c>
      <c r="C4" s="16" t="n"/>
      <c r="D4" s="19" t="inlineStr">
        <is>
          <t>Year"A"</t>
        </is>
      </c>
      <c r="E4" s="19" t="inlineStr">
        <is>
          <t>Year"A"</t>
        </is>
      </c>
      <c r="F4" s="19" t="inlineStr">
        <is>
          <t>Year"A"</t>
        </is>
      </c>
      <c r="G4" s="19" t="inlineStr">
        <is>
          <t>Year"A"</t>
        </is>
      </c>
      <c r="H4" s="19" t="inlineStr">
        <is>
          <t>Year"A"</t>
        </is>
      </c>
      <c r="I4" s="19" t="inlineStr">
        <is>
          <t>Year"E"</t>
        </is>
      </c>
      <c r="J4" s="19" t="inlineStr">
        <is>
          <t>Year"E"</t>
        </is>
      </c>
    </row>
    <row r="5">
      <c r="B5" t="inlineStr">
        <is>
          <t xml:space="preserve">Line Item </t>
        </is>
      </c>
    </row>
    <row r="6">
      <c r="B6" t="inlineStr">
        <is>
          <t xml:space="preserve">Line Item  </t>
        </is>
      </c>
    </row>
    <row r="7">
      <c r="B7" t="inlineStr">
        <is>
          <t>Total Current Assets</t>
        </is>
      </c>
    </row>
    <row r="8">
      <c r="B8" t="inlineStr">
        <is>
          <t xml:space="preserve">Line Item </t>
        </is>
      </c>
    </row>
    <row r="9">
      <c r="B9" t="inlineStr">
        <is>
          <t xml:space="preserve">Line Item </t>
        </is>
      </c>
    </row>
    <row r="10">
      <c r="B10" t="inlineStr">
        <is>
          <t xml:space="preserve">Line Item </t>
        </is>
      </c>
    </row>
    <row r="11">
      <c r="B11" t="inlineStr">
        <is>
          <t xml:space="preserve">Line Item  </t>
        </is>
      </c>
    </row>
    <row r="12">
      <c r="B12" s="58" t="inlineStr">
        <is>
          <t xml:space="preserve">Net Cash Provided by/(used in) Operating Activities </t>
        </is>
      </c>
    </row>
    <row r="14" ht="16.8" customHeight="1">
      <c r="B14" s="17" t="inlineStr">
        <is>
          <t xml:space="preserve">Cash Flows from Investing Activities </t>
        </is>
      </c>
      <c r="C14" s="16" t="n"/>
      <c r="D14" s="16" t="n"/>
      <c r="E14" s="16" t="n"/>
      <c r="F14" s="56" t="n"/>
      <c r="G14" s="56" t="n"/>
      <c r="H14" s="56" t="n"/>
      <c r="I14" s="56" t="n"/>
      <c r="J14" s="56" t="n"/>
    </row>
    <row r="15">
      <c r="B15" t="inlineStr">
        <is>
          <t xml:space="preserve">Line Item </t>
        </is>
      </c>
    </row>
    <row r="16">
      <c r="B16" t="inlineStr">
        <is>
          <t xml:space="preserve">Line Item </t>
        </is>
      </c>
    </row>
    <row r="17">
      <c r="B17" t="inlineStr">
        <is>
          <t xml:space="preserve">Line Item </t>
        </is>
      </c>
    </row>
    <row r="18">
      <c r="B18" t="inlineStr">
        <is>
          <t xml:space="preserve">Line Item </t>
        </is>
      </c>
    </row>
    <row r="19">
      <c r="B19" t="inlineStr">
        <is>
          <t xml:space="preserve">Total Current Liabilties </t>
        </is>
      </c>
    </row>
    <row r="20">
      <c r="B20" t="inlineStr">
        <is>
          <t xml:space="preserve">Line Item </t>
        </is>
      </c>
    </row>
    <row r="21">
      <c r="B21" t="inlineStr">
        <is>
          <t xml:space="preserve">Line Item </t>
        </is>
      </c>
    </row>
    <row r="22">
      <c r="B22" s="58" t="inlineStr">
        <is>
          <t xml:space="preserve">Net Cash Provided by/(used in) Investing Activities </t>
        </is>
      </c>
    </row>
    <row r="24" ht="16.8" customHeight="1">
      <c r="B24" s="17" t="inlineStr">
        <is>
          <t xml:space="preserve">Cash Flows from Financing Activities </t>
        </is>
      </c>
      <c r="C24" s="16" t="n"/>
      <c r="D24" s="16" t="n"/>
      <c r="E24" s="16" t="n"/>
      <c r="F24" s="56" t="n"/>
      <c r="G24" s="56" t="n"/>
      <c r="H24" s="56" t="n"/>
      <c r="I24" s="56" t="n"/>
      <c r="J24" s="56" t="n"/>
    </row>
    <row r="25">
      <c r="B25" t="inlineStr">
        <is>
          <t xml:space="preserve">Line Item </t>
        </is>
      </c>
    </row>
    <row r="26">
      <c r="B26" t="inlineStr">
        <is>
          <t xml:space="preserve">Line Item </t>
        </is>
      </c>
    </row>
    <row r="27">
      <c r="B27" t="inlineStr">
        <is>
          <t xml:space="preserve">Line Item </t>
        </is>
      </c>
    </row>
    <row r="28">
      <c r="B28" t="inlineStr">
        <is>
          <t xml:space="preserve">Line Item </t>
        </is>
      </c>
    </row>
    <row r="29">
      <c r="B29" t="inlineStr">
        <is>
          <t xml:space="preserve">Line Item </t>
        </is>
      </c>
    </row>
    <row r="30">
      <c r="B30" s="58" t="inlineStr">
        <is>
          <t xml:space="preserve">Net Cash Provided by/(used in) Financing Activities </t>
        </is>
      </c>
    </row>
    <row r="31">
      <c r="B31" t="inlineStr">
        <is>
          <t>Effects of Exchange Rate</t>
        </is>
      </c>
    </row>
    <row r="32">
      <c r="B32" s="58" t="inlineStr">
        <is>
          <t xml:space="preserve">Net Increase/(decrease) in Cash, Cash Equivalents, and Restricted Cash </t>
        </is>
      </c>
    </row>
    <row r="34">
      <c r="B34" s="59" t="inlineStr">
        <is>
          <t xml:space="preserve">Cash, Cash Equivalents, and Restricted Cash at Beginning of Period </t>
        </is>
      </c>
    </row>
    <row r="35">
      <c r="B35" t="inlineStr">
        <is>
          <t xml:space="preserve">Net Increase/(decrease) in Cash, Cash Equivalents, and Restricted Cash </t>
        </is>
      </c>
    </row>
    <row r="36">
      <c r="B36" s="57" t="inlineStr">
        <is>
          <t xml:space="preserve">Cash, Cash Equivalents, and Restricted Cash at End of Period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M36"/>
  <sheetViews>
    <sheetView showGridLines="0" workbookViewId="0">
      <selection activeCell="D32" sqref="D32"/>
    </sheetView>
  </sheetViews>
  <sheetFormatPr baseColWidth="8" defaultRowHeight="14.4"/>
  <cols>
    <col width="2.88671875" customWidth="1" min="1" max="1"/>
    <col width="66" bestFit="1" customWidth="1" min="2" max="2"/>
    <col width="2.88671875" customWidth="1" min="3" max="3"/>
    <col width="12.88671875" customWidth="1" min="4" max="12"/>
  </cols>
  <sheetData>
    <row r="2" ht="17.1" customHeight="1">
      <c r="A2" s="1" t="n"/>
      <c r="B2" s="15" t="inlineStr">
        <is>
          <t>"Company Name" Statements of Cash Flows (UNITS)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9" t="n"/>
      <c r="L2" s="19" t="n"/>
      <c r="M2" s="56" t="n"/>
    </row>
    <row r="4" ht="16.8" customHeight="1">
      <c r="B4" s="17" t="inlineStr">
        <is>
          <t xml:space="preserve">Cash Flows from Operating Activities </t>
        </is>
      </c>
      <c r="C4" s="16" t="n"/>
      <c r="D4" s="19" t="inlineStr">
        <is>
          <t>Q1 "YEAR""A"</t>
        </is>
      </c>
      <c r="E4" s="19" t="inlineStr">
        <is>
          <t>Q2 "YEAR""A"</t>
        </is>
      </c>
      <c r="F4" s="19" t="inlineStr">
        <is>
          <t>Q3 "YEAR""A"</t>
        </is>
      </c>
      <c r="G4" s="19" t="inlineStr">
        <is>
          <t>Q4 "YEAR""A"</t>
        </is>
      </c>
      <c r="H4" s="19" t="inlineStr">
        <is>
          <t>"####"A</t>
        </is>
      </c>
      <c r="I4" s="19" t="inlineStr">
        <is>
          <t>Q1 "YEAR""E"</t>
        </is>
      </c>
      <c r="J4" s="19" t="inlineStr">
        <is>
          <t>Q2 "YEAR""E"</t>
        </is>
      </c>
      <c r="K4" s="19" t="inlineStr">
        <is>
          <t>Q3 "YEAR""E"</t>
        </is>
      </c>
      <c r="L4" s="19" t="inlineStr">
        <is>
          <t>Q4 "YEAR""E"</t>
        </is>
      </c>
      <c r="M4" s="19" t="inlineStr">
        <is>
          <t>"####"E</t>
        </is>
      </c>
    </row>
    <row r="5">
      <c r="B5" t="inlineStr">
        <is>
          <t xml:space="preserve">Line Item </t>
        </is>
      </c>
    </row>
    <row r="6">
      <c r="B6" t="inlineStr">
        <is>
          <t xml:space="preserve">Line Item  </t>
        </is>
      </c>
    </row>
    <row r="7">
      <c r="B7" t="inlineStr">
        <is>
          <t>Total Current Assets</t>
        </is>
      </c>
    </row>
    <row r="8">
      <c r="B8" t="inlineStr">
        <is>
          <t xml:space="preserve">Line Item </t>
        </is>
      </c>
    </row>
    <row r="9">
      <c r="B9" t="inlineStr">
        <is>
          <t xml:space="preserve">Line Item </t>
        </is>
      </c>
    </row>
    <row r="10">
      <c r="B10" t="inlineStr">
        <is>
          <t xml:space="preserve">Line Item </t>
        </is>
      </c>
    </row>
    <row r="11">
      <c r="B11" t="inlineStr">
        <is>
          <t xml:space="preserve">Line Item  </t>
        </is>
      </c>
    </row>
    <row r="12">
      <c r="B12" s="58" t="inlineStr">
        <is>
          <t xml:space="preserve">Net Cash Provided by/(used in) Operating Activities </t>
        </is>
      </c>
    </row>
    <row r="14" ht="16.8" customHeight="1">
      <c r="B14" s="17" t="inlineStr">
        <is>
          <t xml:space="preserve">Cash Flows from Investing Activities </t>
        </is>
      </c>
      <c r="C14" s="16" t="n"/>
      <c r="D14" s="16" t="n"/>
      <c r="E14" s="16" t="n"/>
      <c r="F14" s="56" t="n"/>
      <c r="G14" s="56" t="n"/>
      <c r="H14" s="56" t="n"/>
      <c r="I14" s="56" t="n"/>
      <c r="J14" s="56" t="n"/>
      <c r="K14" s="56" t="n"/>
      <c r="L14" s="56" t="n"/>
      <c r="M14" s="56" t="n"/>
    </row>
    <row r="15">
      <c r="B15" t="inlineStr">
        <is>
          <t xml:space="preserve">Line Item </t>
        </is>
      </c>
    </row>
    <row r="16">
      <c r="B16" t="inlineStr">
        <is>
          <t xml:space="preserve">Line Item </t>
        </is>
      </c>
    </row>
    <row r="17">
      <c r="B17" t="inlineStr">
        <is>
          <t xml:space="preserve">Line Item </t>
        </is>
      </c>
    </row>
    <row r="18">
      <c r="B18" t="inlineStr">
        <is>
          <t xml:space="preserve">Line Item </t>
        </is>
      </c>
    </row>
    <row r="19">
      <c r="B19" t="inlineStr">
        <is>
          <t xml:space="preserve">Total Current Liabilties </t>
        </is>
      </c>
    </row>
    <row r="20">
      <c r="B20" t="inlineStr">
        <is>
          <t xml:space="preserve">Line Item </t>
        </is>
      </c>
    </row>
    <row r="21">
      <c r="B21" t="inlineStr">
        <is>
          <t xml:space="preserve">Line Item </t>
        </is>
      </c>
    </row>
    <row r="22">
      <c r="B22" s="58" t="inlineStr">
        <is>
          <t xml:space="preserve">Net Cash Provided by/(used in) Investing Activities </t>
        </is>
      </c>
    </row>
    <row r="24" ht="16.8" customHeight="1">
      <c r="B24" s="17" t="inlineStr">
        <is>
          <t xml:space="preserve">Cash Flows from Financing Activities </t>
        </is>
      </c>
      <c r="C24" s="16" t="n"/>
      <c r="D24" s="16" t="n"/>
      <c r="E24" s="16" t="n"/>
      <c r="F24" s="56" t="n"/>
      <c r="G24" s="56" t="n"/>
      <c r="H24" s="56" t="n"/>
      <c r="I24" s="56" t="n"/>
      <c r="J24" s="56" t="n"/>
      <c r="K24" s="56" t="n"/>
      <c r="L24" s="56" t="n"/>
      <c r="M24" s="56" t="n"/>
    </row>
    <row r="25">
      <c r="B25" t="inlineStr">
        <is>
          <t xml:space="preserve">Line Item </t>
        </is>
      </c>
    </row>
    <row r="26">
      <c r="B26" t="inlineStr">
        <is>
          <t xml:space="preserve">Line Item </t>
        </is>
      </c>
    </row>
    <row r="27">
      <c r="B27" t="inlineStr">
        <is>
          <t xml:space="preserve">Line Item </t>
        </is>
      </c>
    </row>
    <row r="28">
      <c r="B28" t="inlineStr">
        <is>
          <t xml:space="preserve">Line Item </t>
        </is>
      </c>
    </row>
    <row r="29">
      <c r="B29" t="inlineStr">
        <is>
          <t xml:space="preserve">Line Item </t>
        </is>
      </c>
    </row>
    <row r="30">
      <c r="B30" s="58" t="inlineStr">
        <is>
          <t xml:space="preserve">Net Cash Provided by/(used in) Financing Activities </t>
        </is>
      </c>
    </row>
    <row r="31">
      <c r="B31" t="inlineStr">
        <is>
          <t>Effects of Exchange Rate</t>
        </is>
      </c>
    </row>
    <row r="32">
      <c r="B32" s="58" t="inlineStr">
        <is>
          <t xml:space="preserve">Net Increase/(decrease) in Cash, Cash Equivalents, and Restricted Cash </t>
        </is>
      </c>
    </row>
    <row r="34">
      <c r="B34" s="59" t="inlineStr">
        <is>
          <t xml:space="preserve">Cash, Cash Equivalents, and Restricted Cash at Beginning of Period </t>
        </is>
      </c>
    </row>
    <row r="35">
      <c r="B35" t="inlineStr">
        <is>
          <t xml:space="preserve">Net Increase/(decrease) in Cash, Cash Equivalents, and Restricted Cash </t>
        </is>
      </c>
    </row>
    <row r="36">
      <c r="B36" s="57" t="inlineStr">
        <is>
          <t xml:space="preserve">Cash, Cash Equivalents, and Restricted Cash at End of Period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Guiter, Sophia</dc:creator>
  <dcterms:created xsi:type="dcterms:W3CDTF">2025-11-09T23:58:11Z</dcterms:created>
  <dcterms:modified xsi:type="dcterms:W3CDTF">2025-12-04T16:12:36Z</dcterms:modified>
  <cp:lastModifiedBy>Guiter, Sophia</cp:lastModifiedBy>
</cp:coreProperties>
</file>