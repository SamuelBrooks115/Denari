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24d02efce4e3682/Desktop/Denari/Denari/backend/downloads/"/>
    </mc:Choice>
  </mc:AlternateContent>
  <xr:revisionPtr revIDLastSave="18" documentId="8_{8AAFDE46-57CC-4827-A5E0-E20A138CFF09}" xr6:coauthVersionLast="47" xr6:coauthVersionMax="47" xr10:uidLastSave="{9B393776-E54C-4DB7-99FC-6C8C6C4F031C}"/>
  <bookViews>
    <workbookView xWindow="-98" yWindow="-98" windowWidth="21795" windowHeight="12975" activeTab="5" xr2:uid="{2D3655B7-7F62-4C8D-95B6-903E506931C0}"/>
  </bookViews>
  <sheets>
    <sheet name="Cover Sheet" sheetId="9" r:id="rId1"/>
    <sheet name="Summary" sheetId="22" r:id="rId2"/>
    <sheet name="DCF Base" sheetId="24" r:id="rId3"/>
    <sheet name="DCF Bear" sheetId="25" r:id="rId4"/>
    <sheet name="DCF Bull" sheetId="26" r:id="rId5"/>
    <sheet name="3 Statement" sheetId="14" r:id="rId6"/>
    <sheet name="RV" sheetId="16" r:id="rId7"/>
    <sheet name="Beta Data" sheetId="21" r:id="rId8"/>
    <sheet name="DCF Q" sheetId="6" state="hidden" r:id="rId9"/>
    <sheet name="3-STMT Q" sheetId="7" state="hidden" r:id="rId10"/>
    <sheet name="3-STMT Quarterly" sheetId="8" state="hidden" r:id="rId11"/>
    <sheet name="CF STMT Annual " sheetId="10" state="hidden" r:id="rId12"/>
    <sheet name="CF STMT Quarterly" sheetId="11" state="hidden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6" l="1"/>
  <c r="E8" i="26"/>
  <c r="J10" i="26"/>
  <c r="E9" i="26" s="1"/>
  <c r="E12" i="26" s="1"/>
  <c r="E11" i="26"/>
  <c r="D17" i="26"/>
  <c r="D20" i="26" s="1"/>
  <c r="D24" i="26" s="1"/>
  <c r="E17" i="26"/>
  <c r="E20" i="26" s="1"/>
  <c r="F17" i="26"/>
  <c r="G17" i="26" s="1"/>
  <c r="E18" i="26"/>
  <c r="F18" i="26"/>
  <c r="D19" i="26"/>
  <c r="E19" i="26"/>
  <c r="F19" i="26"/>
  <c r="D23" i="26"/>
  <c r="E23" i="26"/>
  <c r="F23" i="26"/>
  <c r="D28" i="26"/>
  <c r="E28" i="26"/>
  <c r="F28" i="26"/>
  <c r="D29" i="26"/>
  <c r="E29" i="26"/>
  <c r="F29" i="26"/>
  <c r="D30" i="26"/>
  <c r="E30" i="26"/>
  <c r="F30" i="26"/>
  <c r="G34" i="26"/>
  <c r="H34" i="26" s="1"/>
  <c r="K44" i="26"/>
  <c r="K47" i="26"/>
  <c r="H53" i="26"/>
  <c r="G53" i="26" s="1"/>
  <c r="F53" i="26" s="1"/>
  <c r="I53" i="26"/>
  <c r="J53" i="26"/>
  <c r="E56" i="26"/>
  <c r="E55" i="26" s="1"/>
  <c r="E54" i="26" s="1"/>
  <c r="E57" i="26"/>
  <c r="E58" i="26"/>
  <c r="E8" i="25"/>
  <c r="J10" i="25"/>
  <c r="E9" i="25" s="1"/>
  <c r="E12" i="25" s="1"/>
  <c r="E11" i="25"/>
  <c r="D17" i="25"/>
  <c r="E17" i="25"/>
  <c r="F17" i="25"/>
  <c r="E18" i="25"/>
  <c r="F18" i="25"/>
  <c r="G18" i="25"/>
  <c r="G17" i="25" s="1"/>
  <c r="H18" i="25"/>
  <c r="I18" i="25"/>
  <c r="J18" i="25"/>
  <c r="K18" i="25"/>
  <c r="D19" i="25"/>
  <c r="D20" i="25" s="1"/>
  <c r="D24" i="25" s="1"/>
  <c r="E19" i="25"/>
  <c r="E20" i="25" s="1"/>
  <c r="F19" i="25"/>
  <c r="D23" i="25"/>
  <c r="E23" i="25"/>
  <c r="F23" i="25"/>
  <c r="D28" i="25"/>
  <c r="E28" i="25"/>
  <c r="F28" i="25"/>
  <c r="D29" i="25"/>
  <c r="E29" i="25"/>
  <c r="F29" i="25"/>
  <c r="D30" i="25"/>
  <c r="E30" i="25"/>
  <c r="F30" i="25"/>
  <c r="G34" i="25"/>
  <c r="H34" i="25" s="1"/>
  <c r="K44" i="25"/>
  <c r="K47" i="25"/>
  <c r="H53" i="25"/>
  <c r="I53" i="25" s="1"/>
  <c r="J53" i="25" s="1"/>
  <c r="E56" i="25"/>
  <c r="E55" i="25" s="1"/>
  <c r="E54" i="25" s="1"/>
  <c r="E57" i="25"/>
  <c r="E58" i="25" s="1"/>
  <c r="E8" i="24"/>
  <c r="E9" i="24"/>
  <c r="E11" i="24"/>
  <c r="E12" i="24"/>
  <c r="D17" i="24"/>
  <c r="E17" i="24"/>
  <c r="F17" i="24"/>
  <c r="F18" i="24" s="1"/>
  <c r="E18" i="24"/>
  <c r="G18" i="24"/>
  <c r="H18" i="24"/>
  <c r="I18" i="24"/>
  <c r="J18" i="24"/>
  <c r="K18" i="24"/>
  <c r="D19" i="24"/>
  <c r="D20" i="24" s="1"/>
  <c r="D24" i="24" s="1"/>
  <c r="E19" i="24"/>
  <c r="E20" i="24" s="1"/>
  <c r="F19" i="24"/>
  <c r="D23" i="24"/>
  <c r="E23" i="24"/>
  <c r="F23" i="24"/>
  <c r="D28" i="24"/>
  <c r="E28" i="24"/>
  <c r="F28" i="24"/>
  <c r="D29" i="24"/>
  <c r="E29" i="24"/>
  <c r="F29" i="24"/>
  <c r="D30" i="24"/>
  <c r="E30" i="24"/>
  <c r="F30" i="24"/>
  <c r="G34" i="24"/>
  <c r="G35" i="24" s="1"/>
  <c r="K44" i="24"/>
  <c r="K47" i="24"/>
  <c r="F53" i="24"/>
  <c r="G53" i="24"/>
  <c r="H53" i="24"/>
  <c r="I53" i="24"/>
  <c r="J53" i="24" s="1"/>
  <c r="E56" i="24"/>
  <c r="E57" i="24" s="1"/>
  <c r="E58" i="24" s="1"/>
  <c r="H17" i="26" l="1"/>
  <c r="G19" i="26"/>
  <c r="F20" i="25"/>
  <c r="F24" i="25" s="1"/>
  <c r="F20" i="24"/>
  <c r="F20" i="26"/>
  <c r="G20" i="26"/>
  <c r="G23" i="26"/>
  <c r="G24" i="26" s="1"/>
  <c r="G27" i="26" s="1"/>
  <c r="G31" i="26" s="1"/>
  <c r="G35" i="26"/>
  <c r="I34" i="26"/>
  <c r="H35" i="26"/>
  <c r="E24" i="26"/>
  <c r="E21" i="26"/>
  <c r="F21" i="26"/>
  <c r="F24" i="26"/>
  <c r="D27" i="26"/>
  <c r="D31" i="26" s="1"/>
  <c r="D25" i="26"/>
  <c r="G35" i="25"/>
  <c r="F21" i="25"/>
  <c r="E24" i="25"/>
  <c r="E21" i="25"/>
  <c r="D25" i="25"/>
  <c r="D27" i="25"/>
  <c r="D31" i="25" s="1"/>
  <c r="G19" i="25"/>
  <c r="G20" i="25" s="1"/>
  <c r="G23" i="25"/>
  <c r="G24" i="25" s="1"/>
  <c r="G27" i="25" s="1"/>
  <c r="G31" i="25" s="1"/>
  <c r="H17" i="25"/>
  <c r="H35" i="25"/>
  <c r="I34" i="25"/>
  <c r="G53" i="25"/>
  <c r="F53" i="25" s="1"/>
  <c r="H34" i="24"/>
  <c r="H35" i="24" s="1"/>
  <c r="E24" i="24"/>
  <c r="E21" i="24"/>
  <c r="F24" i="24"/>
  <c r="F21" i="24"/>
  <c r="D27" i="24"/>
  <c r="D31" i="24" s="1"/>
  <c r="D25" i="24"/>
  <c r="E55" i="24"/>
  <c r="E54" i="24" s="1"/>
  <c r="H20" i="26" l="1"/>
  <c r="I17" i="26"/>
  <c r="H23" i="26"/>
  <c r="H24" i="26" s="1"/>
  <c r="H27" i="26" s="1"/>
  <c r="H31" i="26" s="1"/>
  <c r="H37" i="26" s="1"/>
  <c r="H19" i="26"/>
  <c r="G37" i="26"/>
  <c r="K38" i="26" s="1"/>
  <c r="I23" i="26"/>
  <c r="I24" i="26" s="1"/>
  <c r="I27" i="26" s="1"/>
  <c r="I31" i="26" s="1"/>
  <c r="J17" i="26"/>
  <c r="I19" i="26"/>
  <c r="I20" i="26" s="1"/>
  <c r="I35" i="26"/>
  <c r="J34" i="26"/>
  <c r="F25" i="26"/>
  <c r="F27" i="26"/>
  <c r="F31" i="26" s="1"/>
  <c r="E27" i="26"/>
  <c r="E31" i="26" s="1"/>
  <c r="E25" i="26"/>
  <c r="G37" i="25"/>
  <c r="K38" i="25" s="1"/>
  <c r="E27" i="25"/>
  <c r="E31" i="25" s="1"/>
  <c r="E25" i="25"/>
  <c r="J34" i="25"/>
  <c r="I35" i="25"/>
  <c r="H23" i="25"/>
  <c r="H24" i="25" s="1"/>
  <c r="H27" i="25" s="1"/>
  <c r="H31" i="25" s="1"/>
  <c r="H37" i="25" s="1"/>
  <c r="H19" i="25"/>
  <c r="H20" i="25" s="1"/>
  <c r="I17" i="25"/>
  <c r="F27" i="25"/>
  <c r="F31" i="25" s="1"/>
  <c r="F25" i="25"/>
  <c r="I34" i="24"/>
  <c r="I35" i="24" s="1"/>
  <c r="F27" i="24"/>
  <c r="F31" i="24" s="1"/>
  <c r="F25" i="24"/>
  <c r="E27" i="24"/>
  <c r="E31" i="24" s="1"/>
  <c r="E25" i="24"/>
  <c r="I37" i="26" l="1"/>
  <c r="J23" i="26"/>
  <c r="J24" i="26" s="1"/>
  <c r="J27" i="26" s="1"/>
  <c r="J31" i="26" s="1"/>
  <c r="K17" i="26"/>
  <c r="J19" i="26"/>
  <c r="J20" i="26" s="1"/>
  <c r="J35" i="26"/>
  <c r="K34" i="26"/>
  <c r="K35" i="26" s="1"/>
  <c r="J34" i="24"/>
  <c r="K34" i="24" s="1"/>
  <c r="I23" i="25"/>
  <c r="I24" i="25" s="1"/>
  <c r="I27" i="25" s="1"/>
  <c r="I31" i="25" s="1"/>
  <c r="I19" i="25"/>
  <c r="I20" i="25" s="1"/>
  <c r="J17" i="25"/>
  <c r="K34" i="25"/>
  <c r="K35" i="25" s="1"/>
  <c r="J35" i="25"/>
  <c r="J37" i="26" l="1"/>
  <c r="K19" i="26"/>
  <c r="K23" i="26"/>
  <c r="K24" i="26" s="1"/>
  <c r="K27" i="26" s="1"/>
  <c r="K31" i="26" s="1"/>
  <c r="K40" i="26" s="1"/>
  <c r="K20" i="26"/>
  <c r="J54" i="26"/>
  <c r="G57" i="26"/>
  <c r="G54" i="26"/>
  <c r="F55" i="26"/>
  <c r="F58" i="26"/>
  <c r="J56" i="26"/>
  <c r="F56" i="26"/>
  <c r="I55" i="26"/>
  <c r="I57" i="26"/>
  <c r="I54" i="26"/>
  <c r="F57" i="26"/>
  <c r="H54" i="26"/>
  <c r="H56" i="26"/>
  <c r="H58" i="26"/>
  <c r="G58" i="26"/>
  <c r="J57" i="26"/>
  <c r="J58" i="26"/>
  <c r="G55" i="26"/>
  <c r="F54" i="26"/>
  <c r="I58" i="26"/>
  <c r="H57" i="26"/>
  <c r="G56" i="26"/>
  <c r="K37" i="26"/>
  <c r="K41" i="26"/>
  <c r="J35" i="24"/>
  <c r="J23" i="25"/>
  <c r="J24" i="25" s="1"/>
  <c r="J27" i="25" s="1"/>
  <c r="J31" i="25" s="1"/>
  <c r="J19" i="25"/>
  <c r="J20" i="25" s="1"/>
  <c r="K17" i="25"/>
  <c r="I37" i="25"/>
  <c r="K35" i="24"/>
  <c r="I56" i="26" l="1"/>
  <c r="H55" i="26"/>
  <c r="J55" i="26"/>
  <c r="K43" i="26"/>
  <c r="K45" i="26"/>
  <c r="K48" i="26" s="1"/>
  <c r="K23" i="25"/>
  <c r="K24" i="25" s="1"/>
  <c r="K27" i="25" s="1"/>
  <c r="K31" i="25" s="1"/>
  <c r="G54" i="25" s="1"/>
  <c r="K19" i="25"/>
  <c r="K20" i="25" s="1"/>
  <c r="J37" i="25"/>
  <c r="I56" i="25"/>
  <c r="G55" i="25"/>
  <c r="I55" i="25"/>
  <c r="G57" i="25"/>
  <c r="I58" i="25"/>
  <c r="H58" i="25"/>
  <c r="J54" i="25"/>
  <c r="J58" i="25"/>
  <c r="K49" i="26" l="1"/>
  <c r="E53" i="26"/>
  <c r="G56" i="25"/>
  <c r="H55" i="25"/>
  <c r="H57" i="25"/>
  <c r="J56" i="25"/>
  <c r="I57" i="25"/>
  <c r="J55" i="25"/>
  <c r="H56" i="25"/>
  <c r="F54" i="25"/>
  <c r="K37" i="25"/>
  <c r="K40" i="25"/>
  <c r="K41" i="25" s="1"/>
  <c r="F56" i="25"/>
  <c r="J57" i="25"/>
  <c r="F57" i="25"/>
  <c r="F58" i="25"/>
  <c r="H54" i="25"/>
  <c r="G58" i="25"/>
  <c r="I54" i="25"/>
  <c r="F55" i="25"/>
  <c r="K45" i="25" l="1"/>
  <c r="K48" i="25" s="1"/>
  <c r="K43" i="25"/>
  <c r="E53" i="25" l="1"/>
  <c r="K49" i="25"/>
  <c r="C19" i="22" l="1"/>
  <c r="C20" i="22"/>
  <c r="C21" i="22"/>
  <c r="C18" i="22"/>
  <c r="G13" i="16"/>
  <c r="D21" i="22" s="1"/>
  <c r="D20" i="22"/>
  <c r="D19" i="22"/>
  <c r="D18" i="22"/>
  <c r="D10" i="22" l="1"/>
  <c r="D6" i="16"/>
  <c r="G21" i="14"/>
  <c r="H21" i="14" s="1"/>
  <c r="I21" i="14" s="1"/>
  <c r="J21" i="14" s="1"/>
  <c r="K21" i="14" s="1"/>
  <c r="H84" i="14"/>
  <c r="H29" i="24" s="1"/>
  <c r="I84" i="14"/>
  <c r="I29" i="24" s="1"/>
  <c r="J84" i="14"/>
  <c r="J29" i="24" s="1"/>
  <c r="K84" i="14"/>
  <c r="K29" i="24" s="1"/>
  <c r="G84" i="14"/>
  <c r="G29" i="24" s="1"/>
  <c r="G53" i="14"/>
  <c r="H53" i="14" s="1"/>
  <c r="H25" i="14"/>
  <c r="I25" i="14"/>
  <c r="J25" i="14"/>
  <c r="K25" i="14"/>
  <c r="G13" i="14"/>
  <c r="G8" i="14"/>
  <c r="G5" i="14"/>
  <c r="G17" i="24" s="1"/>
  <c r="G64" i="14" l="1"/>
  <c r="H8" i="14"/>
  <c r="H21" i="24" s="1"/>
  <c r="G21" i="24"/>
  <c r="H13" i="14"/>
  <c r="H25" i="24" s="1"/>
  <c r="G25" i="24"/>
  <c r="G93" i="14"/>
  <c r="G91" i="14"/>
  <c r="G92" i="14"/>
  <c r="G106" i="14"/>
  <c r="G107" i="14"/>
  <c r="G27" i="14"/>
  <c r="G77" i="14" s="1"/>
  <c r="G14" i="14"/>
  <c r="G29" i="14"/>
  <c r="G30" i="14"/>
  <c r="G32" i="14"/>
  <c r="G73" i="14" s="1"/>
  <c r="G28" i="24" s="1"/>
  <c r="G45" i="14"/>
  <c r="G46" i="14"/>
  <c r="G15" i="14"/>
  <c r="G67" i="14"/>
  <c r="G66" i="14"/>
  <c r="G65" i="14"/>
  <c r="I53" i="14"/>
  <c r="G33" i="14"/>
  <c r="G36" i="14"/>
  <c r="G12" i="14"/>
  <c r="G98" i="14"/>
  <c r="G85" i="14"/>
  <c r="G99" i="14"/>
  <c r="G81" i="14"/>
  <c r="G100" i="14"/>
  <c r="G54" i="14"/>
  <c r="G88" i="14"/>
  <c r="G102" i="14"/>
  <c r="G55" i="14"/>
  <c r="G89" i="14"/>
  <c r="G103" i="14"/>
  <c r="G48" i="14"/>
  <c r="G62" i="14"/>
  <c r="G35" i="14"/>
  <c r="G51" i="14"/>
  <c r="G80" i="14"/>
  <c r="G86" i="14"/>
  <c r="G75" i="14"/>
  <c r="G44" i="14"/>
  <c r="G61" i="14"/>
  <c r="G104" i="14"/>
  <c r="G47" i="14"/>
  <c r="G63" i="14"/>
  <c r="G94" i="14"/>
  <c r="G34" i="14"/>
  <c r="G95" i="14"/>
  <c r="G49" i="14"/>
  <c r="G96" i="14"/>
  <c r="G50" i="14"/>
  <c r="G74" i="14"/>
  <c r="G97" i="14"/>
  <c r="G37" i="14"/>
  <c r="G38" i="14"/>
  <c r="G87" i="14"/>
  <c r="G101" i="14"/>
  <c r="G56" i="14"/>
  <c r="G26" i="14"/>
  <c r="G57" i="14"/>
  <c r="G105" i="14"/>
  <c r="I13" i="14"/>
  <c r="I25" i="24" s="1"/>
  <c r="G7" i="14"/>
  <c r="G6" i="14" s="1"/>
  <c r="G19" i="24" s="1"/>
  <c r="G20" i="24" s="1"/>
  <c r="G39" i="14"/>
  <c r="G28" i="14"/>
  <c r="G78" i="14" s="1"/>
  <c r="H5" i="14"/>
  <c r="H95" i="14" l="1"/>
  <c r="H55" i="14"/>
  <c r="H102" i="14"/>
  <c r="I8" i="14"/>
  <c r="I21" i="24" s="1"/>
  <c r="G41" i="14"/>
  <c r="H94" i="14"/>
  <c r="H63" i="14"/>
  <c r="G24" i="24"/>
  <c r="G27" i="24" s="1"/>
  <c r="G11" i="14"/>
  <c r="H105" i="14"/>
  <c r="H56" i="14"/>
  <c r="H106" i="14"/>
  <c r="H17" i="24"/>
  <c r="H15" i="14"/>
  <c r="H14" i="14"/>
  <c r="G16" i="14"/>
  <c r="G17" i="14" s="1"/>
  <c r="G18" i="14" s="1"/>
  <c r="G72" i="14" s="1"/>
  <c r="H107" i="14"/>
  <c r="H57" i="14"/>
  <c r="H48" i="14"/>
  <c r="H47" i="14"/>
  <c r="H104" i="14"/>
  <c r="H92" i="14"/>
  <c r="H101" i="14"/>
  <c r="I101" i="14" s="1"/>
  <c r="H103" i="14"/>
  <c r="H91" i="14"/>
  <c r="H66" i="14"/>
  <c r="H67" i="14"/>
  <c r="H74" i="14"/>
  <c r="H80" i="14"/>
  <c r="H45" i="14"/>
  <c r="H50" i="14"/>
  <c r="H98" i="14"/>
  <c r="H64" i="14"/>
  <c r="G108" i="14"/>
  <c r="H61" i="14"/>
  <c r="G68" i="14"/>
  <c r="H54" i="14"/>
  <c r="G58" i="14"/>
  <c r="H100" i="14"/>
  <c r="H86" i="14"/>
  <c r="H93" i="14"/>
  <c r="H87" i="14"/>
  <c r="H88" i="14"/>
  <c r="H65" i="14"/>
  <c r="H44" i="14"/>
  <c r="G79" i="14"/>
  <c r="G52" i="14"/>
  <c r="H39" i="14"/>
  <c r="H81" i="14"/>
  <c r="H97" i="14"/>
  <c r="H99" i="14"/>
  <c r="H46" i="14"/>
  <c r="H85" i="14"/>
  <c r="H51" i="14"/>
  <c r="H96" i="14"/>
  <c r="H49" i="14"/>
  <c r="H62" i="14"/>
  <c r="J53" i="14"/>
  <c r="H28" i="14"/>
  <c r="H78" i="14" s="1"/>
  <c r="H7" i="14"/>
  <c r="H38" i="14"/>
  <c r="H37" i="14"/>
  <c r="H36" i="14"/>
  <c r="H32" i="14"/>
  <c r="H73" i="14" s="1"/>
  <c r="H28" i="24" s="1"/>
  <c r="H12" i="14"/>
  <c r="H24" i="24" s="1"/>
  <c r="H27" i="24" s="1"/>
  <c r="G9" i="14"/>
  <c r="G23" i="24" s="1"/>
  <c r="J13" i="14"/>
  <c r="J25" i="24" s="1"/>
  <c r="G10" i="14"/>
  <c r="H34" i="14"/>
  <c r="H33" i="14"/>
  <c r="H30" i="14"/>
  <c r="H29" i="14"/>
  <c r="H27" i="14"/>
  <c r="H26" i="14"/>
  <c r="J8" i="14"/>
  <c r="J21" i="24" s="1"/>
  <c r="H35" i="14"/>
  <c r="I5" i="14"/>
  <c r="I96" i="14" l="1"/>
  <c r="H16" i="14"/>
  <c r="H17" i="14" s="1"/>
  <c r="H18" i="14" s="1"/>
  <c r="H72" i="14" s="1"/>
  <c r="I107" i="14"/>
  <c r="I17" i="24"/>
  <c r="I15" i="14"/>
  <c r="I14" i="14"/>
  <c r="G20" i="14"/>
  <c r="G19" i="14"/>
  <c r="I63" i="14"/>
  <c r="I39" i="14"/>
  <c r="I103" i="14"/>
  <c r="I36" i="14"/>
  <c r="I48" i="14"/>
  <c r="I97" i="14"/>
  <c r="I98" i="14"/>
  <c r="G59" i="14"/>
  <c r="I45" i="14"/>
  <c r="I33" i="14"/>
  <c r="I61" i="14"/>
  <c r="H68" i="14"/>
  <c r="I67" i="14"/>
  <c r="I91" i="14"/>
  <c r="I51" i="14"/>
  <c r="H89" i="14"/>
  <c r="I85" i="14"/>
  <c r="I35" i="14"/>
  <c r="I46" i="14"/>
  <c r="I105" i="14"/>
  <c r="I99" i="14"/>
  <c r="I37" i="14"/>
  <c r="I64" i="14"/>
  <c r="I81" i="14"/>
  <c r="H11" i="14"/>
  <c r="I50" i="14"/>
  <c r="I29" i="14"/>
  <c r="G69" i="14"/>
  <c r="G40" i="14" s="1"/>
  <c r="I55" i="14"/>
  <c r="I94" i="14"/>
  <c r="H108" i="14"/>
  <c r="I95" i="14"/>
  <c r="I86" i="14"/>
  <c r="I38" i="14"/>
  <c r="I100" i="14"/>
  <c r="I27" i="14"/>
  <c r="I77" i="14" s="1"/>
  <c r="H77" i="14"/>
  <c r="I54" i="14"/>
  <c r="H58" i="14"/>
  <c r="I30" i="14"/>
  <c r="I7" i="14"/>
  <c r="I80" i="14"/>
  <c r="I44" i="14"/>
  <c r="H79" i="14"/>
  <c r="H52" i="14"/>
  <c r="H59" i="14" s="1"/>
  <c r="I74" i="14"/>
  <c r="I65" i="14"/>
  <c r="I92" i="14"/>
  <c r="H10" i="14"/>
  <c r="I88" i="14"/>
  <c r="I104" i="14"/>
  <c r="I66" i="14"/>
  <c r="K53" i="14"/>
  <c r="I87" i="14"/>
  <c r="I93" i="14"/>
  <c r="I56" i="14"/>
  <c r="J56" i="14" s="1"/>
  <c r="I12" i="14"/>
  <c r="I24" i="24" s="1"/>
  <c r="I27" i="24" s="1"/>
  <c r="I62" i="14"/>
  <c r="I47" i="14"/>
  <c r="I106" i="14"/>
  <c r="I49" i="14"/>
  <c r="I102" i="14"/>
  <c r="I57" i="14"/>
  <c r="K13" i="14"/>
  <c r="K25" i="24" s="1"/>
  <c r="I26" i="14"/>
  <c r="H31" i="14"/>
  <c r="H9" i="14"/>
  <c r="H23" i="24" s="1"/>
  <c r="H41" i="14"/>
  <c r="I32" i="14"/>
  <c r="I73" i="14" s="1"/>
  <c r="I28" i="24" s="1"/>
  <c r="H6" i="14"/>
  <c r="H19" i="24" s="1"/>
  <c r="H20" i="24" s="1"/>
  <c r="K8" i="14"/>
  <c r="K21" i="24" s="1"/>
  <c r="I6" i="14"/>
  <c r="I19" i="24" s="1"/>
  <c r="I28" i="14"/>
  <c r="I78" i="14" s="1"/>
  <c r="I34" i="14"/>
  <c r="J5" i="14"/>
  <c r="J96" i="14" s="1"/>
  <c r="H19" i="14" l="1"/>
  <c r="H20" i="14"/>
  <c r="J94" i="14"/>
  <c r="J66" i="14"/>
  <c r="J104" i="14"/>
  <c r="J55" i="14"/>
  <c r="J45" i="14"/>
  <c r="J88" i="14"/>
  <c r="J101" i="14"/>
  <c r="J37" i="14"/>
  <c r="J98" i="14"/>
  <c r="J36" i="14"/>
  <c r="J97" i="14"/>
  <c r="J50" i="14"/>
  <c r="J48" i="14"/>
  <c r="J74" i="14"/>
  <c r="J81" i="14"/>
  <c r="J64" i="14"/>
  <c r="J80" i="14"/>
  <c r="J99" i="14"/>
  <c r="J105" i="14"/>
  <c r="J46" i="14"/>
  <c r="J49" i="14"/>
  <c r="J47" i="14"/>
  <c r="J62" i="14"/>
  <c r="J51" i="14"/>
  <c r="J100" i="14"/>
  <c r="I16" i="14"/>
  <c r="J17" i="24"/>
  <c r="J15" i="14"/>
  <c r="J14" i="14"/>
  <c r="J67" i="14"/>
  <c r="I20" i="24"/>
  <c r="J54" i="14"/>
  <c r="I58" i="14"/>
  <c r="J86" i="14"/>
  <c r="J103" i="14"/>
  <c r="J107" i="14"/>
  <c r="J106" i="14"/>
  <c r="J44" i="14"/>
  <c r="I79" i="14"/>
  <c r="I52" i="14"/>
  <c r="H69" i="14"/>
  <c r="H40" i="14" s="1"/>
  <c r="J61" i="14"/>
  <c r="I68" i="14"/>
  <c r="I11" i="14"/>
  <c r="J93" i="14"/>
  <c r="J87" i="14"/>
  <c r="I108" i="14"/>
  <c r="J91" i="14"/>
  <c r="J27" i="14"/>
  <c r="J77" i="14" s="1"/>
  <c r="I10" i="14"/>
  <c r="J57" i="14"/>
  <c r="J92" i="14"/>
  <c r="J95" i="14"/>
  <c r="J85" i="14"/>
  <c r="I89" i="14"/>
  <c r="J102" i="14"/>
  <c r="J65" i="14"/>
  <c r="J63" i="14"/>
  <c r="J32" i="14"/>
  <c r="J73" i="14" s="1"/>
  <c r="J28" i="24" s="1"/>
  <c r="I41" i="14"/>
  <c r="I9" i="14"/>
  <c r="I23" i="24" s="1"/>
  <c r="J26" i="14"/>
  <c r="I31" i="14"/>
  <c r="J35" i="14"/>
  <c r="J12" i="14"/>
  <c r="J24" i="24" s="1"/>
  <c r="J27" i="24" s="1"/>
  <c r="J29" i="14"/>
  <c r="J28" i="14"/>
  <c r="J78" i="14" s="1"/>
  <c r="J39" i="14"/>
  <c r="J34" i="14"/>
  <c r="H42" i="14"/>
  <c r="J33" i="14"/>
  <c r="J7" i="14"/>
  <c r="J6" i="14" s="1"/>
  <c r="J19" i="24" s="1"/>
  <c r="J30" i="14"/>
  <c r="J38" i="14"/>
  <c r="K5" i="14"/>
  <c r="K45" i="14" l="1"/>
  <c r="K51" i="14"/>
  <c r="K94" i="14"/>
  <c r="K17" i="24"/>
  <c r="K15" i="14"/>
  <c r="K14" i="14"/>
  <c r="J16" i="14"/>
  <c r="J17" i="14" s="1"/>
  <c r="J18" i="14" s="1"/>
  <c r="J20" i="24"/>
  <c r="I17" i="14"/>
  <c r="I18" i="14" s="1"/>
  <c r="K49" i="14"/>
  <c r="K103" i="14"/>
  <c r="K88" i="14"/>
  <c r="K86" i="14"/>
  <c r="K48" i="14"/>
  <c r="K104" i="14"/>
  <c r="K98" i="14"/>
  <c r="K91" i="14"/>
  <c r="J108" i="14"/>
  <c r="K65" i="14"/>
  <c r="K81" i="14"/>
  <c r="K102" i="14"/>
  <c r="K95" i="14"/>
  <c r="K55" i="14"/>
  <c r="K80" i="14"/>
  <c r="K93" i="14"/>
  <c r="K87" i="14"/>
  <c r="I42" i="14"/>
  <c r="I76" i="14"/>
  <c r="I30" i="24" s="1"/>
  <c r="I31" i="24" s="1"/>
  <c r="I37" i="24" s="1"/>
  <c r="I69" i="14"/>
  <c r="I40" i="14" s="1"/>
  <c r="K61" i="14"/>
  <c r="J68" i="14"/>
  <c r="K56" i="14"/>
  <c r="K66" i="14"/>
  <c r="K63" i="14"/>
  <c r="K54" i="14"/>
  <c r="J58" i="14"/>
  <c r="K46" i="14"/>
  <c r="K105" i="14"/>
  <c r="K100" i="14"/>
  <c r="K99" i="14"/>
  <c r="K67" i="14"/>
  <c r="I59" i="14"/>
  <c r="K47" i="14"/>
  <c r="K96" i="14"/>
  <c r="K44" i="14"/>
  <c r="J79" i="14"/>
  <c r="J52" i="14"/>
  <c r="K85" i="14"/>
  <c r="K89" i="14" s="1"/>
  <c r="J89" i="14"/>
  <c r="K74" i="14"/>
  <c r="K62" i="14"/>
  <c r="K50" i="14"/>
  <c r="K37" i="14"/>
  <c r="K97" i="14"/>
  <c r="K29" i="14"/>
  <c r="K92" i="14"/>
  <c r="K107" i="14"/>
  <c r="K106" i="14"/>
  <c r="K101" i="14"/>
  <c r="K57" i="14"/>
  <c r="K64" i="14"/>
  <c r="K28" i="14"/>
  <c r="K78" i="14" s="1"/>
  <c r="K38" i="14"/>
  <c r="K35" i="14"/>
  <c r="K30" i="14"/>
  <c r="K26" i="14"/>
  <c r="J31" i="14"/>
  <c r="J9" i="14"/>
  <c r="J23" i="24" s="1"/>
  <c r="K34" i="14"/>
  <c r="K32" i="14"/>
  <c r="J41" i="14"/>
  <c r="K12" i="14"/>
  <c r="K24" i="24" s="1"/>
  <c r="K27" i="24" s="1"/>
  <c r="J11" i="14"/>
  <c r="J10" i="14"/>
  <c r="K7" i="14"/>
  <c r="K6" i="14" s="1"/>
  <c r="K19" i="24" s="1"/>
  <c r="K33" i="14"/>
  <c r="K36" i="14"/>
  <c r="K39" i="14"/>
  <c r="K27" i="14"/>
  <c r="K77" i="14" s="1"/>
  <c r="J72" i="14" l="1"/>
  <c r="J20" i="14"/>
  <c r="J19" i="14"/>
  <c r="K16" i="14"/>
  <c r="K17" i="14" s="1"/>
  <c r="K18" i="14" s="1"/>
  <c r="I20" i="14"/>
  <c r="I72" i="14"/>
  <c r="I19" i="14"/>
  <c r="K20" i="24"/>
  <c r="J76" i="14"/>
  <c r="J30" i="24" s="1"/>
  <c r="J31" i="24" s="1"/>
  <c r="J37" i="24" s="1"/>
  <c r="J113" i="14" a="1"/>
  <c r="J113" i="14" s="1"/>
  <c r="J116" i="14"/>
  <c r="I116" i="14"/>
  <c r="I113" i="14" a="1"/>
  <c r="I113" i="14" s="1"/>
  <c r="K58" i="14"/>
  <c r="J59" i="14"/>
  <c r="K79" i="14"/>
  <c r="K52" i="14"/>
  <c r="K59" i="14" s="1"/>
  <c r="K68" i="14"/>
  <c r="K69" i="14" s="1"/>
  <c r="K40" i="14" s="1"/>
  <c r="I82" i="14"/>
  <c r="K31" i="14"/>
  <c r="K76" i="14" s="1"/>
  <c r="K30" i="24" s="1"/>
  <c r="K31" i="24" s="1"/>
  <c r="J82" i="14"/>
  <c r="K108" i="14"/>
  <c r="J69" i="14"/>
  <c r="J40" i="14" s="1"/>
  <c r="K10" i="14"/>
  <c r="K11" i="14"/>
  <c r="K41" i="14"/>
  <c r="K73" i="14"/>
  <c r="K28" i="24" s="1"/>
  <c r="J42" i="14"/>
  <c r="K9" i="14"/>
  <c r="K23" i="24" s="1"/>
  <c r="K40" i="24" l="1"/>
  <c r="K41" i="24" s="1"/>
  <c r="K37" i="24"/>
  <c r="K72" i="14"/>
  <c r="K113" i="14" s="1" a="1"/>
  <c r="K113" i="14" s="1"/>
  <c r="K19" i="14"/>
  <c r="K20" i="14"/>
  <c r="K116" i="14"/>
  <c r="K42" i="14"/>
  <c r="K45" i="24" l="1"/>
  <c r="K48" i="24" s="1"/>
  <c r="K82" i="14"/>
  <c r="E12" i="16"/>
  <c r="G12" i="16"/>
  <c r="D12" i="16"/>
  <c r="E11" i="16"/>
  <c r="E13" i="16" s="1"/>
  <c r="G11" i="16"/>
  <c r="D11" i="16"/>
  <c r="D13" i="16" s="1"/>
  <c r="E10" i="16"/>
  <c r="G10" i="16"/>
  <c r="D10" i="16"/>
  <c r="G5" i="16"/>
  <c r="D5" i="16"/>
  <c r="G6" i="16"/>
  <c r="G7" i="16"/>
  <c r="G8" i="16"/>
  <c r="G9" i="16"/>
  <c r="E6" i="16"/>
  <c r="E7" i="16"/>
  <c r="E8" i="16"/>
  <c r="E9" i="16"/>
  <c r="E5" i="16"/>
  <c r="K49" i="24" l="1"/>
  <c r="E53" i="24"/>
  <c r="F6" i="16"/>
  <c r="F7" i="16"/>
  <c r="F8" i="16"/>
  <c r="F9" i="16"/>
  <c r="F5" i="16"/>
  <c r="D9" i="16"/>
  <c r="D7" i="16"/>
  <c r="D8" i="16"/>
  <c r="F8" i="21" a="1"/>
  <c r="F563" i="21" s="1"/>
  <c r="E8" i="21" a="1"/>
  <c r="E1237" i="21" s="1"/>
  <c r="F10" i="16" l="1"/>
  <c r="F12" i="16"/>
  <c r="F11" i="16"/>
  <c r="F13" i="16" s="1"/>
  <c r="J10" i="16" s="1"/>
  <c r="E106" i="21"/>
  <c r="E213" i="21"/>
  <c r="E322" i="21"/>
  <c r="E419" i="21"/>
  <c r="E529" i="21"/>
  <c r="E637" i="21"/>
  <c r="E759" i="21"/>
  <c r="E884" i="21"/>
  <c r="E1024" i="21"/>
  <c r="E34" i="21"/>
  <c r="E113" i="21"/>
  <c r="E214" i="21"/>
  <c r="E323" i="21"/>
  <c r="E433" i="21"/>
  <c r="E530" i="21"/>
  <c r="E638" i="21"/>
  <c r="E760" i="21"/>
  <c r="E886" i="21"/>
  <c r="E1025" i="21"/>
  <c r="E35" i="21"/>
  <c r="E138" i="21"/>
  <c r="E246" i="21"/>
  <c r="E345" i="21"/>
  <c r="E453" i="21"/>
  <c r="E562" i="21"/>
  <c r="E674" i="21"/>
  <c r="E797" i="21"/>
  <c r="E926" i="21"/>
  <c r="E1072" i="21"/>
  <c r="E37" i="21"/>
  <c r="E145" i="21"/>
  <c r="E249" i="21"/>
  <c r="E357" i="21"/>
  <c r="E454" i="21"/>
  <c r="E563" i="21"/>
  <c r="E681" i="21"/>
  <c r="E801" i="21"/>
  <c r="E927" i="21"/>
  <c r="E1073" i="21"/>
  <c r="E86" i="21"/>
  <c r="E297" i="21"/>
  <c r="E405" i="21"/>
  <c r="E620" i="21"/>
  <c r="E742" i="21"/>
  <c r="E1006" i="21"/>
  <c r="E89" i="21"/>
  <c r="E195" i="21"/>
  <c r="E305" i="21"/>
  <c r="E406" i="21"/>
  <c r="E515" i="21"/>
  <c r="E627" i="21"/>
  <c r="E1008" i="21"/>
  <c r="E101" i="21"/>
  <c r="E197" i="21"/>
  <c r="E306" i="21"/>
  <c r="E410" i="21"/>
  <c r="E517" i="21"/>
  <c r="E748" i="21"/>
  <c r="E870" i="21"/>
  <c r="E1012" i="21"/>
  <c r="E102" i="21"/>
  <c r="E198" i="21"/>
  <c r="E307" i="21"/>
  <c r="E417" i="21"/>
  <c r="E521" i="21"/>
  <c r="E629" i="21"/>
  <c r="E755" i="21"/>
  <c r="E876" i="21"/>
  <c r="E1013" i="21"/>
  <c r="E105" i="21"/>
  <c r="E211" i="21"/>
  <c r="E309" i="21"/>
  <c r="E418" i="21"/>
  <c r="E522" i="21"/>
  <c r="E632" i="21"/>
  <c r="E756" i="21"/>
  <c r="E877" i="21"/>
  <c r="E1023" i="21"/>
  <c r="E38" i="21"/>
  <c r="E146" i="21"/>
  <c r="E250" i="21"/>
  <c r="E358" i="21"/>
  <c r="E467" i="21"/>
  <c r="E565" i="21"/>
  <c r="E684" i="21"/>
  <c r="E802" i="21"/>
  <c r="E930" i="21"/>
  <c r="E1080" i="21"/>
  <c r="E41" i="21"/>
  <c r="E147" i="21"/>
  <c r="E257" i="21"/>
  <c r="E361" i="21"/>
  <c r="E469" i="21"/>
  <c r="E578" i="21"/>
  <c r="E685" i="21"/>
  <c r="E809" i="21"/>
  <c r="E933" i="21"/>
  <c r="E1085" i="21"/>
  <c r="E149" i="21"/>
  <c r="E362" i="21"/>
  <c r="E579" i="21"/>
  <c r="E701" i="21"/>
  <c r="E812" i="21"/>
  <c r="E1087" i="21"/>
  <c r="E150" i="21"/>
  <c r="E259" i="21"/>
  <c r="E473" i="21"/>
  <c r="E581" i="21"/>
  <c r="E702" i="21"/>
  <c r="E820" i="21"/>
  <c r="E1091" i="21"/>
  <c r="E51" i="21"/>
  <c r="E154" i="21"/>
  <c r="E261" i="21"/>
  <c r="E370" i="21"/>
  <c r="E474" i="21"/>
  <c r="E582" i="21"/>
  <c r="E703" i="21"/>
  <c r="E829" i="21"/>
  <c r="E952" i="21"/>
  <c r="E1092" i="21"/>
  <c r="E194" i="21"/>
  <c r="E514" i="21"/>
  <c r="E867" i="21"/>
  <c r="E745" i="21"/>
  <c r="E628" i="21"/>
  <c r="E49" i="21"/>
  <c r="E258" i="21"/>
  <c r="E470" i="21"/>
  <c r="E934" i="21"/>
  <c r="E50" i="21"/>
  <c r="E369" i="21"/>
  <c r="E944" i="21"/>
  <c r="E83" i="21"/>
  <c r="E161" i="21"/>
  <c r="E265" i="21"/>
  <c r="E371" i="21"/>
  <c r="E481" i="21"/>
  <c r="E585" i="21"/>
  <c r="E705" i="21"/>
  <c r="E830" i="21"/>
  <c r="E956" i="21"/>
  <c r="E1110" i="21"/>
  <c r="E869" i="21"/>
  <c r="E85" i="21"/>
  <c r="E186" i="21"/>
  <c r="E294" i="21"/>
  <c r="E403" i="21"/>
  <c r="E513" i="21"/>
  <c r="E617" i="21"/>
  <c r="E741" i="21"/>
  <c r="E866" i="21"/>
  <c r="E989" i="21"/>
  <c r="E1144" i="21"/>
  <c r="E1151" i="21"/>
  <c r="F38" i="21"/>
  <c r="E1173" i="21"/>
  <c r="F39" i="21"/>
  <c r="E1184" i="21"/>
  <c r="F159" i="21"/>
  <c r="E1185" i="21"/>
  <c r="F160" i="21"/>
  <c r="E1189" i="21"/>
  <c r="F273" i="21"/>
  <c r="E1191" i="21"/>
  <c r="F305" i="21"/>
  <c r="E1195" i="21"/>
  <c r="F430" i="21"/>
  <c r="E53" i="21"/>
  <c r="E66" i="21"/>
  <c r="E114" i="21"/>
  <c r="E163" i="21"/>
  <c r="E218" i="21"/>
  <c r="E273" i="21"/>
  <c r="E326" i="21"/>
  <c r="E377" i="21"/>
  <c r="E435" i="21"/>
  <c r="E485" i="21"/>
  <c r="E545" i="21"/>
  <c r="E593" i="21"/>
  <c r="E655" i="21"/>
  <c r="E709" i="21"/>
  <c r="E766" i="21"/>
  <c r="E833" i="21"/>
  <c r="E892" i="21"/>
  <c r="E964" i="21"/>
  <c r="E1032" i="21"/>
  <c r="E1121" i="21"/>
  <c r="E1211" i="21"/>
  <c r="F561" i="21"/>
  <c r="E9" i="21"/>
  <c r="E67" i="21"/>
  <c r="E115" i="21"/>
  <c r="E177" i="21"/>
  <c r="E225" i="21"/>
  <c r="E274" i="21"/>
  <c r="E329" i="21"/>
  <c r="E378" i="21"/>
  <c r="E437" i="21"/>
  <c r="E486" i="21"/>
  <c r="E546" i="21"/>
  <c r="E595" i="21"/>
  <c r="E656" i="21"/>
  <c r="E710" i="21"/>
  <c r="E780" i="21"/>
  <c r="E834" i="21"/>
  <c r="E895" i="21"/>
  <c r="E965" i="21"/>
  <c r="E1042" i="21"/>
  <c r="E1122" i="21"/>
  <c r="E1213" i="21"/>
  <c r="F562" i="21"/>
  <c r="E10" i="21"/>
  <c r="E69" i="21"/>
  <c r="E118" i="21"/>
  <c r="E178" i="21"/>
  <c r="E226" i="21"/>
  <c r="E282" i="21"/>
  <c r="E330" i="21"/>
  <c r="E385" i="21"/>
  <c r="E438" i="21"/>
  <c r="E489" i="21"/>
  <c r="E547" i="21"/>
  <c r="E597" i="21"/>
  <c r="E663" i="21"/>
  <c r="E720" i="21"/>
  <c r="E783" i="21"/>
  <c r="E837" i="21"/>
  <c r="E910" i="21"/>
  <c r="E967" i="21"/>
  <c r="E1043" i="21"/>
  <c r="E1123" i="21"/>
  <c r="E1217" i="21"/>
  <c r="F692" i="21"/>
  <c r="E162" i="21"/>
  <c r="E217" i="21"/>
  <c r="E266" i="21"/>
  <c r="E325" i="21"/>
  <c r="E374" i="21"/>
  <c r="E434" i="21"/>
  <c r="E482" i="21"/>
  <c r="E538" i="21"/>
  <c r="E586" i="21"/>
  <c r="E645" i="21"/>
  <c r="E706" i="21"/>
  <c r="E765" i="21"/>
  <c r="E831" i="21"/>
  <c r="E888" i="21"/>
  <c r="E963" i="21"/>
  <c r="E1031" i="21"/>
  <c r="E1111" i="21"/>
  <c r="E1209" i="21"/>
  <c r="F431" i="21"/>
  <c r="E17" i="21"/>
  <c r="E70" i="21"/>
  <c r="E121" i="21"/>
  <c r="E179" i="21"/>
  <c r="E229" i="21"/>
  <c r="E289" i="21"/>
  <c r="E337" i="21"/>
  <c r="E393" i="21"/>
  <c r="E441" i="21"/>
  <c r="E490" i="21"/>
  <c r="E549" i="21"/>
  <c r="E598" i="21"/>
  <c r="E664" i="21"/>
  <c r="E721" i="21"/>
  <c r="E784" i="21"/>
  <c r="E847" i="21"/>
  <c r="E911" i="21"/>
  <c r="E974" i="21"/>
  <c r="E1061" i="21"/>
  <c r="E1125" i="21"/>
  <c r="E1231" i="21"/>
  <c r="F693" i="21"/>
  <c r="E18" i="21"/>
  <c r="E73" i="21"/>
  <c r="E122" i="21"/>
  <c r="E181" i="21"/>
  <c r="E230" i="21"/>
  <c r="E290" i="21"/>
  <c r="E339" i="21"/>
  <c r="E394" i="21"/>
  <c r="E442" i="21"/>
  <c r="E502" i="21"/>
  <c r="E550" i="21"/>
  <c r="E601" i="21"/>
  <c r="E665" i="21"/>
  <c r="E723" i="21"/>
  <c r="E791" i="21"/>
  <c r="E848" i="21"/>
  <c r="E914" i="21"/>
  <c r="E982" i="21"/>
  <c r="E1062" i="21"/>
  <c r="E1132" i="21"/>
  <c r="E1256" i="21"/>
  <c r="F694" i="21"/>
  <c r="E26" i="21"/>
  <c r="E74" i="21"/>
  <c r="E129" i="21"/>
  <c r="E182" i="21"/>
  <c r="E233" i="21"/>
  <c r="E291" i="21"/>
  <c r="E341" i="21"/>
  <c r="E401" i="21"/>
  <c r="E450" i="21"/>
  <c r="E505" i="21"/>
  <c r="E553" i="21"/>
  <c r="E613" i="21"/>
  <c r="E669" i="21"/>
  <c r="E724" i="21"/>
  <c r="E792" i="21"/>
  <c r="E849" i="21"/>
  <c r="E915" i="21"/>
  <c r="E983" i="21"/>
  <c r="E1063" i="21"/>
  <c r="E1141" i="21"/>
  <c r="E1257" i="21"/>
  <c r="F835" i="21"/>
  <c r="E33" i="21"/>
  <c r="E81" i="21"/>
  <c r="E137" i="21"/>
  <c r="E185" i="21"/>
  <c r="E234" i="21"/>
  <c r="E293" i="21"/>
  <c r="E342" i="21"/>
  <c r="E402" i="21"/>
  <c r="E451" i="21"/>
  <c r="E506" i="21"/>
  <c r="E561" i="21"/>
  <c r="E614" i="21"/>
  <c r="E670" i="21"/>
  <c r="E739" i="21"/>
  <c r="E793" i="21"/>
  <c r="E851" i="21"/>
  <c r="E925" i="21"/>
  <c r="E984" i="21"/>
  <c r="E1068" i="21"/>
  <c r="E1142" i="21"/>
  <c r="E1258" i="21"/>
  <c r="F836" i="21"/>
  <c r="F974" i="21"/>
  <c r="F1009" i="21"/>
  <c r="F40" i="21"/>
  <c r="F191" i="21"/>
  <c r="F306" i="21"/>
  <c r="F433" i="21"/>
  <c r="F1256" i="21"/>
  <c r="F1250" i="21"/>
  <c r="F1218" i="21"/>
  <c r="F1176" i="21"/>
  <c r="F1138" i="21"/>
  <c r="F1098" i="21"/>
  <c r="F1071" i="21"/>
  <c r="F1031" i="21"/>
  <c r="F1006" i="21"/>
  <c r="F970" i="21"/>
  <c r="F945" i="21"/>
  <c r="F913" i="21"/>
  <c r="F885" i="21"/>
  <c r="F858" i="21"/>
  <c r="F826" i="21"/>
  <c r="F801" i="21"/>
  <c r="F773" i="21"/>
  <c r="F741" i="21"/>
  <c r="F714" i="21"/>
  <c r="F689" i="21"/>
  <c r="F657" i="21"/>
  <c r="F629" i="21"/>
  <c r="F602" i="21"/>
  <c r="F575" i="21"/>
  <c r="F549" i="21"/>
  <c r="F526" i="21"/>
  <c r="F496" i="21"/>
  <c r="F470" i="21"/>
  <c r="F447" i="21"/>
  <c r="F417" i="21"/>
  <c r="F391" i="21"/>
  <c r="F368" i="21"/>
  <c r="F338" i="21"/>
  <c r="F312" i="21"/>
  <c r="F289" i="21"/>
  <c r="F259" i="21"/>
  <c r="F233" i="21"/>
  <c r="F210" i="21"/>
  <c r="F180" i="21"/>
  <c r="F154" i="21"/>
  <c r="F131" i="21"/>
  <c r="F101" i="21"/>
  <c r="F78" i="21"/>
  <c r="F52" i="21"/>
  <c r="F22" i="21"/>
  <c r="F1166" i="21"/>
  <c r="F849" i="21"/>
  <c r="F677" i="21"/>
  <c r="F545" i="21"/>
  <c r="F489" i="21"/>
  <c r="F436" i="21"/>
  <c r="F357" i="21"/>
  <c r="F1248" i="21"/>
  <c r="F1210" i="21"/>
  <c r="F1175" i="21"/>
  <c r="F1137" i="21"/>
  <c r="F1096" i="21"/>
  <c r="F1070" i="21"/>
  <c r="F1030" i="21"/>
  <c r="F997" i="21"/>
  <c r="F968" i="21"/>
  <c r="F944" i="21"/>
  <c r="F912" i="21"/>
  <c r="F884" i="21"/>
  <c r="F856" i="21"/>
  <c r="F824" i="21"/>
  <c r="F800" i="21"/>
  <c r="F772" i="21"/>
  <c r="F740" i="21"/>
  <c r="F712" i="21"/>
  <c r="F688" i="21"/>
  <c r="F656" i="21"/>
  <c r="F628" i="21"/>
  <c r="F601" i="21"/>
  <c r="F574" i="21"/>
  <c r="F548" i="21"/>
  <c r="F522" i="21"/>
  <c r="F495" i="21"/>
  <c r="F469" i="21"/>
  <c r="F446" i="21"/>
  <c r="F416" i="21"/>
  <c r="F390" i="21"/>
  <c r="F367" i="21"/>
  <c r="F337" i="21"/>
  <c r="F311" i="21"/>
  <c r="F288" i="21"/>
  <c r="F258" i="21"/>
  <c r="F232" i="21"/>
  <c r="F209" i="21"/>
  <c r="F179" i="21"/>
  <c r="F153" i="21"/>
  <c r="F130" i="21"/>
  <c r="F100" i="21"/>
  <c r="F74" i="21"/>
  <c r="F51" i="21"/>
  <c r="F21" i="21"/>
  <c r="F1203" i="21"/>
  <c r="F1093" i="21"/>
  <c r="F1057" i="21"/>
  <c r="F993" i="21"/>
  <c r="F933" i="21"/>
  <c r="F906" i="21"/>
  <c r="F881" i="21"/>
  <c r="F794" i="21"/>
  <c r="F762" i="21"/>
  <c r="F709" i="21"/>
  <c r="F625" i="21"/>
  <c r="F1247" i="21"/>
  <c r="F1206" i="21"/>
  <c r="F1174" i="21"/>
  <c r="F1136" i="21"/>
  <c r="F1095" i="21"/>
  <c r="F1061" i="21"/>
  <c r="F1029" i="21"/>
  <c r="F995" i="21"/>
  <c r="F967" i="21"/>
  <c r="F943" i="21"/>
  <c r="F911" i="21"/>
  <c r="F883" i="21"/>
  <c r="F855" i="21"/>
  <c r="F823" i="21"/>
  <c r="F799" i="21"/>
  <c r="F771" i="21"/>
  <c r="F739" i="21"/>
  <c r="F711" i="21"/>
  <c r="F687" i="21"/>
  <c r="F655" i="21"/>
  <c r="F627" i="21"/>
  <c r="F600" i="21"/>
  <c r="F570" i="21"/>
  <c r="F547" i="21"/>
  <c r="F521" i="21"/>
  <c r="F494" i="21"/>
  <c r="F468" i="21"/>
  <c r="F442" i="21"/>
  <c r="F415" i="21"/>
  <c r="F389" i="21"/>
  <c r="F366" i="21"/>
  <c r="F336" i="21"/>
  <c r="F310" i="21"/>
  <c r="F287" i="21"/>
  <c r="F257" i="21"/>
  <c r="F231" i="21"/>
  <c r="F208" i="21"/>
  <c r="F178" i="21"/>
  <c r="F152" i="21"/>
  <c r="F129" i="21"/>
  <c r="F99" i="21"/>
  <c r="F73" i="21"/>
  <c r="F50" i="21"/>
  <c r="F20" i="21"/>
  <c r="F308" i="21"/>
  <c r="F1246" i="21"/>
  <c r="F1204" i="21"/>
  <c r="F1169" i="21"/>
  <c r="F1135" i="21"/>
  <c r="F1094" i="21"/>
  <c r="F1058" i="21"/>
  <c r="F1028" i="21"/>
  <c r="F994" i="21"/>
  <c r="F966" i="21"/>
  <c r="F942" i="21"/>
  <c r="F910" i="21"/>
  <c r="F882" i="21"/>
  <c r="F854" i="21"/>
  <c r="F822" i="21"/>
  <c r="F798" i="21"/>
  <c r="F770" i="21"/>
  <c r="F738" i="21"/>
  <c r="F710" i="21"/>
  <c r="F686" i="21"/>
  <c r="F654" i="21"/>
  <c r="F626" i="21"/>
  <c r="F599" i="21"/>
  <c r="F569" i="21"/>
  <c r="F546" i="21"/>
  <c r="F520" i="21"/>
  <c r="F490" i="21"/>
  <c r="F467" i="21"/>
  <c r="F441" i="21"/>
  <c r="F414" i="21"/>
  <c r="F388" i="21"/>
  <c r="F362" i="21"/>
  <c r="F335" i="21"/>
  <c r="F309" i="21"/>
  <c r="F286" i="21"/>
  <c r="F256" i="21"/>
  <c r="F230" i="21"/>
  <c r="F207" i="21"/>
  <c r="F177" i="21"/>
  <c r="F151" i="21"/>
  <c r="F128" i="21"/>
  <c r="F98" i="21"/>
  <c r="F72" i="21"/>
  <c r="F49" i="21"/>
  <c r="F19" i="21"/>
  <c r="F1242" i="21"/>
  <c r="F1134" i="21"/>
  <c r="F1027" i="21"/>
  <c r="F965" i="21"/>
  <c r="F821" i="21"/>
  <c r="F737" i="21"/>
  <c r="F650" i="21"/>
  <c r="F594" i="21"/>
  <c r="F515" i="21"/>
  <c r="F466" i="21"/>
  <c r="F410" i="21"/>
  <c r="F387" i="21"/>
  <c r="F334" i="21"/>
  <c r="F1240" i="21"/>
  <c r="F1202" i="21"/>
  <c r="F1239" i="21"/>
  <c r="F1201" i="21"/>
  <c r="F1238" i="21"/>
  <c r="F1200" i="21"/>
  <c r="F1233" i="21"/>
  <c r="F1199" i="21"/>
  <c r="F1157" i="21"/>
  <c r="F1119" i="21"/>
  <c r="F1082" i="21"/>
  <c r="F1050" i="21"/>
  <c r="F1014" i="21"/>
  <c r="F986" i="21"/>
  <c r="F954" i="21"/>
  <c r="F929" i="21"/>
  <c r="F901" i="21"/>
  <c r="F869" i="21"/>
  <c r="F842" i="21"/>
  <c r="F817" i="21"/>
  <c r="F785" i="21"/>
  <c r="F757" i="21"/>
  <c r="F730" i="21"/>
  <c r="F698" i="21"/>
  <c r="F673" i="21"/>
  <c r="F645" i="21"/>
  <c r="F613" i="21"/>
  <c r="F590" i="21"/>
  <c r="F564" i="21"/>
  <c r="F534" i="21"/>
  <c r="F511" i="21"/>
  <c r="F485" i="21"/>
  <c r="F455" i="21"/>
  <c r="F432" i="21"/>
  <c r="F406" i="21"/>
  <c r="F376" i="21"/>
  <c r="F353" i="21"/>
  <c r="F327" i="21"/>
  <c r="F297" i="21"/>
  <c r="F274" i="21"/>
  <c r="F248" i="21"/>
  <c r="F218" i="21"/>
  <c r="F195" i="21"/>
  <c r="F169" i="21"/>
  <c r="F142" i="21"/>
  <c r="F116" i="21"/>
  <c r="F90" i="21"/>
  <c r="F63" i="21"/>
  <c r="F37" i="21"/>
  <c r="F14" i="21"/>
  <c r="F1230" i="21"/>
  <c r="F1198" i="21"/>
  <c r="F1224" i="21"/>
  <c r="F1189" i="21"/>
  <c r="F1223" i="21"/>
  <c r="F1186" i="21"/>
  <c r="F1222" i="21"/>
  <c r="F1184" i="21"/>
  <c r="F1221" i="21"/>
  <c r="F1183" i="21"/>
  <c r="F1220" i="21"/>
  <c r="F1182" i="21"/>
  <c r="F1219" i="21"/>
  <c r="F1178" i="21"/>
  <c r="F1160" i="21"/>
  <c r="F1111" i="21"/>
  <c r="F1054" i="21"/>
  <c r="F1008" i="21"/>
  <c r="F951" i="21"/>
  <c r="F904" i="21"/>
  <c r="F865" i="21"/>
  <c r="F818" i="21"/>
  <c r="F775" i="21"/>
  <c r="F727" i="21"/>
  <c r="F676" i="21"/>
  <c r="F634" i="21"/>
  <c r="F591" i="21"/>
  <c r="F552" i="21"/>
  <c r="F510" i="21"/>
  <c r="F471" i="21"/>
  <c r="F426" i="21"/>
  <c r="F385" i="21"/>
  <c r="F345" i="21"/>
  <c r="F296" i="21"/>
  <c r="F265" i="21"/>
  <c r="F226" i="21"/>
  <c r="F190" i="21"/>
  <c r="F148" i="21"/>
  <c r="F112" i="21"/>
  <c r="F70" i="21"/>
  <c r="F34" i="21"/>
  <c r="F1158" i="21"/>
  <c r="F1047" i="21"/>
  <c r="F992" i="21"/>
  <c r="F949" i="21"/>
  <c r="F902" i="21"/>
  <c r="F863" i="21"/>
  <c r="F815" i="21"/>
  <c r="F721" i="21"/>
  <c r="F674" i="21"/>
  <c r="F585" i="21"/>
  <c r="F505" i="21"/>
  <c r="F424" i="21"/>
  <c r="F343" i="21"/>
  <c r="F255" i="21"/>
  <c r="F185" i="21"/>
  <c r="F110" i="21"/>
  <c r="F68" i="21"/>
  <c r="F1156" i="21"/>
  <c r="F900" i="21"/>
  <c r="F759" i="21"/>
  <c r="F672" i="21"/>
  <c r="F584" i="21"/>
  <c r="F504" i="21"/>
  <c r="F423" i="21"/>
  <c r="F330" i="21"/>
  <c r="F254" i="21"/>
  <c r="F176" i="21"/>
  <c r="F106" i="21"/>
  <c r="F31" i="21"/>
  <c r="F977" i="21"/>
  <c r="F976" i="21"/>
  <c r="F319" i="21"/>
  <c r="F1075" i="21"/>
  <c r="F751" i="21"/>
  <c r="F529" i="21"/>
  <c r="F355" i="21"/>
  <c r="F239" i="21"/>
  <c r="F87" i="21"/>
  <c r="F1159" i="21"/>
  <c r="F1110" i="21"/>
  <c r="F1048" i="21"/>
  <c r="F1007" i="21"/>
  <c r="F950" i="21"/>
  <c r="F903" i="21"/>
  <c r="F864" i="21"/>
  <c r="F816" i="21"/>
  <c r="F774" i="21"/>
  <c r="F726" i="21"/>
  <c r="F675" i="21"/>
  <c r="F632" i="21"/>
  <c r="F586" i="21"/>
  <c r="F551" i="21"/>
  <c r="F506" i="21"/>
  <c r="F465" i="21"/>
  <c r="F425" i="21"/>
  <c r="F384" i="21"/>
  <c r="F344" i="21"/>
  <c r="F295" i="21"/>
  <c r="F264" i="21"/>
  <c r="F217" i="21"/>
  <c r="F186" i="21"/>
  <c r="F147" i="21"/>
  <c r="F111" i="21"/>
  <c r="F69" i="21"/>
  <c r="F33" i="21"/>
  <c r="F1105" i="21"/>
  <c r="F760" i="21"/>
  <c r="F631" i="21"/>
  <c r="F550" i="21"/>
  <c r="F464" i="21"/>
  <c r="F375" i="21"/>
  <c r="F294" i="21"/>
  <c r="F216" i="21"/>
  <c r="F138" i="21"/>
  <c r="F32" i="21"/>
  <c r="F1102" i="21"/>
  <c r="F1046" i="21"/>
  <c r="F991" i="21"/>
  <c r="F948" i="21"/>
  <c r="F862" i="21"/>
  <c r="F814" i="21"/>
  <c r="F720" i="21"/>
  <c r="F630" i="21"/>
  <c r="F544" i="21"/>
  <c r="F463" i="21"/>
  <c r="F374" i="21"/>
  <c r="F293" i="21"/>
  <c r="F215" i="21"/>
  <c r="F137" i="21"/>
  <c r="F62" i="21"/>
  <c r="F1026" i="21"/>
  <c r="F1018" i="21"/>
  <c r="F662" i="21"/>
  <c r="F486" i="21"/>
  <c r="F356" i="21"/>
  <c r="F166" i="21"/>
  <c r="F10" i="21"/>
  <c r="F1015" i="21"/>
  <c r="F648" i="21"/>
  <c r="F448" i="21"/>
  <c r="F318" i="21"/>
  <c r="F197" i="21"/>
  <c r="F119" i="21"/>
  <c r="F9" i="21"/>
  <c r="F1155" i="21"/>
  <c r="F1092" i="21"/>
  <c r="F1041" i="21"/>
  <c r="F990" i="21"/>
  <c r="F947" i="21"/>
  <c r="F899" i="21"/>
  <c r="F848" i="21"/>
  <c r="F805" i="21"/>
  <c r="F758" i="21"/>
  <c r="F719" i="21"/>
  <c r="F671" i="21"/>
  <c r="F624" i="21"/>
  <c r="F583" i="21"/>
  <c r="F543" i="21"/>
  <c r="F503" i="21"/>
  <c r="F454" i="21"/>
  <c r="F422" i="21"/>
  <c r="F373" i="21"/>
  <c r="F329" i="21"/>
  <c r="F292" i="21"/>
  <c r="F250" i="21"/>
  <c r="F214" i="21"/>
  <c r="F175" i="21"/>
  <c r="F136" i="21"/>
  <c r="F97" i="21"/>
  <c r="F58" i="21"/>
  <c r="F30" i="21"/>
  <c r="F1146" i="21"/>
  <c r="F755" i="21"/>
  <c r="F666" i="21"/>
  <c r="F581" i="21"/>
  <c r="F501" i="21"/>
  <c r="F408" i="21"/>
  <c r="F326" i="21"/>
  <c r="F247" i="21"/>
  <c r="F170" i="21"/>
  <c r="F95" i="21"/>
  <c r="F17" i="21"/>
  <c r="F1078" i="21"/>
  <c r="F664" i="21"/>
  <c r="F532" i="21"/>
  <c r="F451" i="21"/>
  <c r="F370" i="21"/>
  <c r="F278" i="21"/>
  <c r="F211" i="21"/>
  <c r="F133" i="21"/>
  <c r="F55" i="21"/>
  <c r="F1077" i="21"/>
  <c r="F930" i="21"/>
  <c r="F839" i="21"/>
  <c r="F792" i="21"/>
  <c r="F706" i="21"/>
  <c r="F611" i="21"/>
  <c r="F531" i="21"/>
  <c r="F450" i="21"/>
  <c r="F369" i="21"/>
  <c r="F277" i="21"/>
  <c r="F199" i="21"/>
  <c r="F132" i="21"/>
  <c r="F54" i="21"/>
  <c r="F15" i="21"/>
  <c r="F1139" i="21"/>
  <c r="F928" i="21"/>
  <c r="F838" i="21"/>
  <c r="F752" i="21"/>
  <c r="F610" i="21"/>
  <c r="F530" i="21"/>
  <c r="F404" i="21"/>
  <c r="F240" i="21"/>
  <c r="F120" i="21"/>
  <c r="F53" i="21"/>
  <c r="F1125" i="21"/>
  <c r="F975" i="21"/>
  <c r="F927" i="21"/>
  <c r="F880" i="21"/>
  <c r="F837" i="21"/>
  <c r="F790" i="21"/>
  <c r="F695" i="21"/>
  <c r="F609" i="21"/>
  <c r="F566" i="21"/>
  <c r="F484" i="21"/>
  <c r="F403" i="21"/>
  <c r="F275" i="21"/>
  <c r="F161" i="21"/>
  <c r="F41" i="21"/>
  <c r="F1154" i="21"/>
  <c r="F1091" i="21"/>
  <c r="F1038" i="21"/>
  <c r="F984" i="21"/>
  <c r="F946" i="21"/>
  <c r="F898" i="21"/>
  <c r="F847" i="21"/>
  <c r="F804" i="21"/>
  <c r="F756" i="21"/>
  <c r="F718" i="21"/>
  <c r="F670" i="21"/>
  <c r="F623" i="21"/>
  <c r="F582" i="21"/>
  <c r="F542" i="21"/>
  <c r="F502" i="21"/>
  <c r="F453" i="21"/>
  <c r="F409" i="21"/>
  <c r="F372" i="21"/>
  <c r="F328" i="21"/>
  <c r="F291" i="21"/>
  <c r="F249" i="21"/>
  <c r="F213" i="21"/>
  <c r="F174" i="21"/>
  <c r="F135" i="21"/>
  <c r="F96" i="21"/>
  <c r="F57" i="21"/>
  <c r="F18" i="21"/>
  <c r="F1090" i="21"/>
  <c r="F1034" i="21"/>
  <c r="F983" i="21"/>
  <c r="F932" i="21"/>
  <c r="F890" i="21"/>
  <c r="F846" i="21"/>
  <c r="F803" i="21"/>
  <c r="F708" i="21"/>
  <c r="F622" i="21"/>
  <c r="F533" i="21"/>
  <c r="F452" i="21"/>
  <c r="F371" i="21"/>
  <c r="F290" i="21"/>
  <c r="F212" i="21"/>
  <c r="F134" i="21"/>
  <c r="F56" i="21"/>
  <c r="F1142" i="21"/>
  <c r="F1032" i="21"/>
  <c r="F982" i="21"/>
  <c r="F931" i="21"/>
  <c r="F888" i="21"/>
  <c r="F840" i="21"/>
  <c r="F802" i="21"/>
  <c r="F754" i="21"/>
  <c r="F707" i="21"/>
  <c r="F612" i="21"/>
  <c r="F580" i="21"/>
  <c r="F488" i="21"/>
  <c r="F407" i="21"/>
  <c r="F325" i="21"/>
  <c r="F246" i="21"/>
  <c r="F168" i="21"/>
  <c r="F94" i="21"/>
  <c r="F16" i="21"/>
  <c r="F1140" i="21"/>
  <c r="F887" i="21"/>
  <c r="F753" i="21"/>
  <c r="F663" i="21"/>
  <c r="F568" i="21"/>
  <c r="F487" i="21"/>
  <c r="F405" i="21"/>
  <c r="F324" i="21"/>
  <c r="F245" i="21"/>
  <c r="F167" i="21"/>
  <c r="F89" i="21"/>
  <c r="F1076" i="21"/>
  <c r="F886" i="21"/>
  <c r="F791" i="21"/>
  <c r="F696" i="21"/>
  <c r="F567" i="21"/>
  <c r="F449" i="21"/>
  <c r="F276" i="21"/>
  <c r="F198" i="21"/>
  <c r="F88" i="21"/>
  <c r="F118" i="21"/>
  <c r="F266" i="21"/>
  <c r="F392" i="21"/>
  <c r="F514" i="21"/>
  <c r="F646" i="21"/>
  <c r="F784" i="21"/>
  <c r="F1114" i="21"/>
  <c r="F8" i="21"/>
  <c r="F149" i="21"/>
  <c r="F270" i="21"/>
  <c r="F393" i="21"/>
  <c r="F527" i="21"/>
  <c r="F647" i="21"/>
  <c r="F819" i="21"/>
  <c r="F962" i="21"/>
  <c r="F35" i="21"/>
  <c r="F150" i="21"/>
  <c r="F271" i="21"/>
  <c r="F394" i="21"/>
  <c r="F528" i="21"/>
  <c r="F690" i="21"/>
  <c r="F820" i="21"/>
  <c r="F963" i="21"/>
  <c r="F1120" i="21"/>
  <c r="F866" i="21"/>
  <c r="F1010" i="21"/>
  <c r="F71" i="21"/>
  <c r="F192" i="21"/>
  <c r="F307" i="21"/>
  <c r="F434" i="21"/>
  <c r="F565" i="21"/>
  <c r="F728" i="21"/>
  <c r="F867" i="21"/>
  <c r="F1011" i="21"/>
  <c r="F79" i="21"/>
  <c r="F193" i="21"/>
  <c r="F313" i="21"/>
  <c r="F435" i="21"/>
  <c r="F592" i="21"/>
  <c r="F734" i="21"/>
  <c r="F868" i="21"/>
  <c r="F1012" i="21"/>
  <c r="F80" i="21"/>
  <c r="F194" i="21"/>
  <c r="F314" i="21"/>
  <c r="F472" i="21"/>
  <c r="F593" i="21"/>
  <c r="F735" i="21"/>
  <c r="F878" i="21"/>
  <c r="F1013" i="21"/>
  <c r="F81" i="21"/>
  <c r="F196" i="21"/>
  <c r="F346" i="21"/>
  <c r="F473" i="21"/>
  <c r="F606" i="21"/>
  <c r="F736" i="21"/>
  <c r="F879" i="21"/>
  <c r="F1055" i="21"/>
  <c r="F82" i="21"/>
  <c r="F227" i="21"/>
  <c r="F350" i="21"/>
  <c r="F474" i="21"/>
  <c r="F607" i="21"/>
  <c r="F750" i="21"/>
  <c r="F918" i="21"/>
  <c r="F1056" i="21"/>
  <c r="F113" i="21"/>
  <c r="F228" i="21"/>
  <c r="F351" i="21"/>
  <c r="F482" i="21"/>
  <c r="F608" i="21"/>
  <c r="F776" i="21"/>
  <c r="F919" i="21"/>
  <c r="F1072" i="21"/>
  <c r="F114" i="21"/>
  <c r="F229" i="21"/>
  <c r="F352" i="21"/>
  <c r="F483" i="21"/>
  <c r="F642" i="21"/>
  <c r="F778" i="21"/>
  <c r="F920" i="21"/>
  <c r="F1073" i="21"/>
  <c r="F115" i="21"/>
  <c r="F234" i="21"/>
  <c r="F354" i="21"/>
  <c r="F512" i="21"/>
  <c r="F643" i="21"/>
  <c r="F782" i="21"/>
  <c r="F922" i="21"/>
  <c r="F1074" i="21"/>
  <c r="F117" i="21"/>
  <c r="F238" i="21"/>
  <c r="F386" i="21"/>
  <c r="F513" i="21"/>
  <c r="F644" i="21"/>
  <c r="F783" i="21"/>
  <c r="F926" i="21"/>
  <c r="F1112" i="21"/>
  <c r="F952" i="21"/>
  <c r="F1118" i="21"/>
  <c r="F36" i="21"/>
  <c r="F158" i="21"/>
  <c r="F272" i="21"/>
  <c r="F398" i="21"/>
  <c r="F553" i="21"/>
  <c r="F691" i="21"/>
  <c r="F834" i="21"/>
  <c r="F964" i="21"/>
  <c r="F1122" i="21"/>
  <c r="E42" i="21"/>
  <c r="E82" i="21"/>
  <c r="E117" i="21"/>
  <c r="E153" i="21"/>
  <c r="E193" i="21"/>
  <c r="E227" i="21"/>
  <c r="E262" i="21"/>
  <c r="E298" i="21"/>
  <c r="E338" i="21"/>
  <c r="E373" i="21"/>
  <c r="E409" i="21"/>
  <c r="E449" i="21"/>
  <c r="E483" i="21"/>
  <c r="E518" i="21"/>
  <c r="E554" i="21"/>
  <c r="E594" i="21"/>
  <c r="E631" i="21"/>
  <c r="E673" i="21"/>
  <c r="E719" i="21"/>
  <c r="E757" i="21"/>
  <c r="E798" i="21"/>
  <c r="E838" i="21"/>
  <c r="E885" i="21"/>
  <c r="E929" i="21"/>
  <c r="E975" i="21"/>
  <c r="E1027" i="21"/>
  <c r="E1084" i="21"/>
  <c r="E1140" i="21"/>
  <c r="E1210" i="21"/>
  <c r="E19" i="21"/>
  <c r="E54" i="21"/>
  <c r="E90" i="21"/>
  <c r="E130" i="21"/>
  <c r="E165" i="21"/>
  <c r="E201" i="21"/>
  <c r="E241" i="21"/>
  <c r="E275" i="21"/>
  <c r="E310" i="21"/>
  <c r="E346" i="21"/>
  <c r="E386" i="21"/>
  <c r="E421" i="21"/>
  <c r="E457" i="21"/>
  <c r="E497" i="21"/>
  <c r="E531" i="21"/>
  <c r="E566" i="21"/>
  <c r="E602" i="21"/>
  <c r="E646" i="21"/>
  <c r="E687" i="21"/>
  <c r="E727" i="21"/>
  <c r="E773" i="21"/>
  <c r="E813" i="21"/>
  <c r="E852" i="21"/>
  <c r="E896" i="21"/>
  <c r="E945" i="21"/>
  <c r="E993" i="21"/>
  <c r="E1044" i="21"/>
  <c r="E1102" i="21"/>
  <c r="E1159" i="21"/>
  <c r="E1232" i="21"/>
  <c r="E21" i="21"/>
  <c r="E57" i="21"/>
  <c r="E97" i="21"/>
  <c r="E131" i="21"/>
  <c r="E166" i="21"/>
  <c r="E202" i="21"/>
  <c r="E242" i="21"/>
  <c r="E277" i="21"/>
  <c r="E313" i="21"/>
  <c r="E353" i="21"/>
  <c r="E387" i="21"/>
  <c r="E422" i="21"/>
  <c r="E458" i="21"/>
  <c r="E498" i="21"/>
  <c r="E533" i="21"/>
  <c r="E569" i="21"/>
  <c r="E609" i="21"/>
  <c r="E647" i="21"/>
  <c r="E688" i="21"/>
  <c r="E728" i="21"/>
  <c r="E774" i="21"/>
  <c r="E815" i="21"/>
  <c r="E855" i="21"/>
  <c r="E903" i="21"/>
  <c r="E946" i="21"/>
  <c r="E994" i="21"/>
  <c r="E1046" i="21"/>
  <c r="E1103" i="21"/>
  <c r="E1160" i="21"/>
  <c r="E1233" i="21"/>
  <c r="E22" i="21"/>
  <c r="E58" i="21"/>
  <c r="E98" i="21"/>
  <c r="E133" i="21"/>
  <c r="E169" i="21"/>
  <c r="E209" i="21"/>
  <c r="E243" i="21"/>
  <c r="E278" i="21"/>
  <c r="E314" i="21"/>
  <c r="E354" i="21"/>
  <c r="E389" i="21"/>
  <c r="E425" i="21"/>
  <c r="E465" i="21"/>
  <c r="E499" i="21"/>
  <c r="E534" i="21"/>
  <c r="E570" i="21"/>
  <c r="E610" i="21"/>
  <c r="E649" i="21"/>
  <c r="E691" i="21"/>
  <c r="E737" i="21"/>
  <c r="E775" i="21"/>
  <c r="E816" i="21"/>
  <c r="E856" i="21"/>
  <c r="E904" i="21"/>
  <c r="E948" i="21"/>
  <c r="E1004" i="21"/>
  <c r="E1053" i="21"/>
  <c r="E1104" i="21"/>
  <c r="E1164" i="21"/>
  <c r="E1238" i="21"/>
  <c r="E25" i="21"/>
  <c r="E65" i="21"/>
  <c r="E99" i="21"/>
  <c r="E134" i="21"/>
  <c r="E170" i="21"/>
  <c r="E210" i="21"/>
  <c r="E245" i="21"/>
  <c r="E281" i="21"/>
  <c r="E321" i="21"/>
  <c r="E355" i="21"/>
  <c r="E390" i="21"/>
  <c r="E426" i="21"/>
  <c r="E466" i="21"/>
  <c r="E501" i="21"/>
  <c r="E537" i="21"/>
  <c r="E577" i="21"/>
  <c r="E611" i="21"/>
  <c r="E652" i="21"/>
  <c r="E692" i="21"/>
  <c r="E738" i="21"/>
  <c r="E777" i="21"/>
  <c r="E819" i="21"/>
  <c r="E865" i="21"/>
  <c r="E908" i="21"/>
  <c r="E949" i="21"/>
  <c r="E1005" i="21"/>
  <c r="E1054" i="21"/>
  <c r="E1106" i="21"/>
  <c r="E1166" i="21"/>
  <c r="E1245" i="21"/>
  <c r="E20" i="21"/>
  <c r="E36" i="21"/>
  <c r="E52" i="21"/>
  <c r="E68" i="21"/>
  <c r="E84" i="21"/>
  <c r="E100" i="21"/>
  <c r="E116" i="21"/>
  <c r="E132" i="21"/>
  <c r="E148" i="21"/>
  <c r="E164" i="21"/>
  <c r="E180" i="21"/>
  <c r="E196" i="21"/>
  <c r="E212" i="21"/>
  <c r="E228" i="21"/>
  <c r="E244" i="21"/>
  <c r="E260" i="21"/>
  <c r="E276" i="21"/>
  <c r="E292" i="21"/>
  <c r="E308" i="21"/>
  <c r="E324" i="21"/>
  <c r="E340" i="21"/>
  <c r="E356" i="21"/>
  <c r="E372" i="21"/>
  <c r="E388" i="21"/>
  <c r="E404" i="21"/>
  <c r="E420" i="21"/>
  <c r="E436" i="21"/>
  <c r="E452" i="21"/>
  <c r="E468" i="21"/>
  <c r="E484" i="21"/>
  <c r="E500" i="21"/>
  <c r="E516" i="21"/>
  <c r="E532" i="21"/>
  <c r="E548" i="21"/>
  <c r="E564" i="21"/>
  <c r="E580" i="21"/>
  <c r="E596" i="21"/>
  <c r="E612" i="21"/>
  <c r="E630" i="21"/>
  <c r="E648" i="21"/>
  <c r="E668" i="21"/>
  <c r="E686" i="21"/>
  <c r="E704" i="21"/>
  <c r="E722" i="21"/>
  <c r="E740" i="21"/>
  <c r="E758" i="21"/>
  <c r="E776" i="21"/>
  <c r="E796" i="21"/>
  <c r="E814" i="21"/>
  <c r="E832" i="21"/>
  <c r="E850" i="21"/>
  <c r="E868" i="21"/>
  <c r="E887" i="21"/>
  <c r="E909" i="21"/>
  <c r="E928" i="21"/>
  <c r="E947" i="21"/>
  <c r="E966" i="21"/>
  <c r="E988" i="21"/>
  <c r="E1007" i="21"/>
  <c r="E1026" i="21"/>
  <c r="E1045" i="21"/>
  <c r="E1064" i="21"/>
  <c r="E1086" i="21"/>
  <c r="E1105" i="21"/>
  <c r="E1124" i="21"/>
  <c r="E1143" i="21"/>
  <c r="E1165" i="21"/>
  <c r="E1190" i="21"/>
  <c r="E1212" i="21"/>
  <c r="E1252" i="21"/>
  <c r="E1236" i="21"/>
  <c r="E1220" i="21"/>
  <c r="E1204" i="21"/>
  <c r="E1188" i="21"/>
  <c r="E1172" i="21"/>
  <c r="E1251" i="21"/>
  <c r="E1235" i="21"/>
  <c r="E1219" i="21"/>
  <c r="E1203" i="21"/>
  <c r="E1187" i="21"/>
  <c r="E1171" i="21"/>
  <c r="E1250" i="21"/>
  <c r="E1234" i="21"/>
  <c r="E1218" i="21"/>
  <c r="E1202" i="21"/>
  <c r="E1186" i="21"/>
  <c r="E1170" i="21"/>
  <c r="E1261" i="21"/>
  <c r="E1242" i="21"/>
  <c r="E1223" i="21"/>
  <c r="E1201" i="21"/>
  <c r="E1182" i="21"/>
  <c r="E1163" i="21"/>
  <c r="E1147" i="21"/>
  <c r="E1131" i="21"/>
  <c r="E1115" i="21"/>
  <c r="E1099" i="21"/>
  <c r="E1083" i="21"/>
  <c r="E1067" i="21"/>
  <c r="E1051" i="21"/>
  <c r="E1035" i="21"/>
  <c r="E1019" i="21"/>
  <c r="E1003" i="21"/>
  <c r="E987" i="21"/>
  <c r="E971" i="21"/>
  <c r="E955" i="21"/>
  <c r="E939" i="21"/>
  <c r="E923" i="21"/>
  <c r="E907" i="21"/>
  <c r="E891" i="21"/>
  <c r="E875" i="21"/>
  <c r="E859" i="21"/>
  <c r="E843" i="21"/>
  <c r="E827" i="21"/>
  <c r="E811" i="21"/>
  <c r="E795" i="21"/>
  <c r="E779" i="21"/>
  <c r="E763" i="21"/>
  <c r="E747" i="21"/>
  <c r="E731" i="21"/>
  <c r="E715" i="21"/>
  <c r="E699" i="21"/>
  <c r="E683" i="21"/>
  <c r="E667" i="21"/>
  <c r="E651" i="21"/>
  <c r="E635" i="21"/>
  <c r="E619" i="21"/>
  <c r="E1260" i="21"/>
  <c r="E1241" i="21"/>
  <c r="E1222" i="21"/>
  <c r="E1200" i="21"/>
  <c r="E1181" i="21"/>
  <c r="E1162" i="21"/>
  <c r="E1146" i="21"/>
  <c r="E1130" i="21"/>
  <c r="E1114" i="21"/>
  <c r="E1098" i="21"/>
  <c r="E1082" i="21"/>
  <c r="E1066" i="21"/>
  <c r="E1050" i="21"/>
  <c r="E1034" i="21"/>
  <c r="E1018" i="21"/>
  <c r="E1002" i="21"/>
  <c r="E986" i="21"/>
  <c r="E970" i="21"/>
  <c r="E954" i="21"/>
  <c r="E938" i="21"/>
  <c r="E922" i="21"/>
  <c r="E906" i="21"/>
  <c r="E890" i="21"/>
  <c r="E874" i="21"/>
  <c r="E858" i="21"/>
  <c r="E842" i="21"/>
  <c r="E826" i="21"/>
  <c r="E810" i="21"/>
  <c r="E794" i="21"/>
  <c r="E778" i="21"/>
  <c r="E762" i="21"/>
  <c r="E746" i="21"/>
  <c r="E730" i="21"/>
  <c r="E714" i="21"/>
  <c r="E698" i="21"/>
  <c r="E682" i="21"/>
  <c r="E666" i="21"/>
  <c r="E650" i="21"/>
  <c r="E634" i="21"/>
  <c r="E618" i="21"/>
  <c r="E1259" i="21"/>
  <c r="E1240" i="21"/>
  <c r="E1221" i="21"/>
  <c r="E1199" i="21"/>
  <c r="E1180" i="21"/>
  <c r="E1161" i="21"/>
  <c r="E1145" i="21"/>
  <c r="E1129" i="21"/>
  <c r="E1113" i="21"/>
  <c r="E1097" i="21"/>
  <c r="E1081" i="21"/>
  <c r="E1065" i="21"/>
  <c r="E1049" i="21"/>
  <c r="E1033" i="21"/>
  <c r="E1017" i="21"/>
  <c r="E1001" i="21"/>
  <c r="E985" i="21"/>
  <c r="E969" i="21"/>
  <c r="E953" i="21"/>
  <c r="E937" i="21"/>
  <c r="E921" i="21"/>
  <c r="E905" i="21"/>
  <c r="E889" i="21"/>
  <c r="E873" i="21"/>
  <c r="E23" i="21"/>
  <c r="E39" i="21"/>
  <c r="E55" i="21"/>
  <c r="E71" i="21"/>
  <c r="E87" i="21"/>
  <c r="E103" i="21"/>
  <c r="E119" i="21"/>
  <c r="E135" i="21"/>
  <c r="E151" i="21"/>
  <c r="E167" i="21"/>
  <c r="E183" i="21"/>
  <c r="E199" i="21"/>
  <c r="E215" i="21"/>
  <c r="E231" i="21"/>
  <c r="E247" i="21"/>
  <c r="E263" i="21"/>
  <c r="E279" i="21"/>
  <c r="E295" i="21"/>
  <c r="E311" i="21"/>
  <c r="E327" i="21"/>
  <c r="E343" i="21"/>
  <c r="E359" i="21"/>
  <c r="E375" i="21"/>
  <c r="E391" i="21"/>
  <c r="E407" i="21"/>
  <c r="E423" i="21"/>
  <c r="E439" i="21"/>
  <c r="E455" i="21"/>
  <c r="E471" i="21"/>
  <c r="E487" i="21"/>
  <c r="E503" i="21"/>
  <c r="E519" i="21"/>
  <c r="E535" i="21"/>
  <c r="E551" i="21"/>
  <c r="E567" i="21"/>
  <c r="E583" i="21"/>
  <c r="E599" i="21"/>
  <c r="E615" i="21"/>
  <c r="E633" i="21"/>
  <c r="E653" i="21"/>
  <c r="E671" i="21"/>
  <c r="E689" i="21"/>
  <c r="E707" i="21"/>
  <c r="E725" i="21"/>
  <c r="E743" i="21"/>
  <c r="E761" i="21"/>
  <c r="E781" i="21"/>
  <c r="E799" i="21"/>
  <c r="E817" i="21"/>
  <c r="E835" i="21"/>
  <c r="E853" i="21"/>
  <c r="E871" i="21"/>
  <c r="E893" i="21"/>
  <c r="E912" i="21"/>
  <c r="E931" i="21"/>
  <c r="E950" i="21"/>
  <c r="E972" i="21"/>
  <c r="E991" i="21"/>
  <c r="E1010" i="21"/>
  <c r="E1029" i="21"/>
  <c r="E1048" i="21"/>
  <c r="E1070" i="21"/>
  <c r="E1089" i="21"/>
  <c r="E1108" i="21"/>
  <c r="E1127" i="21"/>
  <c r="E1149" i="21"/>
  <c r="E1168" i="21"/>
  <c r="E1193" i="21"/>
  <c r="E1215" i="21"/>
  <c r="E1243" i="21"/>
  <c r="E968" i="21"/>
  <c r="E990" i="21"/>
  <c r="E1009" i="21"/>
  <c r="E1028" i="21"/>
  <c r="E1047" i="21"/>
  <c r="E1069" i="21"/>
  <c r="E1088" i="21"/>
  <c r="E1107" i="21"/>
  <c r="E1126" i="21"/>
  <c r="E1148" i="21"/>
  <c r="E1167" i="21"/>
  <c r="E1192" i="21"/>
  <c r="E1214" i="21"/>
  <c r="E1239" i="21"/>
  <c r="E8" i="21"/>
  <c r="E24" i="21"/>
  <c r="E40" i="21"/>
  <c r="E56" i="21"/>
  <c r="E72" i="21"/>
  <c r="E88" i="21"/>
  <c r="E104" i="21"/>
  <c r="E120" i="21"/>
  <c r="E136" i="21"/>
  <c r="E152" i="21"/>
  <c r="E168" i="21"/>
  <c r="E184" i="21"/>
  <c r="E200" i="21"/>
  <c r="E216" i="21"/>
  <c r="E232" i="21"/>
  <c r="E248" i="21"/>
  <c r="E264" i="21"/>
  <c r="E280" i="21"/>
  <c r="E296" i="21"/>
  <c r="E312" i="21"/>
  <c r="E328" i="21"/>
  <c r="E344" i="21"/>
  <c r="E360" i="21"/>
  <c r="E376" i="21"/>
  <c r="E392" i="21"/>
  <c r="E408" i="21"/>
  <c r="E424" i="21"/>
  <c r="E440" i="21"/>
  <c r="E456" i="21"/>
  <c r="E472" i="21"/>
  <c r="E488" i="21"/>
  <c r="E504" i="21"/>
  <c r="E520" i="21"/>
  <c r="E536" i="21"/>
  <c r="E552" i="21"/>
  <c r="E568" i="21"/>
  <c r="E584" i="21"/>
  <c r="E600" i="21"/>
  <c r="E616" i="21"/>
  <c r="E636" i="21"/>
  <c r="E654" i="21"/>
  <c r="E672" i="21"/>
  <c r="E690" i="21"/>
  <c r="E708" i="21"/>
  <c r="E726" i="21"/>
  <c r="E744" i="21"/>
  <c r="E764" i="21"/>
  <c r="E782" i="21"/>
  <c r="E800" i="21"/>
  <c r="E818" i="21"/>
  <c r="E836" i="21"/>
  <c r="E854" i="21"/>
  <c r="E872" i="21"/>
  <c r="E894" i="21"/>
  <c r="E913" i="21"/>
  <c r="E932" i="21"/>
  <c r="E951" i="21"/>
  <c r="E973" i="21"/>
  <c r="E992" i="21"/>
  <c r="E1011" i="21"/>
  <c r="E1030" i="21"/>
  <c r="E1052" i="21"/>
  <c r="E1071" i="21"/>
  <c r="E1090" i="21"/>
  <c r="E1109" i="21"/>
  <c r="E1128" i="21"/>
  <c r="E1150" i="21"/>
  <c r="E1169" i="21"/>
  <c r="E1194" i="21"/>
  <c r="E1216" i="21"/>
  <c r="E1244" i="21"/>
  <c r="E331" i="21"/>
  <c r="E347" i="21"/>
  <c r="E363" i="21"/>
  <c r="E379" i="21"/>
  <c r="E395" i="21"/>
  <c r="E411" i="21"/>
  <c r="E427" i="21"/>
  <c r="E443" i="21"/>
  <c r="E459" i="21"/>
  <c r="E475" i="21"/>
  <c r="E491" i="21"/>
  <c r="E507" i="21"/>
  <c r="E523" i="21"/>
  <c r="E539" i="21"/>
  <c r="E555" i="21"/>
  <c r="E571" i="21"/>
  <c r="E587" i="21"/>
  <c r="E603" i="21"/>
  <c r="E621" i="21"/>
  <c r="E639" i="21"/>
  <c r="E657" i="21"/>
  <c r="E675" i="21"/>
  <c r="E693" i="21"/>
  <c r="E711" i="21"/>
  <c r="E729" i="21"/>
  <c r="E749" i="21"/>
  <c r="E767" i="21"/>
  <c r="E785" i="21"/>
  <c r="E803" i="21"/>
  <c r="E821" i="21"/>
  <c r="E839" i="21"/>
  <c r="E857" i="21"/>
  <c r="E878" i="21"/>
  <c r="E897" i="21"/>
  <c r="E916" i="21"/>
  <c r="E935" i="21"/>
  <c r="E957" i="21"/>
  <c r="E976" i="21"/>
  <c r="E995" i="21"/>
  <c r="E1014" i="21"/>
  <c r="E1036" i="21"/>
  <c r="E1055" i="21"/>
  <c r="E1074" i="21"/>
  <c r="E1093" i="21"/>
  <c r="E1112" i="21"/>
  <c r="E1134" i="21"/>
  <c r="E1153" i="21"/>
  <c r="E1175" i="21"/>
  <c r="E1197" i="21"/>
  <c r="E1225" i="21"/>
  <c r="E1247" i="21"/>
  <c r="E12" i="21"/>
  <c r="E28" i="21"/>
  <c r="E44" i="21"/>
  <c r="E60" i="21"/>
  <c r="E76" i="21"/>
  <c r="E92" i="21"/>
  <c r="E108" i="21"/>
  <c r="E124" i="21"/>
  <c r="E140" i="21"/>
  <c r="E156" i="21"/>
  <c r="E172" i="21"/>
  <c r="E188" i="21"/>
  <c r="E204" i="21"/>
  <c r="E220" i="21"/>
  <c r="E236" i="21"/>
  <c r="E252" i="21"/>
  <c r="E268" i="21"/>
  <c r="E284" i="21"/>
  <c r="E300" i="21"/>
  <c r="E316" i="21"/>
  <c r="E332" i="21"/>
  <c r="E348" i="21"/>
  <c r="E364" i="21"/>
  <c r="E380" i="21"/>
  <c r="E396" i="21"/>
  <c r="E412" i="21"/>
  <c r="E428" i="21"/>
  <c r="E444" i="21"/>
  <c r="E460" i="21"/>
  <c r="E476" i="21"/>
  <c r="E492" i="21"/>
  <c r="E508" i="21"/>
  <c r="E524" i="21"/>
  <c r="E540" i="21"/>
  <c r="E556" i="21"/>
  <c r="E572" i="21"/>
  <c r="E588" i="21"/>
  <c r="E604" i="21"/>
  <c r="E622" i="21"/>
  <c r="E640" i="21"/>
  <c r="E658" i="21"/>
  <c r="E676" i="21"/>
  <c r="E694" i="21"/>
  <c r="E712" i="21"/>
  <c r="E732" i="21"/>
  <c r="E750" i="21"/>
  <c r="E768" i="21"/>
  <c r="E786" i="21"/>
  <c r="E804" i="21"/>
  <c r="E822" i="21"/>
  <c r="E840" i="21"/>
  <c r="E860" i="21"/>
  <c r="E879" i="21"/>
  <c r="E898" i="21"/>
  <c r="E917" i="21"/>
  <c r="E936" i="21"/>
  <c r="E958" i="21"/>
  <c r="E977" i="21"/>
  <c r="E996" i="21"/>
  <c r="E1015" i="21"/>
  <c r="E1037" i="21"/>
  <c r="E1056" i="21"/>
  <c r="E1075" i="21"/>
  <c r="E1094" i="21"/>
  <c r="E1116" i="21"/>
  <c r="E1135" i="21"/>
  <c r="E1154" i="21"/>
  <c r="E1176" i="21"/>
  <c r="E1198" i="21"/>
  <c r="E1226" i="21"/>
  <c r="E1248" i="21"/>
  <c r="E1133" i="21"/>
  <c r="E1152" i="21"/>
  <c r="E1196" i="21"/>
  <c r="E1246" i="21"/>
  <c r="E43" i="21"/>
  <c r="E91" i="21"/>
  <c r="E139" i="21"/>
  <c r="E187" i="21"/>
  <c r="E235" i="21"/>
  <c r="E283" i="21"/>
  <c r="E13" i="21"/>
  <c r="E29" i="21"/>
  <c r="E45" i="21"/>
  <c r="E61" i="21"/>
  <c r="E77" i="21"/>
  <c r="E93" i="21"/>
  <c r="E109" i="21"/>
  <c r="E125" i="21"/>
  <c r="E141" i="21"/>
  <c r="E157" i="21"/>
  <c r="E173" i="21"/>
  <c r="E189" i="21"/>
  <c r="E205" i="21"/>
  <c r="E221" i="21"/>
  <c r="E237" i="21"/>
  <c r="E253" i="21"/>
  <c r="E269" i="21"/>
  <c r="E285" i="21"/>
  <c r="E301" i="21"/>
  <c r="E317" i="21"/>
  <c r="E333" i="21"/>
  <c r="E349" i="21"/>
  <c r="E365" i="21"/>
  <c r="E381" i="21"/>
  <c r="E397" i="21"/>
  <c r="E413" i="21"/>
  <c r="E429" i="21"/>
  <c r="E445" i="21"/>
  <c r="E461" i="21"/>
  <c r="E477" i="21"/>
  <c r="E493" i="21"/>
  <c r="E509" i="21"/>
  <c r="E525" i="21"/>
  <c r="E541" i="21"/>
  <c r="E557" i="21"/>
  <c r="E573" i="21"/>
  <c r="E589" i="21"/>
  <c r="E605" i="21"/>
  <c r="E623" i="21"/>
  <c r="E641" i="21"/>
  <c r="E659" i="21"/>
  <c r="E677" i="21"/>
  <c r="E695" i="21"/>
  <c r="E713" i="21"/>
  <c r="E733" i="21"/>
  <c r="E751" i="21"/>
  <c r="E769" i="21"/>
  <c r="E787" i="21"/>
  <c r="E805" i="21"/>
  <c r="E823" i="21"/>
  <c r="E841" i="21"/>
  <c r="E861" i="21"/>
  <c r="E880" i="21"/>
  <c r="E899" i="21"/>
  <c r="E918" i="21"/>
  <c r="E940" i="21"/>
  <c r="E959" i="21"/>
  <c r="E978" i="21"/>
  <c r="E997" i="21"/>
  <c r="E1016" i="21"/>
  <c r="E1038" i="21"/>
  <c r="E1057" i="21"/>
  <c r="E1076" i="21"/>
  <c r="E1095" i="21"/>
  <c r="E1117" i="21"/>
  <c r="E1136" i="21"/>
  <c r="E1155" i="21"/>
  <c r="E1177" i="21"/>
  <c r="E1205" i="21"/>
  <c r="E1227" i="21"/>
  <c r="E1249" i="21"/>
  <c r="E1174" i="21"/>
  <c r="E27" i="21"/>
  <c r="E75" i="21"/>
  <c r="E123" i="21"/>
  <c r="E171" i="21"/>
  <c r="E219" i="21"/>
  <c r="E267" i="21"/>
  <c r="E299" i="21"/>
  <c r="E14" i="21"/>
  <c r="E30" i="21"/>
  <c r="E46" i="21"/>
  <c r="E62" i="21"/>
  <c r="E78" i="21"/>
  <c r="E94" i="21"/>
  <c r="E110" i="21"/>
  <c r="E126" i="21"/>
  <c r="E142" i="21"/>
  <c r="E158" i="21"/>
  <c r="E174" i="21"/>
  <c r="E190" i="21"/>
  <c r="E206" i="21"/>
  <c r="E222" i="21"/>
  <c r="E238" i="21"/>
  <c r="E254" i="21"/>
  <c r="E270" i="21"/>
  <c r="E286" i="21"/>
  <c r="E302" i="21"/>
  <c r="E318" i="21"/>
  <c r="E334" i="21"/>
  <c r="E350" i="21"/>
  <c r="E366" i="21"/>
  <c r="E382" i="21"/>
  <c r="E398" i="21"/>
  <c r="E414" i="21"/>
  <c r="E430" i="21"/>
  <c r="E446" i="21"/>
  <c r="E462" i="21"/>
  <c r="E478" i="21"/>
  <c r="E494" i="21"/>
  <c r="E510" i="21"/>
  <c r="E526" i="21"/>
  <c r="E542" i="21"/>
  <c r="E558" i="21"/>
  <c r="E574" i="21"/>
  <c r="E590" i="21"/>
  <c r="E606" i="21"/>
  <c r="E624" i="21"/>
  <c r="E642" i="21"/>
  <c r="E660" i="21"/>
  <c r="E678" i="21"/>
  <c r="E696" i="21"/>
  <c r="E716" i="21"/>
  <c r="E734" i="21"/>
  <c r="E752" i="21"/>
  <c r="E770" i="21"/>
  <c r="E788" i="21"/>
  <c r="E806" i="21"/>
  <c r="E824" i="21"/>
  <c r="E844" i="21"/>
  <c r="E862" i="21"/>
  <c r="E881" i="21"/>
  <c r="E900" i="21"/>
  <c r="E919" i="21"/>
  <c r="E941" i="21"/>
  <c r="E960" i="21"/>
  <c r="E979" i="21"/>
  <c r="E998" i="21"/>
  <c r="E1020" i="21"/>
  <c r="E1039" i="21"/>
  <c r="E1058" i="21"/>
  <c r="E1077" i="21"/>
  <c r="E1096" i="21"/>
  <c r="E1118" i="21"/>
  <c r="E1137" i="21"/>
  <c r="E1156" i="21"/>
  <c r="E1178" i="21"/>
  <c r="E1206" i="21"/>
  <c r="E1228" i="21"/>
  <c r="E1253" i="21"/>
  <c r="E1224" i="21"/>
  <c r="E11" i="21"/>
  <c r="E59" i="21"/>
  <c r="E107" i="21"/>
  <c r="E155" i="21"/>
  <c r="E203" i="21"/>
  <c r="E251" i="21"/>
  <c r="E315" i="21"/>
  <c r="E15" i="21"/>
  <c r="E31" i="21"/>
  <c r="E47" i="21"/>
  <c r="E63" i="21"/>
  <c r="E79" i="21"/>
  <c r="E95" i="21"/>
  <c r="E111" i="21"/>
  <c r="E127" i="21"/>
  <c r="E143" i="21"/>
  <c r="E159" i="21"/>
  <c r="E175" i="21"/>
  <c r="E191" i="21"/>
  <c r="E207" i="21"/>
  <c r="E223" i="21"/>
  <c r="E239" i="21"/>
  <c r="E255" i="21"/>
  <c r="E271" i="21"/>
  <c r="E287" i="21"/>
  <c r="E303" i="21"/>
  <c r="E319" i="21"/>
  <c r="E335" i="21"/>
  <c r="E351" i="21"/>
  <c r="E367" i="21"/>
  <c r="E383" i="21"/>
  <c r="E399" i="21"/>
  <c r="E415" i="21"/>
  <c r="E431" i="21"/>
  <c r="E447" i="21"/>
  <c r="E463" i="21"/>
  <c r="E479" i="21"/>
  <c r="E495" i="21"/>
  <c r="E511" i="21"/>
  <c r="E527" i="21"/>
  <c r="E543" i="21"/>
  <c r="E559" i="21"/>
  <c r="E575" i="21"/>
  <c r="E591" i="21"/>
  <c r="E607" i="21"/>
  <c r="E625" i="21"/>
  <c r="E643" i="21"/>
  <c r="E661" i="21"/>
  <c r="E679" i="21"/>
  <c r="E697" i="21"/>
  <c r="E717" i="21"/>
  <c r="E735" i="21"/>
  <c r="E753" i="21"/>
  <c r="E771" i="21"/>
  <c r="E789" i="21"/>
  <c r="E807" i="21"/>
  <c r="E825" i="21"/>
  <c r="E845" i="21"/>
  <c r="E863" i="21"/>
  <c r="E882" i="21"/>
  <c r="E901" i="21"/>
  <c r="E920" i="21"/>
  <c r="E942" i="21"/>
  <c r="E961" i="21"/>
  <c r="E980" i="21"/>
  <c r="E999" i="21"/>
  <c r="E1021" i="21"/>
  <c r="E1040" i="21"/>
  <c r="E1059" i="21"/>
  <c r="E1078" i="21"/>
  <c r="E1100" i="21"/>
  <c r="E1119" i="21"/>
  <c r="E1138" i="21"/>
  <c r="E1157" i="21"/>
  <c r="E1179" i="21"/>
  <c r="E1207" i="21"/>
  <c r="E1229" i="21"/>
  <c r="E1254" i="21"/>
  <c r="E16" i="21"/>
  <c r="E32" i="21"/>
  <c r="E48" i="21"/>
  <c r="E64" i="21"/>
  <c r="E80" i="21"/>
  <c r="E96" i="21"/>
  <c r="E112" i="21"/>
  <c r="E128" i="21"/>
  <c r="E144" i="21"/>
  <c r="E160" i="21"/>
  <c r="E176" i="21"/>
  <c r="E192" i="21"/>
  <c r="E208" i="21"/>
  <c r="E224" i="21"/>
  <c r="E240" i="21"/>
  <c r="E256" i="21"/>
  <c r="E272" i="21"/>
  <c r="E288" i="21"/>
  <c r="E304" i="21"/>
  <c r="E320" i="21"/>
  <c r="E336" i="21"/>
  <c r="E352" i="21"/>
  <c r="E368" i="21"/>
  <c r="E384" i="21"/>
  <c r="E400" i="21"/>
  <c r="E416" i="21"/>
  <c r="E432" i="21"/>
  <c r="E448" i="21"/>
  <c r="E464" i="21"/>
  <c r="E480" i="21"/>
  <c r="E496" i="21"/>
  <c r="E512" i="21"/>
  <c r="E528" i="21"/>
  <c r="E544" i="21"/>
  <c r="E560" i="21"/>
  <c r="E576" i="21"/>
  <c r="E592" i="21"/>
  <c r="E608" i="21"/>
  <c r="E626" i="21"/>
  <c r="E644" i="21"/>
  <c r="E662" i="21"/>
  <c r="E680" i="21"/>
  <c r="E700" i="21"/>
  <c r="E718" i="21"/>
  <c r="E736" i="21"/>
  <c r="E754" i="21"/>
  <c r="E772" i="21"/>
  <c r="E790" i="21"/>
  <c r="E808" i="21"/>
  <c r="E828" i="21"/>
  <c r="E846" i="21"/>
  <c r="E864" i="21"/>
  <c r="E883" i="21"/>
  <c r="E902" i="21"/>
  <c r="E924" i="21"/>
  <c r="E943" i="21"/>
  <c r="E962" i="21"/>
  <c r="E981" i="21"/>
  <c r="E1000" i="21"/>
  <c r="E1022" i="21"/>
  <c r="E1041" i="21"/>
  <c r="E1060" i="21"/>
  <c r="E1079" i="21"/>
  <c r="E1101" i="21"/>
  <c r="E1120" i="21"/>
  <c r="E1139" i="21"/>
  <c r="E1158" i="21"/>
  <c r="E1183" i="21"/>
  <c r="E1208" i="21"/>
  <c r="E1230" i="21"/>
  <c r="E1255" i="21"/>
  <c r="F1121" i="21"/>
  <c r="F1141" i="21"/>
  <c r="F1162" i="21"/>
  <c r="F1185" i="21"/>
  <c r="F1205" i="21"/>
  <c r="F1226" i="21"/>
  <c r="F1249" i="21"/>
  <c r="F1039" i="21"/>
  <c r="F1059" i="21"/>
  <c r="F1079" i="21"/>
  <c r="F1103" i="21"/>
  <c r="F1123" i="21"/>
  <c r="F1143" i="21"/>
  <c r="F1167" i="21"/>
  <c r="F1187" i="21"/>
  <c r="F1207" i="21"/>
  <c r="F1231" i="21"/>
  <c r="F1251" i="21"/>
  <c r="F996" i="21"/>
  <c r="F1016" i="21"/>
  <c r="F1040" i="21"/>
  <c r="F1060" i="21"/>
  <c r="F1080" i="21"/>
  <c r="F1104" i="21"/>
  <c r="F1124" i="21"/>
  <c r="F1144" i="21"/>
  <c r="F1168" i="21"/>
  <c r="F1188" i="21"/>
  <c r="F1208" i="21"/>
  <c r="F1232" i="21"/>
  <c r="F1252" i="21"/>
  <c r="F1253" i="21"/>
  <c r="F23" i="21"/>
  <c r="F42" i="21"/>
  <c r="F64" i="21"/>
  <c r="F83" i="21"/>
  <c r="F102" i="21"/>
  <c r="F121" i="21"/>
  <c r="F143" i="21"/>
  <c r="F162" i="21"/>
  <c r="F181" i="21"/>
  <c r="F200" i="21"/>
  <c r="F222" i="21"/>
  <c r="F241" i="21"/>
  <c r="F260" i="21"/>
  <c r="F279" i="21"/>
  <c r="F298" i="21"/>
  <c r="F320" i="21"/>
  <c r="F339" i="21"/>
  <c r="F358" i="21"/>
  <c r="F377" i="21"/>
  <c r="F399" i="21"/>
  <c r="F418" i="21"/>
  <c r="F437" i="21"/>
  <c r="F456" i="21"/>
  <c r="F478" i="21"/>
  <c r="F497" i="21"/>
  <c r="F516" i="21"/>
  <c r="F535" i="21"/>
  <c r="F554" i="21"/>
  <c r="F576" i="21"/>
  <c r="F595" i="21"/>
  <c r="F614" i="21"/>
  <c r="F638" i="21"/>
  <c r="F658" i="21"/>
  <c r="F678" i="21"/>
  <c r="F702" i="21"/>
  <c r="F722" i="21"/>
  <c r="F742" i="21"/>
  <c r="F766" i="21"/>
  <c r="F786" i="21"/>
  <c r="F806" i="21"/>
  <c r="F830" i="21"/>
  <c r="F850" i="21"/>
  <c r="F870" i="21"/>
  <c r="F894" i="21"/>
  <c r="F914" i="21"/>
  <c r="F934" i="21"/>
  <c r="F958" i="21"/>
  <c r="F978" i="21"/>
  <c r="F998" i="21"/>
  <c r="F1022" i="21"/>
  <c r="F1042" i="21"/>
  <c r="F1062" i="21"/>
  <c r="F1086" i="21"/>
  <c r="F1106" i="21"/>
  <c r="F1126" i="21"/>
  <c r="F1150" i="21"/>
  <c r="F1170" i="21"/>
  <c r="F1190" i="21"/>
  <c r="F1214" i="21"/>
  <c r="F1234" i="21"/>
  <c r="F1254" i="21"/>
  <c r="F24" i="21"/>
  <c r="F46" i="21"/>
  <c r="F65" i="21"/>
  <c r="F84" i="21"/>
  <c r="F103" i="21"/>
  <c r="F122" i="21"/>
  <c r="F144" i="21"/>
  <c r="F163" i="21"/>
  <c r="F182" i="21"/>
  <c r="F201" i="21"/>
  <c r="F223" i="21"/>
  <c r="F242" i="21"/>
  <c r="F261" i="21"/>
  <c r="F280" i="21"/>
  <c r="F302" i="21"/>
  <c r="F321" i="21"/>
  <c r="F340" i="21"/>
  <c r="F359" i="21"/>
  <c r="F378" i="21"/>
  <c r="F400" i="21"/>
  <c r="F419" i="21"/>
  <c r="F438" i="21"/>
  <c r="F457" i="21"/>
  <c r="F479" i="21"/>
  <c r="F498" i="21"/>
  <c r="F517" i="21"/>
  <c r="F536" i="21"/>
  <c r="F558" i="21"/>
  <c r="F577" i="21"/>
  <c r="F596" i="21"/>
  <c r="F615" i="21"/>
  <c r="F639" i="21"/>
  <c r="F659" i="21"/>
  <c r="F679" i="21"/>
  <c r="F703" i="21"/>
  <c r="F723" i="21"/>
  <c r="F743" i="21"/>
  <c r="F767" i="21"/>
  <c r="F787" i="21"/>
  <c r="F807" i="21"/>
  <c r="F831" i="21"/>
  <c r="F851" i="21"/>
  <c r="F871" i="21"/>
  <c r="F895" i="21"/>
  <c r="F915" i="21"/>
  <c r="F935" i="21"/>
  <c r="F959" i="21"/>
  <c r="F979" i="21"/>
  <c r="F999" i="21"/>
  <c r="F1023" i="21"/>
  <c r="F1043" i="21"/>
  <c r="F1063" i="21"/>
  <c r="F1087" i="21"/>
  <c r="F1107" i="21"/>
  <c r="F1127" i="21"/>
  <c r="F1151" i="21"/>
  <c r="F1171" i="21"/>
  <c r="F1191" i="21"/>
  <c r="F1215" i="21"/>
  <c r="F1235" i="21"/>
  <c r="F1255" i="21"/>
  <c r="F25" i="21"/>
  <c r="F47" i="21"/>
  <c r="F66" i="21"/>
  <c r="F85" i="21"/>
  <c r="F104" i="21"/>
  <c r="F126" i="21"/>
  <c r="F145" i="21"/>
  <c r="F164" i="21"/>
  <c r="F183" i="21"/>
  <c r="F202" i="21"/>
  <c r="F224" i="21"/>
  <c r="F243" i="21"/>
  <c r="F262" i="21"/>
  <c r="F281" i="21"/>
  <c r="F303" i="21"/>
  <c r="F322" i="21"/>
  <c r="F341" i="21"/>
  <c r="F360" i="21"/>
  <c r="F382" i="21"/>
  <c r="F401" i="21"/>
  <c r="F420" i="21"/>
  <c r="F439" i="21"/>
  <c r="F458" i="21"/>
  <c r="F480" i="21"/>
  <c r="F499" i="21"/>
  <c r="F518" i="21"/>
  <c r="F537" i="21"/>
  <c r="F559" i="21"/>
  <c r="F578" i="21"/>
  <c r="F597" i="21"/>
  <c r="F616" i="21"/>
  <c r="F640" i="21"/>
  <c r="F660" i="21"/>
  <c r="F680" i="21"/>
  <c r="F704" i="21"/>
  <c r="F724" i="21"/>
  <c r="F744" i="21"/>
  <c r="F768" i="21"/>
  <c r="F788" i="21"/>
  <c r="F808" i="21"/>
  <c r="F832" i="21"/>
  <c r="F852" i="21"/>
  <c r="F872" i="21"/>
  <c r="F896" i="21"/>
  <c r="F916" i="21"/>
  <c r="F936" i="21"/>
  <c r="F960" i="21"/>
  <c r="F980" i="21"/>
  <c r="F1000" i="21"/>
  <c r="F1024" i="21"/>
  <c r="F1044" i="21"/>
  <c r="F1064" i="21"/>
  <c r="F1088" i="21"/>
  <c r="F1108" i="21"/>
  <c r="F1128" i="21"/>
  <c r="F1152" i="21"/>
  <c r="F1172" i="21"/>
  <c r="F1192" i="21"/>
  <c r="F1216" i="21"/>
  <c r="F1236" i="21"/>
  <c r="F1261" i="21"/>
  <c r="F1245" i="21"/>
  <c r="F1229" i="21"/>
  <c r="F1213" i="21"/>
  <c r="F1197" i="21"/>
  <c r="F1181" i="21"/>
  <c r="F1165" i="21"/>
  <c r="F1149" i="21"/>
  <c r="F1133" i="21"/>
  <c r="F1117" i="21"/>
  <c r="F1101" i="21"/>
  <c r="F1085" i="21"/>
  <c r="F1069" i="21"/>
  <c r="F1053" i="21"/>
  <c r="F1037" i="21"/>
  <c r="F1021" i="21"/>
  <c r="F1005" i="21"/>
  <c r="F989" i="21"/>
  <c r="F973" i="21"/>
  <c r="F957" i="21"/>
  <c r="F941" i="21"/>
  <c r="F925" i="21"/>
  <c r="F909" i="21"/>
  <c r="F893" i="21"/>
  <c r="F877" i="21"/>
  <c r="F861" i="21"/>
  <c r="F845" i="21"/>
  <c r="F829" i="21"/>
  <c r="F813" i="21"/>
  <c r="F797" i="21"/>
  <c r="F781" i="21"/>
  <c r="F765" i="21"/>
  <c r="F749" i="21"/>
  <c r="F733" i="21"/>
  <c r="F717" i="21"/>
  <c r="F701" i="21"/>
  <c r="F685" i="21"/>
  <c r="F669" i="21"/>
  <c r="F653" i="21"/>
  <c r="F637" i="21"/>
  <c r="F621" i="21"/>
  <c r="F605" i="21"/>
  <c r="F589" i="21"/>
  <c r="F573" i="21"/>
  <c r="F557" i="21"/>
  <c r="F541" i="21"/>
  <c r="F525" i="21"/>
  <c r="F509" i="21"/>
  <c r="F493" i="21"/>
  <c r="F477" i="21"/>
  <c r="F461" i="21"/>
  <c r="F445" i="21"/>
  <c r="F429" i="21"/>
  <c r="F413" i="21"/>
  <c r="F397" i="21"/>
  <c r="F381" i="21"/>
  <c r="F365" i="21"/>
  <c r="F349" i="21"/>
  <c r="F333" i="21"/>
  <c r="F317" i="21"/>
  <c r="F301" i="21"/>
  <c r="F285" i="21"/>
  <c r="F269" i="21"/>
  <c r="F253" i="21"/>
  <c r="F237" i="21"/>
  <c r="F221" i="21"/>
  <c r="F205" i="21"/>
  <c r="F189" i="21"/>
  <c r="F173" i="21"/>
  <c r="F157" i="21"/>
  <c r="F141" i="21"/>
  <c r="F125" i="21"/>
  <c r="F109" i="21"/>
  <c r="F93" i="21"/>
  <c r="F77" i="21"/>
  <c r="F61" i="21"/>
  <c r="F45" i="21"/>
  <c r="F29" i="21"/>
  <c r="F13" i="21"/>
  <c r="F1260" i="21"/>
  <c r="F1244" i="21"/>
  <c r="F1228" i="21"/>
  <c r="F1212" i="21"/>
  <c r="F1196" i="21"/>
  <c r="F1180" i="21"/>
  <c r="F1164" i="21"/>
  <c r="F1148" i="21"/>
  <c r="F1132" i="21"/>
  <c r="F1116" i="21"/>
  <c r="F1100" i="21"/>
  <c r="F1084" i="21"/>
  <c r="F1068" i="21"/>
  <c r="F1052" i="21"/>
  <c r="F1036" i="21"/>
  <c r="F1020" i="21"/>
  <c r="F1004" i="21"/>
  <c r="F988" i="21"/>
  <c r="F972" i="21"/>
  <c r="F956" i="21"/>
  <c r="F940" i="21"/>
  <c r="F924" i="21"/>
  <c r="F908" i="21"/>
  <c r="F892" i="21"/>
  <c r="F876" i="21"/>
  <c r="F860" i="21"/>
  <c r="F844" i="21"/>
  <c r="F828" i="21"/>
  <c r="F812" i="21"/>
  <c r="F796" i="21"/>
  <c r="F780" i="21"/>
  <c r="F764" i="21"/>
  <c r="F748" i="21"/>
  <c r="F732" i="21"/>
  <c r="F716" i="21"/>
  <c r="F700" i="21"/>
  <c r="F684" i="21"/>
  <c r="F668" i="21"/>
  <c r="F652" i="21"/>
  <c r="F636" i="21"/>
  <c r="F620" i="21"/>
  <c r="F604" i="21"/>
  <c r="F588" i="21"/>
  <c r="F572" i="21"/>
  <c r="F556" i="21"/>
  <c r="F540" i="21"/>
  <c r="F524" i="21"/>
  <c r="F508" i="21"/>
  <c r="F492" i="21"/>
  <c r="F476" i="21"/>
  <c r="F460" i="21"/>
  <c r="F444" i="21"/>
  <c r="F428" i="21"/>
  <c r="F412" i="21"/>
  <c r="F396" i="21"/>
  <c r="F380" i="21"/>
  <c r="F364" i="21"/>
  <c r="F348" i="21"/>
  <c r="F332" i="21"/>
  <c r="F316" i="21"/>
  <c r="F300" i="21"/>
  <c r="F284" i="21"/>
  <c r="F268" i="21"/>
  <c r="F252" i="21"/>
  <c r="F236" i="21"/>
  <c r="F220" i="21"/>
  <c r="F204" i="21"/>
  <c r="F188" i="21"/>
  <c r="F172" i="21"/>
  <c r="F156" i="21"/>
  <c r="F140" i="21"/>
  <c r="F124" i="21"/>
  <c r="F108" i="21"/>
  <c r="F92" i="21"/>
  <c r="F76" i="21"/>
  <c r="F60" i="21"/>
  <c r="F44" i="21"/>
  <c r="F28" i="21"/>
  <c r="F12" i="21"/>
  <c r="F1259" i="21"/>
  <c r="F1243" i="21"/>
  <c r="F1227" i="21"/>
  <c r="F1211" i="21"/>
  <c r="F1195" i="21"/>
  <c r="F1179" i="21"/>
  <c r="F1163" i="21"/>
  <c r="F1147" i="21"/>
  <c r="F1131" i="21"/>
  <c r="F1115" i="21"/>
  <c r="F1099" i="21"/>
  <c r="F1083" i="21"/>
  <c r="F1067" i="21"/>
  <c r="F1051" i="21"/>
  <c r="F1035" i="21"/>
  <c r="F1019" i="21"/>
  <c r="F1003" i="21"/>
  <c r="F987" i="21"/>
  <c r="F971" i="21"/>
  <c r="F955" i="21"/>
  <c r="F939" i="21"/>
  <c r="F923" i="21"/>
  <c r="F907" i="21"/>
  <c r="F891" i="21"/>
  <c r="F875" i="21"/>
  <c r="F859" i="21"/>
  <c r="F843" i="21"/>
  <c r="F827" i="21"/>
  <c r="F811" i="21"/>
  <c r="F795" i="21"/>
  <c r="F779" i="21"/>
  <c r="F763" i="21"/>
  <c r="F747" i="21"/>
  <c r="F731" i="21"/>
  <c r="F715" i="21"/>
  <c r="F699" i="21"/>
  <c r="F683" i="21"/>
  <c r="F667" i="21"/>
  <c r="F651" i="21"/>
  <c r="F635" i="21"/>
  <c r="F619" i="21"/>
  <c r="F603" i="21"/>
  <c r="F587" i="21"/>
  <c r="F571" i="21"/>
  <c r="F555" i="21"/>
  <c r="F539" i="21"/>
  <c r="F523" i="21"/>
  <c r="F507" i="21"/>
  <c r="F491" i="21"/>
  <c r="F475" i="21"/>
  <c r="F459" i="21"/>
  <c r="F443" i="21"/>
  <c r="F427" i="21"/>
  <c r="F411" i="21"/>
  <c r="F395" i="21"/>
  <c r="F379" i="21"/>
  <c r="F363" i="21"/>
  <c r="F347" i="21"/>
  <c r="F331" i="21"/>
  <c r="F315" i="21"/>
  <c r="F299" i="21"/>
  <c r="F283" i="21"/>
  <c r="F267" i="21"/>
  <c r="F251" i="21"/>
  <c r="F235" i="21"/>
  <c r="F219" i="21"/>
  <c r="F203" i="21"/>
  <c r="F187" i="21"/>
  <c r="F171" i="21"/>
  <c r="F155" i="21"/>
  <c r="F139" i="21"/>
  <c r="F123" i="21"/>
  <c r="F107" i="21"/>
  <c r="F91" i="21"/>
  <c r="F75" i="21"/>
  <c r="F59" i="21"/>
  <c r="F43" i="21"/>
  <c r="F27" i="21"/>
  <c r="F11" i="21"/>
  <c r="F1257" i="21"/>
  <c r="F1241" i="21"/>
  <c r="F1225" i="21"/>
  <c r="F1209" i="21"/>
  <c r="F1193" i="21"/>
  <c r="F1177" i="21"/>
  <c r="F1161" i="21"/>
  <c r="F1145" i="21"/>
  <c r="F1129" i="21"/>
  <c r="F1113" i="21"/>
  <c r="F1097" i="21"/>
  <c r="F1081" i="21"/>
  <c r="F1065" i="21"/>
  <c r="F1049" i="21"/>
  <c r="F1033" i="21"/>
  <c r="F1017" i="21"/>
  <c r="F1001" i="21"/>
  <c r="F985" i="21"/>
  <c r="F969" i="21"/>
  <c r="F953" i="21"/>
  <c r="F937" i="21"/>
  <c r="F921" i="21"/>
  <c r="F905" i="21"/>
  <c r="F889" i="21"/>
  <c r="F873" i="21"/>
  <c r="F857" i="21"/>
  <c r="F841" i="21"/>
  <c r="F825" i="21"/>
  <c r="F809" i="21"/>
  <c r="F793" i="21"/>
  <c r="F777" i="21"/>
  <c r="F761" i="21"/>
  <c r="F745" i="21"/>
  <c r="F729" i="21"/>
  <c r="F713" i="21"/>
  <c r="F697" i="21"/>
  <c r="F681" i="21"/>
  <c r="F665" i="21"/>
  <c r="F649" i="21"/>
  <c r="F633" i="21"/>
  <c r="F617" i="21"/>
  <c r="F26" i="21"/>
  <c r="F48" i="21"/>
  <c r="F67" i="21"/>
  <c r="F86" i="21"/>
  <c r="F105" i="21"/>
  <c r="F127" i="21"/>
  <c r="F146" i="21"/>
  <c r="F165" i="21"/>
  <c r="F184" i="21"/>
  <c r="F206" i="21"/>
  <c r="F225" i="21"/>
  <c r="F244" i="21"/>
  <c r="F263" i="21"/>
  <c r="F282" i="21"/>
  <c r="F304" i="21"/>
  <c r="F323" i="21"/>
  <c r="F342" i="21"/>
  <c r="F361" i="21"/>
  <c r="F383" i="21"/>
  <c r="F402" i="21"/>
  <c r="F421" i="21"/>
  <c r="F440" i="21"/>
  <c r="F462" i="21"/>
  <c r="F481" i="21"/>
  <c r="F500" i="21"/>
  <c r="F519" i="21"/>
  <c r="F538" i="21"/>
  <c r="F560" i="21"/>
  <c r="F579" i="21"/>
  <c r="F598" i="21"/>
  <c r="F618" i="21"/>
  <c r="F641" i="21"/>
  <c r="F661" i="21"/>
  <c r="F682" i="21"/>
  <c r="F705" i="21"/>
  <c r="F725" i="21"/>
  <c r="F746" i="21"/>
  <c r="F769" i="21"/>
  <c r="F789" i="21"/>
  <c r="F810" i="21"/>
  <c r="F833" i="21"/>
  <c r="F853" i="21"/>
  <c r="F874" i="21"/>
  <c r="F897" i="21"/>
  <c r="F917" i="21"/>
  <c r="F938" i="21"/>
  <c r="F961" i="21"/>
  <c r="F981" i="21"/>
  <c r="F1002" i="21"/>
  <c r="F1025" i="21"/>
  <c r="F1045" i="21"/>
  <c r="F1066" i="21"/>
  <c r="F1089" i="21"/>
  <c r="F1109" i="21"/>
  <c r="F1130" i="21"/>
  <c r="F1153" i="21"/>
  <c r="F1173" i="21"/>
  <c r="F1194" i="21"/>
  <c r="F1217" i="21"/>
  <c r="F1237" i="21"/>
  <c r="F1258" i="21"/>
  <c r="C5" i="21" l="1"/>
  <c r="M30" i="6" l="1"/>
  <c r="M29" i="6"/>
  <c r="M28" i="6"/>
  <c r="M23" i="6"/>
  <c r="M19" i="6"/>
  <c r="M17" i="6"/>
  <c r="H30" i="6"/>
  <c r="H29" i="6"/>
  <c r="H28" i="6"/>
  <c r="H23" i="6"/>
  <c r="H19" i="6"/>
  <c r="H17" i="6"/>
  <c r="M47" i="6"/>
  <c r="M44" i="6"/>
  <c r="I34" i="6"/>
  <c r="I35" i="6" s="1"/>
  <c r="L25" i="6"/>
  <c r="K25" i="6"/>
  <c r="J25" i="6"/>
  <c r="I25" i="6"/>
  <c r="H25" i="6"/>
  <c r="G24" i="6"/>
  <c r="G25" i="6" s="1"/>
  <c r="F24" i="6"/>
  <c r="F25" i="6" s="1"/>
  <c r="E24" i="6"/>
  <c r="E25" i="6" s="1"/>
  <c r="D24" i="6"/>
  <c r="D27" i="6" s="1"/>
  <c r="D31" i="6" s="1"/>
  <c r="L21" i="6"/>
  <c r="K21" i="6"/>
  <c r="J21" i="6"/>
  <c r="I21" i="6"/>
  <c r="H21" i="6"/>
  <c r="G21" i="6"/>
  <c r="F21" i="6"/>
  <c r="E21" i="6"/>
  <c r="D21" i="6"/>
  <c r="L20" i="6"/>
  <c r="L24" i="6" s="1"/>
  <c r="L27" i="6" s="1"/>
  <c r="L31" i="6" s="1"/>
  <c r="K20" i="6"/>
  <c r="K24" i="6" s="1"/>
  <c r="K27" i="6" s="1"/>
  <c r="K31" i="6" s="1"/>
  <c r="J20" i="6"/>
  <c r="J24" i="6" s="1"/>
  <c r="J27" i="6" s="1"/>
  <c r="J31" i="6" s="1"/>
  <c r="I20" i="6"/>
  <c r="I24" i="6" s="1"/>
  <c r="I27" i="6" s="1"/>
  <c r="I31" i="6" s="1"/>
  <c r="H20" i="6"/>
  <c r="H24" i="6" s="1"/>
  <c r="H27" i="6" s="1"/>
  <c r="G20" i="6"/>
  <c r="F20" i="6"/>
  <c r="E20" i="6"/>
  <c r="D20" i="6"/>
  <c r="L18" i="6"/>
  <c r="K18" i="6"/>
  <c r="J18" i="6"/>
  <c r="I18" i="6"/>
  <c r="G18" i="6"/>
  <c r="F18" i="6"/>
  <c r="E18" i="6"/>
  <c r="E11" i="6"/>
  <c r="J10" i="6"/>
  <c r="E9" i="6" s="1"/>
  <c r="E8" i="6"/>
  <c r="J34" i="6" l="1"/>
  <c r="K34" i="6" s="1"/>
  <c r="L34" i="6" s="1"/>
  <c r="M25" i="6"/>
  <c r="M20" i="6"/>
  <c r="M24" i="6" s="1"/>
  <c r="M27" i="6" s="1"/>
  <c r="M31" i="6" s="1"/>
  <c r="M21" i="6"/>
  <c r="H31" i="6"/>
  <c r="I37" i="6"/>
  <c r="M40" i="6"/>
  <c r="E27" i="6"/>
  <c r="E31" i="6" s="1"/>
  <c r="G27" i="6"/>
  <c r="G31" i="6" s="1"/>
  <c r="D25" i="6"/>
  <c r="F27" i="6"/>
  <c r="F31" i="6" s="1"/>
  <c r="E12" i="6"/>
  <c r="E14" i="6" s="1"/>
  <c r="M37" i="6" l="1"/>
  <c r="M38" i="6" s="1"/>
  <c r="J35" i="6"/>
  <c r="J37" i="6" s="1"/>
  <c r="D15" i="22" l="1"/>
  <c r="D14" i="22"/>
  <c r="D13" i="22"/>
  <c r="K35" i="6"/>
  <c r="K37" i="6" s="1"/>
  <c r="D9" i="22" l="1"/>
  <c r="L35" i="6"/>
  <c r="L37" i="6" s="1"/>
  <c r="C5" i="22" l="1"/>
  <c r="C6" i="22" s="1"/>
  <c r="M41" i="6"/>
  <c r="M43" i="6" s="1"/>
  <c r="M45" i="6" s="1"/>
  <c r="M48" i="6" s="1"/>
  <c r="M49" i="6" s="1"/>
  <c r="G25" i="14" l="1"/>
  <c r="G31" i="14" s="1"/>
  <c r="G76" i="14" l="1"/>
  <c r="G42" i="14"/>
  <c r="H76" i="14"/>
  <c r="H30" i="24" s="1"/>
  <c r="H31" i="24" s="1"/>
  <c r="H37" i="24" s="1"/>
  <c r="G30" i="24" l="1"/>
  <c r="G31" i="24" s="1"/>
  <c r="G116" i="14"/>
  <c r="H113" i="14" a="1"/>
  <c r="H113" i="14" s="1"/>
  <c r="H116" i="14"/>
  <c r="H82" i="14"/>
  <c r="G82" i="14"/>
  <c r="G113" i="14" a="1"/>
  <c r="G113" i="14" s="1"/>
  <c r="G37" i="24" l="1"/>
  <c r="K38" i="24" s="1"/>
  <c r="K43" i="24" s="1"/>
  <c r="I56" i="24"/>
  <c r="F58" i="24"/>
  <c r="I55" i="24"/>
  <c r="F57" i="24"/>
  <c r="J58" i="24"/>
  <c r="G56" i="24"/>
  <c r="H55" i="24"/>
  <c r="J57" i="24"/>
  <c r="H58" i="24"/>
  <c r="G55" i="24"/>
  <c r="H54" i="24"/>
  <c r="G58" i="24"/>
  <c r="F54" i="24"/>
  <c r="I54" i="24"/>
  <c r="I58" i="24"/>
  <c r="G54" i="24"/>
  <c r="F55" i="24"/>
  <c r="G57" i="24"/>
  <c r="J55" i="24"/>
  <c r="H57" i="24"/>
  <c r="H56" i="24"/>
  <c r="F56" i="24"/>
  <c r="I57" i="24"/>
  <c r="J56" i="24"/>
  <c r="J54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Kulpins, Andrea</author>
    <author>Andrea Kulpins</author>
  </authors>
  <commentList>
    <comment ref="E6" authorId="0" shapeId="0" xr:uid="{FE60ABD6-43BB-418A-8454-10CE1F7E2E7D}">
      <text>
        <r>
          <rPr>
            <b/>
            <sz val="9"/>
            <color indexed="81"/>
            <rFont val="Tahoma"/>
            <family val="2"/>
          </rPr>
          <t>Kulpins, Andrea:</t>
        </r>
        <r>
          <rPr>
            <sz val="9"/>
            <color indexed="81"/>
            <rFont val="Tahoma"/>
            <family val="2"/>
          </rPr>
          <t xml:space="preserve">
https://pages.stern.nyu.edu/~adamodar/New_Home_Page/datafile/ctryprem.html</t>
        </r>
      </text>
    </comment>
    <comment ref="E7" authorId="1" shapeId="0" xr:uid="{9271082F-8EBC-41D7-A19E-F2027FB386AD}">
      <text>
        <r>
          <rPr>
            <b/>
            <sz val="9"/>
            <color indexed="81"/>
            <rFont val="Tahoma"/>
            <family val="2"/>
          </rPr>
          <t>Andrea Kulpins:</t>
        </r>
        <r>
          <rPr>
            <sz val="9"/>
            <color indexed="81"/>
            <rFont val="Tahoma"/>
            <family val="2"/>
          </rPr>
          <t xml:space="preserve">
https://www.wsj.com/market-data/quotes/bond/BX/TMBMKDK-05Y?mod=searchresults_companyquotes&amp;mod=md_bond_hdr_search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Kulpins, Andrea</author>
    <author>Andrea Kulpins</author>
  </authors>
  <commentList>
    <comment ref="E6" authorId="0" shapeId="0" xr:uid="{C99C23F0-21D7-4123-AF80-805806019659}">
      <text>
        <r>
          <rPr>
            <b/>
            <sz val="9"/>
            <color indexed="81"/>
            <rFont val="Tahoma"/>
            <family val="2"/>
          </rPr>
          <t>Kulpins, Andrea:</t>
        </r>
        <r>
          <rPr>
            <sz val="9"/>
            <color indexed="81"/>
            <rFont val="Tahoma"/>
            <family val="2"/>
          </rPr>
          <t xml:space="preserve">
https://pages.stern.nyu.edu/~adamodar/New_Home_Page/datafile/ctryprem.html</t>
        </r>
      </text>
    </comment>
    <comment ref="E7" authorId="1" shapeId="0" xr:uid="{77F93534-BF44-4DE4-9A9F-7AB308E2038E}">
      <text>
        <r>
          <rPr>
            <b/>
            <sz val="9"/>
            <color indexed="81"/>
            <rFont val="Tahoma"/>
            <family val="2"/>
          </rPr>
          <t>Andrea Kulpins:</t>
        </r>
        <r>
          <rPr>
            <sz val="9"/>
            <color indexed="81"/>
            <rFont val="Tahoma"/>
            <family val="2"/>
          </rPr>
          <t xml:space="preserve">
https://www.wsj.com/market-data/quotes/bond/BX/TMBMKDK-05Y?mod=searchresults_companyquotes&amp;mod=md_bond_hdr_search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Kulpins, Andrea</author>
    <author>Andrea Kulpins</author>
  </authors>
  <commentList>
    <comment ref="E6" authorId="0" shapeId="0" xr:uid="{BFA00FD3-FA1B-4029-97F2-78DB43C98F87}">
      <text>
        <r>
          <rPr>
            <b/>
            <sz val="9"/>
            <color indexed="81"/>
            <rFont val="Tahoma"/>
            <family val="2"/>
          </rPr>
          <t>Kulpins, Andrea:</t>
        </r>
        <r>
          <rPr>
            <sz val="9"/>
            <color indexed="81"/>
            <rFont val="Tahoma"/>
            <family val="2"/>
          </rPr>
          <t xml:space="preserve">
https://pages.stern.nyu.edu/~adamodar/New_Home_Page/datafile/ctryprem.html</t>
        </r>
      </text>
    </comment>
    <comment ref="E7" authorId="1" shapeId="0" xr:uid="{2EDBCBC1-FD28-4430-BAE5-A9A49B369965}">
      <text>
        <r>
          <rPr>
            <b/>
            <sz val="9"/>
            <color indexed="81"/>
            <rFont val="Tahoma"/>
            <family val="2"/>
          </rPr>
          <t>Andrea Kulpins:</t>
        </r>
        <r>
          <rPr>
            <sz val="9"/>
            <color indexed="81"/>
            <rFont val="Tahoma"/>
            <family val="2"/>
          </rPr>
          <t xml:space="preserve">
https://www.wsj.com/market-data/quotes/bond/BX/TMBMKDK-05Y?mod=searchresults_companyquotes&amp;mod=md_bond_hdr_search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<sst xmlns="http://schemas.openxmlformats.org/spreadsheetml/2006/main" count="857" uniqueCount="269">
  <si>
    <t>WACC</t>
  </si>
  <si>
    <t xml:space="preserve">Other Assumptions </t>
  </si>
  <si>
    <t xml:space="preserve">Beta </t>
  </si>
  <si>
    <t>#</t>
  </si>
  <si>
    <t xml:space="preserve">Fiscal Year End </t>
  </si>
  <si>
    <t xml:space="preserve">Market Risk Premium </t>
  </si>
  <si>
    <t xml:space="preserve">LTGR </t>
  </si>
  <si>
    <t xml:space="preserve">Risk Free Rate </t>
  </si>
  <si>
    <t>Cash &amp; Equivalents</t>
  </si>
  <si>
    <t xml:space="preserve">Cost of Equity </t>
  </si>
  <si>
    <t>Diluted S/O</t>
  </si>
  <si>
    <t xml:space="preserve">Weight of Equity </t>
  </si>
  <si>
    <t xml:space="preserve">Current Price </t>
  </si>
  <si>
    <t xml:space="preserve">Cost of Debt </t>
  </si>
  <si>
    <t xml:space="preserve">Mkt Cap </t>
  </si>
  <si>
    <t xml:space="preserve">After Tax CoD </t>
  </si>
  <si>
    <t xml:space="preserve">BV debt </t>
  </si>
  <si>
    <t xml:space="preserve">Weight of Debt </t>
  </si>
  <si>
    <t>Financial Units</t>
  </si>
  <si>
    <t xml:space="preserve">Tax Rate </t>
  </si>
  <si>
    <t xml:space="preserve">WACC </t>
  </si>
  <si>
    <t xml:space="preserve">Free Cash Flow  </t>
  </si>
  <si>
    <t>Year"A"</t>
  </si>
  <si>
    <t>Year"E"</t>
  </si>
  <si>
    <t xml:space="preserve">Revenue </t>
  </si>
  <si>
    <t>HIST</t>
  </si>
  <si>
    <t>Forecast Formula</t>
  </si>
  <si>
    <t xml:space="preserve">Revenue Growth (%) </t>
  </si>
  <si>
    <t xml:space="preserve">(-) COGS </t>
  </si>
  <si>
    <t xml:space="preserve">GP </t>
  </si>
  <si>
    <t xml:space="preserve">GP Margin (%) </t>
  </si>
  <si>
    <t>(-) Op Ex</t>
  </si>
  <si>
    <t xml:space="preserve">EBIT </t>
  </si>
  <si>
    <t>EBIT Margin (%)</t>
  </si>
  <si>
    <t xml:space="preserve">NOPAT </t>
  </si>
  <si>
    <t xml:space="preserve">(+) D&amp;A </t>
  </si>
  <si>
    <t>(-) CapEx</t>
  </si>
  <si>
    <t xml:space="preserve">(-) Changes in WC </t>
  </si>
  <si>
    <t xml:space="preserve">Unlevered Free Cash Flow </t>
  </si>
  <si>
    <t xml:space="preserve">DCF </t>
  </si>
  <si>
    <t xml:space="preserve">Discount Period </t>
  </si>
  <si>
    <t xml:space="preserve">Discount Factor </t>
  </si>
  <si>
    <t xml:space="preserve">PV of UFCF </t>
  </si>
  <si>
    <t xml:space="preserve">Total PV of UFCF </t>
  </si>
  <si>
    <t xml:space="preserve">Terminal Value </t>
  </si>
  <si>
    <t xml:space="preserve">PV of TV </t>
  </si>
  <si>
    <t xml:space="preserve">Enterprise Value </t>
  </si>
  <si>
    <t xml:space="preserve">(-) Net Debt </t>
  </si>
  <si>
    <t xml:space="preserve">Equity Value </t>
  </si>
  <si>
    <t xml:space="preserve">(/) Shares Outstanding </t>
  </si>
  <si>
    <t xml:space="preserve">Per Share Price Target </t>
  </si>
  <si>
    <t>Implied Upside/Downside</t>
  </si>
  <si>
    <t>Q4 "YEAR""A"</t>
  </si>
  <si>
    <t>Q3 "YEAR""A"</t>
  </si>
  <si>
    <t>Q2 "YEAR""A"</t>
  </si>
  <si>
    <t>Q1 "YEAR""A"</t>
  </si>
  <si>
    <t>"####"A</t>
  </si>
  <si>
    <t>"####"E</t>
  </si>
  <si>
    <t>Q4 "YEAR""E"</t>
  </si>
  <si>
    <t>Q3 "YEAR""E"</t>
  </si>
  <si>
    <t>Q2 "YEAR""E"</t>
  </si>
  <si>
    <t>Q1 "YEAR""E"</t>
  </si>
  <si>
    <t>1 year (4 Quarters) historical and forecasted</t>
  </si>
  <si>
    <t>Company Name</t>
  </si>
  <si>
    <t>Ticker</t>
  </si>
  <si>
    <t>Date</t>
  </si>
  <si>
    <t xml:space="preserve">Line Item </t>
  </si>
  <si>
    <t xml:space="preserve">Line Item  </t>
  </si>
  <si>
    <t>Total Current Assets</t>
  </si>
  <si>
    <t>Total Assets</t>
  </si>
  <si>
    <t xml:space="preserve">Total Current Liabilties </t>
  </si>
  <si>
    <t xml:space="preserve">Total Liabilities </t>
  </si>
  <si>
    <t xml:space="preserve">Total Equity </t>
  </si>
  <si>
    <t xml:space="preserve">Total Liabilities and Equity </t>
  </si>
  <si>
    <r>
      <t xml:space="preserve">"Company Name" Statements of Cash Flows </t>
    </r>
    <r>
      <rPr>
        <b/>
        <sz val="14"/>
        <color rgb="FFFF0000"/>
        <rFont val="IBM Plex Sans"/>
        <family val="2"/>
      </rPr>
      <t>(UNITS)</t>
    </r>
  </si>
  <si>
    <t xml:space="preserve">Assets </t>
  </si>
  <si>
    <t>Liabilties</t>
  </si>
  <si>
    <t xml:space="preserve">Equity </t>
  </si>
  <si>
    <t>Equity</t>
  </si>
  <si>
    <t xml:space="preserve">Liabilties </t>
  </si>
  <si>
    <r>
      <t xml:space="preserve">"Company Name" Balance Sheet </t>
    </r>
    <r>
      <rPr>
        <b/>
        <sz val="14"/>
        <color rgb="FFFF0000"/>
        <rFont val="IBM Plex Sans"/>
        <family val="2"/>
      </rPr>
      <t>(UNITS)</t>
    </r>
  </si>
  <si>
    <t>Assets</t>
  </si>
  <si>
    <t xml:space="preserve">Cash Flows from Operating Activities </t>
  </si>
  <si>
    <t xml:space="preserve">Cash Flows from Investing Activities </t>
  </si>
  <si>
    <t xml:space="preserve">Cash Flows from Financing Activities </t>
  </si>
  <si>
    <t xml:space="preserve">Net Cash Provided by/(used in) Operating Activities </t>
  </si>
  <si>
    <t xml:space="preserve">Net Cash Provided by/(used in) Investing Activities </t>
  </si>
  <si>
    <t xml:space="preserve">Net Cash Provided by/(used in) Financing Activities </t>
  </si>
  <si>
    <t>Effects of Exchange Rate</t>
  </si>
  <si>
    <t xml:space="preserve">Net Increase/(decrease) in Cash, Cash Equivalents, and Restricted Cash </t>
  </si>
  <si>
    <t xml:space="preserve">Cash, Cash Equivalents, and Restricted Cash at Beginning of Period </t>
  </si>
  <si>
    <t xml:space="preserve">Cash, Cash Equivalents, and Restricted Cash at End of Period </t>
  </si>
  <si>
    <t>Revenue</t>
  </si>
  <si>
    <t xml:space="preserve">Share Repurchases </t>
  </si>
  <si>
    <t xml:space="preserve">Dividend as a % of Net Incomes </t>
  </si>
  <si>
    <r>
      <t xml:space="preserve">"Company Name" 3 Statement Model </t>
    </r>
    <r>
      <rPr>
        <b/>
        <sz val="14"/>
        <color rgb="FFFF0000"/>
        <rFont val="IBM Plex Sans"/>
        <family val="2"/>
      </rPr>
      <t>(UNITS)</t>
    </r>
  </si>
  <si>
    <t xml:space="preserve">Balance Sheet </t>
  </si>
  <si>
    <t>DCF</t>
  </si>
  <si>
    <t xml:space="preserve">Cash Flow Statement </t>
  </si>
  <si>
    <t xml:space="preserve">Income Statement </t>
  </si>
  <si>
    <t>Gross Margin %</t>
  </si>
  <si>
    <t>Gross Income</t>
  </si>
  <si>
    <t xml:space="preserve">Operating Income </t>
  </si>
  <si>
    <t>Operating Margin %</t>
  </si>
  <si>
    <t>Income before Taxes</t>
  </si>
  <si>
    <t xml:space="preserve">Income Tax Expense </t>
  </si>
  <si>
    <t xml:space="preserve">Net Income </t>
  </si>
  <si>
    <t>Net Income Margin %</t>
  </si>
  <si>
    <t>EPS</t>
  </si>
  <si>
    <t xml:space="preserve">"Company Name" Relative Valuation </t>
  </si>
  <si>
    <t>"Company Name" DCF Analysis (UNITS)</t>
  </si>
  <si>
    <t>"Company Name"</t>
  </si>
  <si>
    <t xml:space="preserve">Competitor  </t>
  </si>
  <si>
    <t>EV/Sales</t>
  </si>
  <si>
    <t>Price/Sales</t>
  </si>
  <si>
    <t>Price/Earnings</t>
  </si>
  <si>
    <t>Price/Book Value</t>
  </si>
  <si>
    <t xml:space="preserve">Low </t>
  </si>
  <si>
    <t>Weight</t>
  </si>
  <si>
    <t xml:space="preserve">Financials </t>
  </si>
  <si>
    <t>Average</t>
  </si>
  <si>
    <t>High</t>
  </si>
  <si>
    <t>Market Cap</t>
  </si>
  <si>
    <t>Share Price</t>
  </si>
  <si>
    <t>Sales</t>
  </si>
  <si>
    <t>Enterprise Value</t>
  </si>
  <si>
    <t xml:space="preserve">EPS </t>
  </si>
  <si>
    <t>Book Value</t>
  </si>
  <si>
    <t>Shares/OS</t>
  </si>
  <si>
    <t>Implied Price Target</t>
  </si>
  <si>
    <t>Assumptions</t>
  </si>
  <si>
    <t xml:space="preserve">Type </t>
  </si>
  <si>
    <t>Value</t>
  </si>
  <si>
    <t xml:space="preserve">Custom </t>
  </si>
  <si>
    <t xml:space="preserve">Gross Margin </t>
  </si>
  <si>
    <t xml:space="preserve">Step </t>
  </si>
  <si>
    <t xml:space="preserve">Operating Costs </t>
  </si>
  <si>
    <t xml:space="preserve">EBITDA Margin </t>
  </si>
  <si>
    <t xml:space="preserve">**ford doesn’t report </t>
  </si>
  <si>
    <t>Constant</t>
  </si>
  <si>
    <t>Interest Rate on Debt</t>
  </si>
  <si>
    <t xml:space="preserve">Assumptions </t>
  </si>
  <si>
    <t>Depreciation % of PPE</t>
  </si>
  <si>
    <t xml:space="preserve">CAPEX </t>
  </si>
  <si>
    <t>ASSUMPTION</t>
  </si>
  <si>
    <t>Base</t>
  </si>
  <si>
    <t>Benchmark</t>
  </si>
  <si>
    <t>S&amp;P 500</t>
  </si>
  <si>
    <t>Lookback (years)</t>
  </si>
  <si>
    <t>Beta</t>
  </si>
  <si>
    <t>Ticker Adj Close</t>
  </si>
  <si>
    <t>Benchmark Adj Close</t>
  </si>
  <si>
    <t>Ticker Returns</t>
  </si>
  <si>
    <t>Benchmark Returns</t>
  </si>
  <si>
    <t xml:space="preserve">"Company Name" DCF Analysis </t>
  </si>
  <si>
    <t>Sensitivity Analysis</t>
  </si>
  <si>
    <t>WACC Step</t>
  </si>
  <si>
    <t>Terminal Step</t>
  </si>
  <si>
    <t>Current Stock Price</t>
  </si>
  <si>
    <t>Weighted Implied Stock Price</t>
  </si>
  <si>
    <t xml:space="preserve">Bear </t>
  </si>
  <si>
    <t>Bull</t>
  </si>
  <si>
    <t>DCF Case</t>
  </si>
  <si>
    <t>Relative Valuation</t>
  </si>
  <si>
    <t>Method</t>
  </si>
  <si>
    <t>Price Target</t>
  </si>
  <si>
    <t>Relative Method</t>
  </si>
  <si>
    <t>BV Debt</t>
  </si>
  <si>
    <t>Net Debt</t>
  </si>
  <si>
    <t xml:space="preserve">Cost of Revenue </t>
  </si>
  <si>
    <t>Gross Profit</t>
  </si>
  <si>
    <t>Research &amp; Development Expenses</t>
  </si>
  <si>
    <t>Selling, General &amp; Administrative Expenses (SG&amp;A)</t>
  </si>
  <si>
    <t>Other Expenses</t>
  </si>
  <si>
    <t>Net Interest Income</t>
  </si>
  <si>
    <t>Depreciation &amp; Amortization</t>
  </si>
  <si>
    <t>Net Income</t>
  </si>
  <si>
    <t>Weighted Average Shares Outstanding</t>
  </si>
  <si>
    <t>Cash &amp; Cash Equivalents</t>
  </si>
  <si>
    <t>Short-Term Investments</t>
  </si>
  <si>
    <t>Net Receivables</t>
  </si>
  <si>
    <t>Inventory</t>
  </si>
  <si>
    <t>Prepaid Expenses</t>
  </si>
  <si>
    <t>Other Current Assets</t>
  </si>
  <si>
    <t>Property, Plant &amp; Equipment (Net)</t>
  </si>
  <si>
    <t>Goodwill</t>
  </si>
  <si>
    <t>Intangible Assets</t>
  </si>
  <si>
    <t>Long-Term Investments</t>
  </si>
  <si>
    <t>Tax Assets</t>
  </si>
  <si>
    <t>Other Non-Current Assets</t>
  </si>
  <si>
    <t>Total Non-Current Assets</t>
  </si>
  <si>
    <t>Other Assets</t>
  </si>
  <si>
    <t>Accounts Payable</t>
  </si>
  <si>
    <t>Other Payables</t>
  </si>
  <si>
    <t>Accrued Expenses</t>
  </si>
  <si>
    <t>Short-Term Debt</t>
  </si>
  <si>
    <t>Current Capital Lease Obligations</t>
  </si>
  <si>
    <t>Tax Payables</t>
  </si>
  <si>
    <t>Deferred Revenue (Current)</t>
  </si>
  <si>
    <t>Other Current Liabilities</t>
  </si>
  <si>
    <t>Total Current Liabilities</t>
  </si>
  <si>
    <t>Long-Term Debt</t>
  </si>
  <si>
    <t>Non-Current Capital Lease Obligations</t>
  </si>
  <si>
    <t>Deferred Revenue (Non-Current)</t>
  </si>
  <si>
    <t>Deferred Tax Liabilities (Non-Current)</t>
  </si>
  <si>
    <t>Other Non-Current Liabilities</t>
  </si>
  <si>
    <t>Total Non-Current Liabilities</t>
  </si>
  <si>
    <t>Total Liabilities</t>
  </si>
  <si>
    <t>Treasury Stock</t>
  </si>
  <si>
    <t>Preferred Stock</t>
  </si>
  <si>
    <t>Common Stock</t>
  </si>
  <si>
    <t>Retained Earnings</t>
  </si>
  <si>
    <t>Additional Paid-In Capital</t>
  </si>
  <si>
    <t>Accumulated Other Comprehensive Income (Loss)</t>
  </si>
  <si>
    <t>Other Stockholders’ Equity</t>
  </si>
  <si>
    <t>Total Equity</t>
  </si>
  <si>
    <t>Total Liabilities &amp; Equity</t>
  </si>
  <si>
    <t>Deferred Income Tax</t>
  </si>
  <si>
    <t>Stock-Based Compensation</t>
  </si>
  <si>
    <t>Change in Working Capital</t>
  </si>
  <si>
    <t>Change in Accounts Receivable</t>
  </si>
  <si>
    <t>Change in Inventory</t>
  </si>
  <si>
    <t>Change in Accounts Payable</t>
  </si>
  <si>
    <t>Other Working Capital Adjustments</t>
  </si>
  <si>
    <t>Other Non-Cash Items</t>
  </si>
  <si>
    <t>Net Cash Provided by Operating Activities</t>
  </si>
  <si>
    <t>Investments in Property, Plant &amp; Equipment (CapEx)</t>
  </si>
  <si>
    <t>Net Acquisitions</t>
  </si>
  <si>
    <t>Purchases of Investments</t>
  </si>
  <si>
    <t>Sales / Maturities of Investments</t>
  </si>
  <si>
    <t>Other Investing Activities</t>
  </si>
  <si>
    <t>Net Cash Provided by Investing Activities</t>
  </si>
  <si>
    <t>Net Debt Issuance</t>
  </si>
  <si>
    <t>Long-Term Net Debt Issuance</t>
  </si>
  <si>
    <t>Short-Term Net Debt Issuance</t>
  </si>
  <si>
    <t>Net Stock Issuance</t>
  </si>
  <si>
    <t>Net Common Stock Issuance</t>
  </si>
  <si>
    <t>Common Stock Issued</t>
  </si>
  <si>
    <t>Common Stock Repurchased</t>
  </si>
  <si>
    <t>Net Preferred Stock Issuance</t>
  </si>
  <si>
    <t>Dividends Paid (Net)</t>
  </si>
  <si>
    <t>Common Dividends Paid</t>
  </si>
  <si>
    <t>Preferred Dividends Paid</t>
  </si>
  <si>
    <t>Other Financing Activities</t>
  </si>
  <si>
    <t>Net Cash Provided by Financing Activities</t>
  </si>
  <si>
    <t>Effect of Foreign Exchange on Cash</t>
  </si>
  <si>
    <t>Net Change in Cash</t>
  </si>
  <si>
    <t>Cash at End of Period</t>
  </si>
  <si>
    <t>Cash at Beginning of Period</t>
  </si>
  <si>
    <t>Free Cash Flow</t>
  </si>
  <si>
    <t>Operating Profit</t>
  </si>
  <si>
    <t>"researchAndDevelopmentExpenses": 34550000000,</t>
  </si>
  <si>
    <t>"generalAndAdministrativeExpenses": 0,</t>
  </si>
  <si>
    <t>"sellingAndMarketingExpenses": 0,</t>
  </si>
  <si>
    <t>"sellingGeneralAndAdministrativeExpenses": 27601000000,</t>
  </si>
  <si>
    <t>"otherExpenses": 0,</t>
  </si>
  <si>
    <t>"operatingExpenses": 62151000000,</t>
  </si>
  <si>
    <t>Other Non Operating Expenses</t>
  </si>
  <si>
    <t>Income Before Taxes</t>
  </si>
  <si>
    <t>Total Long-term Assets</t>
  </si>
  <si>
    <t>A</t>
  </si>
  <si>
    <t>Shares Outstanding</t>
  </si>
  <si>
    <t>API</t>
  </si>
  <si>
    <t>API Calc</t>
  </si>
  <si>
    <t xml:space="preserve">API  </t>
  </si>
  <si>
    <t xml:space="preserve">Operating Margin </t>
  </si>
  <si>
    <t>Inventory % Sales</t>
  </si>
  <si>
    <t>Other Non-Operating Adjustments</t>
  </si>
  <si>
    <t>Long Term Debt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</si>
</sst>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_);\(0.0%\);0.0%_);@_)"/>
    <numFmt numFmtId="165" formatCode="_(* #,##0_);_(* \(#,##0\);_(* &quot;-&quot;??_);_(@_)"/>
    <numFmt numFmtId="166" formatCode="0.0%"/>
    <numFmt numFmtId="167" formatCode="yyyy\-mm\-dd"/>
    <numFmt numFmtId="168" formatCode="0.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IBM Plex Sans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IBM Plex Sans"/>
      <family val="2"/>
    </font>
    <font>
      <sz val="11"/>
      <color rgb="FFFF0000"/>
      <name val="IBM Plex Sans"/>
      <family val="2"/>
    </font>
    <font>
      <sz val="11"/>
      <color rgb="FF000000"/>
      <name val="IBM Plex Sans"/>
      <family val="2"/>
    </font>
    <font>
      <sz val="11"/>
      <color rgb="FF0000FF"/>
      <name val="IBM Plex Sans"/>
      <family val="2"/>
    </font>
    <font>
      <sz val="10"/>
      <color rgb="FF0000FF"/>
      <name val="IBM Plex Sans"/>
      <family val="2"/>
    </font>
    <font>
      <b/>
      <sz val="11"/>
      <color theme="1"/>
      <name val="IBM Plex Sans"/>
      <family val="2"/>
    </font>
    <font>
      <i/>
      <sz val="11"/>
      <color rgb="FF000000"/>
      <name val="IBM Plex Sans"/>
      <family val="2"/>
    </font>
    <font>
      <b/>
      <sz val="11"/>
      <color rgb="FF000000"/>
      <name val="IBM Plex Sans"/>
      <family val="2"/>
    </font>
    <font>
      <sz val="10"/>
      <color rgb="FF000000"/>
      <name val="IBM Plex Sans"/>
      <family val="2"/>
    </font>
    <font>
      <b/>
      <sz val="10"/>
      <color rgb="FF000000"/>
      <name val="IBM Plex Sans"/>
      <family val="2"/>
    </font>
    <font>
      <b/>
      <sz val="14"/>
      <color theme="1"/>
      <name val="IBM Plex Sans"/>
      <family val="2"/>
    </font>
    <font>
      <b/>
      <sz val="14"/>
      <color rgb="FFFF0000"/>
      <name val="IBM Plex Sans"/>
      <family val="2"/>
    </font>
    <font>
      <sz val="11"/>
      <color rgb="FF00B050"/>
      <name val="IBM Plex Sans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IBM Plex Sans"/>
      <family val="2"/>
    </font>
    <font>
      <sz val="20"/>
      <color theme="1"/>
      <name val="IBM Plex Sans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0" applyFont="1"/>
    <xf numFmtId="0" fontId="7" fillId="0" borderId="0" xfId="0" applyFont="1"/>
    <xf numFmtId="0" fontId="8" fillId="0" borderId="0" xfId="0" applyFont="1"/>
    <xf numFmtId="164" fontId="8" fillId="0" borderId="0" xfId="0" applyNumberFormat="1" applyFont="1"/>
    <xf numFmtId="0" fontId="8" fillId="0" borderId="0" xfId="0" applyFont="1" applyAlignment="1">
      <alignment horizontal="left" indent="1"/>
    </xf>
    <xf numFmtId="0" fontId="8" fillId="0" borderId="1" xfId="0" applyFont="1" applyBorder="1"/>
    <xf numFmtId="0" fontId="12" fillId="0" borderId="0" xfId="0" applyFont="1" applyAlignment="1">
      <alignment horizontal="left" indent="1"/>
    </xf>
    <xf numFmtId="0" fontId="8" fillId="0" borderId="2" xfId="0" applyFont="1" applyBorder="1"/>
    <xf numFmtId="0" fontId="13" fillId="0" borderId="2" xfId="0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4" fillId="0" borderId="2" xfId="0" applyFont="1" applyBorder="1"/>
    <xf numFmtId="0" fontId="6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8" fillId="2" borderId="0" xfId="0" applyFont="1" applyFill="1"/>
    <xf numFmtId="0" fontId="13" fillId="2" borderId="0" xfId="0" applyFont="1" applyFill="1"/>
    <xf numFmtId="0" fontId="11" fillId="2" borderId="0" xfId="0" applyFont="1" applyFill="1"/>
    <xf numFmtId="0" fontId="2" fillId="2" borderId="0" xfId="0" applyFont="1" applyFill="1"/>
    <xf numFmtId="10" fontId="2" fillId="0" borderId="0" xfId="0" applyNumberFormat="1" applyFont="1"/>
    <xf numFmtId="0" fontId="2" fillId="0" borderId="3" xfId="0" applyFont="1" applyBorder="1"/>
    <xf numFmtId="0" fontId="11" fillId="0" borderId="0" xfId="0" applyFont="1"/>
    <xf numFmtId="0" fontId="2" fillId="0" borderId="2" xfId="0" applyFont="1" applyBorder="1"/>
    <xf numFmtId="37" fontId="2" fillId="0" borderId="2" xfId="0" applyNumberFormat="1" applyFont="1" applyBorder="1"/>
    <xf numFmtId="10" fontId="9" fillId="0" borderId="0" xfId="0" applyNumberFormat="1" applyFont="1" applyAlignment="1">
      <alignment horizontal="right"/>
    </xf>
    <xf numFmtId="165" fontId="9" fillId="0" borderId="0" xfId="2" applyNumberFormat="1" applyFont="1" applyAlignment="1">
      <alignment horizontal="right"/>
    </xf>
    <xf numFmtId="165" fontId="9" fillId="0" borderId="0" xfId="1" applyNumberFormat="1" applyFont="1" applyAlignment="1">
      <alignment horizontal="right"/>
    </xf>
    <xf numFmtId="43" fontId="9" fillId="0" borderId="0" xfId="1" applyFont="1" applyAlignment="1">
      <alignment horizontal="right"/>
    </xf>
    <xf numFmtId="14" fontId="2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0" borderId="0" xfId="1" applyNumberFormat="1" applyFont="1" applyFill="1" applyBorder="1" applyAlignment="1">
      <alignment horizontal="left"/>
    </xf>
    <xf numFmtId="10" fontId="10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left"/>
    </xf>
    <xf numFmtId="166" fontId="8" fillId="0" borderId="0" xfId="0" applyNumberFormat="1" applyFont="1" applyAlignment="1">
      <alignment horizontal="left"/>
    </xf>
    <xf numFmtId="10" fontId="9" fillId="0" borderId="0" xfId="0" applyNumberFormat="1" applyFont="1" applyAlignment="1">
      <alignment horizontal="left"/>
    </xf>
    <xf numFmtId="0" fontId="15" fillId="0" borderId="2" xfId="0" applyFont="1" applyBorder="1"/>
    <xf numFmtId="0" fontId="12" fillId="0" borderId="0" xfId="0" applyFont="1" applyAlignment="1">
      <alignment horizontal="left" indent="2"/>
    </xf>
    <xf numFmtId="0" fontId="14" fillId="0" borderId="0" xfId="0" applyFont="1" applyAlignment="1">
      <alignment horizontal="left" indent="2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11" fillId="0" borderId="2" xfId="0" applyFont="1" applyBorder="1" applyAlignment="1">
      <alignment horizontal="center"/>
    </xf>
    <xf numFmtId="0" fontId="9" fillId="0" borderId="0" xfId="0" applyFont="1"/>
    <xf numFmtId="0" fontId="18" fillId="0" borderId="0" xfId="0" applyFont="1"/>
    <xf numFmtId="10" fontId="8" fillId="0" borderId="1" xfId="0" applyNumberFormat="1" applyFont="1" applyBorder="1" applyAlignment="1">
      <alignment horizontal="left"/>
    </xf>
    <xf numFmtId="37" fontId="8" fillId="0" borderId="0" xfId="0" applyNumberFormat="1" applyFont="1"/>
    <xf numFmtId="2" fontId="9" fillId="0" borderId="0" xfId="0" applyNumberFormat="1" applyFont="1"/>
    <xf numFmtId="2" fontId="8" fillId="0" borderId="0" xfId="0" applyNumberFormat="1" applyFont="1"/>
    <xf numFmtId="165" fontId="8" fillId="0" borderId="0" xfId="3" applyNumberFormat="1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9" fontId="2" fillId="0" borderId="0" xfId="4" applyFont="1"/>
    <xf numFmtId="0" fontId="19" fillId="3" borderId="0" xfId="0" applyFont="1" applyFill="1"/>
    <xf numFmtId="0" fontId="0" fillId="3" borderId="0" xfId="0" applyFill="1"/>
    <xf numFmtId="0" fontId="21" fillId="0" borderId="0" xfId="0" applyFont="1"/>
    <xf numFmtId="0" fontId="0" fillId="2" borderId="0" xfId="0" applyFill="1"/>
    <xf numFmtId="0" fontId="20" fillId="0" borderId="0" xfId="0" applyFont="1"/>
    <xf numFmtId="0" fontId="20" fillId="0" borderId="0" xfId="0" applyFont="1" applyAlignment="1">
      <alignment horizontal="left" indent="1"/>
    </xf>
    <xf numFmtId="0" fontId="20" fillId="0" borderId="0" xfId="0" applyFont="1" applyAlignment="1">
      <alignment horizontal="left"/>
    </xf>
    <xf numFmtId="0" fontId="6" fillId="4" borderId="0" xfId="0" applyFont="1" applyFill="1"/>
    <xf numFmtId="0" fontId="0" fillId="4" borderId="0" xfId="0" applyFill="1"/>
    <xf numFmtId="0" fontId="2" fillId="4" borderId="0" xfId="0" applyFont="1" applyFill="1"/>
    <xf numFmtId="0" fontId="1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quotePrefix="1" applyFont="1"/>
    <xf numFmtId="9" fontId="0" fillId="0" borderId="0" xfId="4" applyFont="1"/>
    <xf numFmtId="9" fontId="0" fillId="0" borderId="0" xfId="0" applyNumberFormat="1"/>
    <xf numFmtId="10" fontId="0" fillId="0" borderId="0" xfId="0" applyNumberFormat="1"/>
    <xf numFmtId="9" fontId="2" fillId="0" borderId="0" xfId="0" applyNumberFormat="1" applyFont="1"/>
    <xf numFmtId="9" fontId="2" fillId="0" borderId="0" xfId="4" applyFont="1" applyFill="1"/>
    <xf numFmtId="167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8" fillId="0" borderId="0" xfId="0" applyFont="1" applyAlignment="1">
      <alignment horizontal="left"/>
    </xf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10" fontId="2" fillId="0" borderId="9" xfId="0" applyNumberFormat="1" applyFont="1" applyBorder="1"/>
    <xf numFmtId="0" fontId="22" fillId="0" borderId="0" xfId="0" applyFont="1"/>
    <xf numFmtId="9" fontId="2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0" fontId="20" fillId="2" borderId="0" xfId="0" applyFont="1" applyFill="1"/>
    <xf numFmtId="0" fontId="11" fillId="0" borderId="0" xfId="0" applyFont="1" applyAlignment="1">
      <alignment horizontal="left"/>
    </xf>
    <xf numFmtId="0" fontId="16" fillId="2" borderId="0" xfId="0" applyFont="1" applyFill="1"/>
    <xf numFmtId="10" fontId="11" fillId="0" borderId="0" xfId="0" applyNumberFormat="1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2" borderId="12" xfId="0" applyFont="1" applyFill="1" applyBorder="1"/>
    <xf numFmtId="0" fontId="6" fillId="2" borderId="12" xfId="0" applyFont="1" applyFill="1" applyBorder="1"/>
    <xf numFmtId="0" fontId="2" fillId="5" borderId="0" xfId="0" applyFont="1" applyFill="1"/>
    <xf numFmtId="0" fontId="2" fillId="5" borderId="2" xfId="0" applyFont="1" applyFill="1" applyBorder="1"/>
    <xf numFmtId="0" fontId="2" fillId="0" borderId="0" xfId="0" applyFont="1" applyAlignment="1">
      <alignment horizontal="left" indent="1"/>
    </xf>
    <xf numFmtId="0" fontId="11" fillId="0" borderId="2" xfId="0" applyFont="1" applyBorder="1"/>
    <xf numFmtId="0" fontId="11" fillId="5" borderId="2" xfId="0" applyFont="1" applyFill="1" applyBorder="1"/>
    <xf numFmtId="0" fontId="2" fillId="0" borderId="1" xfId="0" applyFont="1" applyBorder="1"/>
    <xf numFmtId="0" fontId="2" fillId="0" borderId="13" xfId="0" applyFont="1" applyBorder="1"/>
    <xf numFmtId="0" fontId="2" fillId="5" borderId="13" xfId="0" applyFont="1" applyFill="1" applyBorder="1"/>
    <xf numFmtId="10" fontId="2" fillId="5" borderId="0" xfId="0" applyNumberFormat="1" applyFont="1" applyFill="1"/>
    <xf numFmtId="10" fontId="2" fillId="5" borderId="2" xfId="0" applyNumberFormat="1" applyFont="1" applyFill="1" applyBorder="1"/>
    <xf numFmtId="37" fontId="8" fillId="5" borderId="0" xfId="0" applyNumberFormat="1" applyFont="1" applyFill="1"/>
    <xf numFmtId="37" fontId="2" fillId="5" borderId="2" xfId="0" applyNumberFormat="1" applyFont="1" applyFill="1" applyBorder="1"/>
    <xf numFmtId="0" fontId="2" fillId="5" borderId="0" xfId="4" applyNumberFormat="1" applyFont="1" applyFill="1"/>
    <xf numFmtId="9" fontId="2" fillId="5" borderId="0" xfId="0" applyNumberFormat="1" applyFont="1" applyFill="1"/>
    <xf numFmtId="1" fontId="2" fillId="5" borderId="0" xfId="0" applyNumberFormat="1" applyFont="1" applyFill="1"/>
    <xf numFmtId="1" fontId="2" fillId="5" borderId="2" xfId="0" applyNumberFormat="1" applyFont="1" applyFill="1" applyBorder="1"/>
    <xf numFmtId="0" fontId="11" fillId="5" borderId="1" xfId="0" applyFont="1" applyFill="1" applyBorder="1"/>
    <xf numFmtId="0" fontId="11" fillId="5" borderId="0" xfId="0" applyFont="1" applyFill="1"/>
    <xf numFmtId="0" fontId="11" fillId="5" borderId="13" xfId="0" applyFont="1" applyFill="1" applyBorder="1"/>
    <xf numFmtId="168" fontId="11" fillId="5" borderId="0" xfId="0" applyNumberFormat="1" applyFont="1" applyFill="1"/>
    <xf numFmtId="1" fontId="11" fillId="5" borderId="0" xfId="0" applyNumberFormat="1" applyFont="1" applyFill="1"/>
    <xf numFmtId="9" fontId="2" fillId="5" borderId="0" xfId="4" applyFont="1" applyFill="1"/>
    <xf numFmtId="1" fontId="11" fillId="5" borderId="2" xfId="0" applyNumberFormat="1" applyFont="1" applyFill="1" applyBorder="1"/>
    <xf numFmtId="0" fontId="11" fillId="0" borderId="12" xfId="0" applyFont="1" applyBorder="1"/>
    <xf numFmtId="1" fontId="11" fillId="0" borderId="12" xfId="0" applyNumberFormat="1" applyFont="1" applyBorder="1"/>
    <xf numFmtId="1" fontId="2" fillId="5" borderId="2" xfId="4" applyNumberFormat="1" applyFont="1" applyFill="1" applyBorder="1"/>
    <xf numFmtId="0" fontId="11" fillId="0" borderId="0" xfId="0" applyFont="1" applyAlignment="1">
      <alignment horizontal="right"/>
    </xf>
    <xf numFmtId="9" fontId="2" fillId="0" borderId="0" xfId="4" applyFont="1" applyAlignment="1">
      <alignment horizontal="right"/>
    </xf>
    <xf numFmtId="10" fontId="2" fillId="0" borderId="7" xfId="0" applyNumberFormat="1" applyFont="1" applyBorder="1"/>
    <xf numFmtId="10" fontId="2" fillId="0" borderId="8" xfId="0" applyNumberFormat="1" applyFont="1" applyBorder="1"/>
    <xf numFmtId="10" fontId="2" fillId="0" borderId="10" xfId="0" applyNumberFormat="1" applyFont="1" applyBorder="1"/>
    <xf numFmtId="10" fontId="2" fillId="0" borderId="11" xfId="0" applyNumberFormat="1" applyFont="1" applyBorder="1"/>
    <xf numFmtId="0" fontId="2" fillId="6" borderId="0" xfId="0" applyFont="1" applyFill="1" applyAlignment="1">
      <alignment horizontal="left" indent="1"/>
    </xf>
  </cellXfs>
  <cellStyles count="5">
    <cellStyle name="Comma" xfId="3" builtinId="3"/>
    <cellStyle name="Comma 10" xfId="1" xr:uid="{204F9C37-3795-4A93-9F48-725C062F4960}"/>
    <cellStyle name="Comma 2" xfId="2" xr:uid="{A24A998B-4B73-4889-89F1-4E724D625066}"/>
    <cellStyle name="Normal" xfId="0" builtinId="0"/>
    <cellStyle name="Percent" xfId="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COBA chair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2E98AB"/>
      </a:accent1>
      <a:accent2>
        <a:srgbClr val="BCAE51"/>
      </a:accent2>
      <a:accent3>
        <a:srgbClr val="588088"/>
      </a:accent3>
      <a:accent4>
        <a:srgbClr val="114874"/>
      </a:accent4>
      <a:accent5>
        <a:srgbClr val="3B594B"/>
      </a:accent5>
      <a:accent6>
        <a:srgbClr val="8AA59F"/>
      </a:accent6>
      <a:hlink>
        <a:srgbClr val="000000"/>
      </a:hlink>
      <a:folHlink>
        <a:srgbClr val="D9D9D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B4FA-AFF6-455E-8AB6-97D99C45C0E4}">
  <sheetPr>
    <tabColor rgb="FFFF0000"/>
  </sheetPr>
  <dimension ref="B2:B4"/>
  <sheetViews>
    <sheetView showGridLines="0" workbookViewId="0">
      <selection sqref="A1:E2"/>
    </sheetView>
  </sheetViews>
  <sheetFormatPr defaultColWidth="8.86328125" defaultRowHeight="16.5" x14ac:dyDescent="0.6"/>
  <cols>
    <col min="1" max="1" width="2.86328125" style="1" customWidth="1"/>
    <col min="2" max="16384" width="8.86328125" style="1"/>
  </cols>
  <sheetData>
    <row r="2" spans="2:2" ht="30.4" x14ac:dyDescent="1.1000000000000001">
      <c r="B2" s="82" t="s">
        <v>63</v>
      </c>
    </row>
    <row r="3" spans="2:2" ht="24.75" x14ac:dyDescent="0.9">
      <c r="B3" s="56" t="s">
        <v>64</v>
      </c>
    </row>
    <row r="4" spans="2:2" ht="24.75" x14ac:dyDescent="0.9">
      <c r="B4" s="5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9FDF-A607-4710-A36B-C8A4D30FC536}">
  <sheetPr>
    <tabColor rgb="FFFF0000"/>
  </sheetPr>
  <dimension ref="B2:J21"/>
  <sheetViews>
    <sheetView showGridLines="0" workbookViewId="0">
      <selection activeCell="C4" sqref="C4"/>
    </sheetView>
  </sheetViews>
  <sheetFormatPr defaultColWidth="8.86328125" defaultRowHeight="16.5" x14ac:dyDescent="0.6"/>
  <cols>
    <col min="1" max="1" width="2.86328125" style="1" customWidth="1"/>
    <col min="2" max="2" width="29.1328125" style="1" bestFit="1" customWidth="1"/>
    <col min="3" max="3" width="12" style="1" customWidth="1"/>
    <col min="4" max="4" width="12" style="1" bestFit="1" customWidth="1"/>
    <col min="5" max="16384" width="8.86328125" style="1"/>
  </cols>
  <sheetData>
    <row r="2" spans="2:10" ht="21" x14ac:dyDescent="0.75">
      <c r="B2" s="87" t="s">
        <v>63</v>
      </c>
      <c r="C2" s="19"/>
      <c r="D2" s="19"/>
      <c r="E2" s="19"/>
      <c r="F2" s="19"/>
      <c r="G2" s="19"/>
      <c r="H2" s="19"/>
      <c r="I2" s="19"/>
      <c r="J2" s="19"/>
    </row>
    <row r="3" spans="2:10" x14ac:dyDescent="0.6">
      <c r="B3" s="1" t="s">
        <v>64</v>
      </c>
    </row>
    <row r="4" spans="2:10" x14ac:dyDescent="0.6">
      <c r="B4" s="1" t="s">
        <v>158</v>
      </c>
      <c r="C4" s="65"/>
      <c r="D4" s="65"/>
      <c r="E4" s="65"/>
      <c r="F4" s="65"/>
      <c r="G4" s="65"/>
    </row>
    <row r="5" spans="2:10" x14ac:dyDescent="0.6">
      <c r="B5" s="1" t="s">
        <v>159</v>
      </c>
      <c r="C5" s="65" t="e">
        <f ca="1">(C9*D9)+(C10*D10)</f>
        <v>#VALUE!</v>
      </c>
      <c r="D5" s="65"/>
      <c r="E5" s="65"/>
      <c r="F5" s="65"/>
      <c r="G5" s="65"/>
    </row>
    <row r="6" spans="2:10" x14ac:dyDescent="0.6">
      <c r="B6" s="22" t="s">
        <v>51</v>
      </c>
      <c r="C6" s="88" t="e">
        <f ca="1">(C4/C5-1)</f>
        <v>#VALUE!</v>
      </c>
      <c r="D6" s="65"/>
      <c r="E6" s="86"/>
      <c r="F6" s="86"/>
      <c r="G6" s="65"/>
    </row>
    <row r="7" spans="2:10" x14ac:dyDescent="0.6">
      <c r="C7" s="65"/>
      <c r="D7" s="65"/>
      <c r="E7" s="65"/>
      <c r="F7" s="65"/>
      <c r="G7" s="65"/>
    </row>
    <row r="8" spans="2:10" x14ac:dyDescent="0.6">
      <c r="B8" s="18" t="s">
        <v>164</v>
      </c>
      <c r="C8" s="84" t="s">
        <v>118</v>
      </c>
      <c r="D8" s="84" t="s">
        <v>165</v>
      </c>
      <c r="E8" s="65"/>
      <c r="F8" s="65"/>
      <c r="G8" s="65"/>
    </row>
    <row r="9" spans="2:10" x14ac:dyDescent="0.6">
      <c r="B9" s="1" t="s">
        <v>97</v>
      </c>
      <c r="C9" s="83">
        <v>0.5</v>
      </c>
      <c r="D9" s="65" t="e">
        <f ca="1">(C13*D13)+(C14*D14)+(C15*D15)</f>
        <v>#VALUE!</v>
      </c>
      <c r="E9" s="65"/>
      <c r="F9" s="65"/>
      <c r="G9" s="65"/>
    </row>
    <row r="10" spans="2:10" x14ac:dyDescent="0.6">
      <c r="B10" s="1" t="s">
        <v>163</v>
      </c>
      <c r="C10" s="83">
        <v>0.5</v>
      </c>
      <c r="D10" s="65" t="e">
        <f>(C18*D18)+(C19*D19)+(C20*D20)+(C21*D21)</f>
        <v>#DIV/0!</v>
      </c>
      <c r="E10" s="65"/>
      <c r="F10" s="65"/>
      <c r="G10" s="65"/>
    </row>
    <row r="11" spans="2:10" x14ac:dyDescent="0.6">
      <c r="C11" s="65"/>
      <c r="D11" s="65"/>
      <c r="E11" s="65"/>
      <c r="F11" s="65"/>
      <c r="G11" s="65"/>
    </row>
    <row r="12" spans="2:10" x14ac:dyDescent="0.6">
      <c r="B12" s="18" t="s">
        <v>162</v>
      </c>
      <c r="C12" s="84" t="s">
        <v>118</v>
      </c>
      <c r="D12" s="84" t="s">
        <v>165</v>
      </c>
      <c r="E12" s="65"/>
      <c r="F12" s="65"/>
      <c r="G12" s="65"/>
    </row>
    <row r="13" spans="2:10" x14ac:dyDescent="0.6">
      <c r="B13" s="1" t="s">
        <v>145</v>
      </c>
      <c r="C13" s="83">
        <v>0.6</v>
      </c>
      <c r="D13" s="65" t="e">
        <f ca="1">'DCF Base'!K48</f>
        <v>#VALUE!</v>
      </c>
      <c r="E13" s="65"/>
      <c r="F13" s="65"/>
      <c r="G13" s="65"/>
    </row>
    <row r="14" spans="2:10" x14ac:dyDescent="0.6">
      <c r="B14" s="1" t="s">
        <v>160</v>
      </c>
      <c r="C14" s="83">
        <v>0.2</v>
      </c>
      <c r="D14" s="65" t="e">
        <f ca="1">'DCF Bear'!K48</f>
        <v>#VALUE!</v>
      </c>
      <c r="E14" s="65"/>
      <c r="F14" s="65"/>
      <c r="G14" s="65"/>
    </row>
    <row r="15" spans="2:10" x14ac:dyDescent="0.6">
      <c r="B15" s="1" t="s">
        <v>161</v>
      </c>
      <c r="C15" s="83">
        <v>0.2</v>
      </c>
      <c r="D15" s="65" t="e">
        <f ca="1">'DCF Bull'!K48</f>
        <v>#VALUE!</v>
      </c>
      <c r="E15" s="65"/>
      <c r="F15" s="65"/>
      <c r="G15" s="65"/>
    </row>
    <row r="16" spans="2:10" x14ac:dyDescent="0.6">
      <c r="C16" s="65"/>
      <c r="D16" s="65"/>
      <c r="E16" s="65"/>
      <c r="F16" s="65"/>
      <c r="G16" s="65"/>
    </row>
    <row r="17" spans="2:4" x14ac:dyDescent="0.6">
      <c r="B17" s="18" t="s">
        <v>166</v>
      </c>
      <c r="C17" s="19" t="s">
        <v>118</v>
      </c>
      <c r="D17" s="19" t="s">
        <v>165</v>
      </c>
    </row>
    <row r="18" spans="2:4" x14ac:dyDescent="0.6">
      <c r="B18" s="1" t="s">
        <v>113</v>
      </c>
      <c r="C18" s="83">
        <f>RV!J5</f>
        <v>0.25</v>
      </c>
      <c r="D18" s="1" t="e">
        <f>RV!D13</f>
        <v>#DIV/0!</v>
      </c>
    </row>
    <row r="19" spans="2:4" x14ac:dyDescent="0.6">
      <c r="B19" s="1" t="s">
        <v>114</v>
      </c>
      <c r="C19" s="83">
        <f>RV!J6</f>
        <v>0.25</v>
      </c>
      <c r="D19" s="1" t="e">
        <f>RV!E13</f>
        <v>#DIV/0!</v>
      </c>
    </row>
    <row r="20" spans="2:4" x14ac:dyDescent="0.6">
      <c r="B20" s="1" t="s">
        <v>115</v>
      </c>
      <c r="C20" s="83">
        <f>RV!J7</f>
        <v>0.25</v>
      </c>
      <c r="D20" s="1" t="e">
        <f>RV!F13</f>
        <v>#DIV/0!</v>
      </c>
    </row>
    <row r="21" spans="2:4" x14ac:dyDescent="0.6">
      <c r="B21" s="1" t="s">
        <v>116</v>
      </c>
      <c r="C21" s="83">
        <f>RV!J8</f>
        <v>0.25</v>
      </c>
      <c r="D21" s="1" t="e">
        <f>RV!G13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012A-4275-4ADD-BBFF-5BC15C608E3F}">
  <sheetPr>
    <tabColor rgb="FFFF0000"/>
  </sheetPr>
  <dimension ref="A1:S58"/>
  <sheetViews>
    <sheetView showGridLines="0" zoomScale="75" zoomScaleNormal="100" workbookViewId="0">
      <selection activeCell="H18" sqref="H18"/>
    </sheetView>
  </sheetViews>
  <sheetFormatPr defaultColWidth="8.86328125" defaultRowHeight="16.5" x14ac:dyDescent="0.6"/>
  <cols>
    <col min="1" max="1" width="2.86328125" style="1" customWidth="1"/>
    <col min="2" max="2" width="21.1328125" style="1" bestFit="1" customWidth="1"/>
    <col min="3" max="3" width="6.53125" style="1" customWidth="1"/>
    <col min="4" max="12" width="12.86328125" style="1" customWidth="1"/>
    <col min="13" max="13" width="21.46484375" style="1" bestFit="1" customWidth="1"/>
    <col min="14" max="14" width="11.53125" style="1" customWidth="1"/>
    <col min="15" max="16384" width="8.86328125" style="1"/>
  </cols>
  <sheetData>
    <row r="1" spans="1:14" x14ac:dyDescent="0.6">
      <c r="A1" s="2"/>
      <c r="K1" s="2"/>
    </row>
    <row r="2" spans="1:14" ht="21.6" customHeight="1" x14ac:dyDescent="0.6">
      <c r="B2" s="15" t="s">
        <v>154</v>
      </c>
      <c r="C2" s="14"/>
      <c r="D2" s="14"/>
      <c r="E2" s="14"/>
      <c r="F2" s="14"/>
      <c r="G2" s="14"/>
      <c r="H2" s="14"/>
      <c r="I2" s="14"/>
      <c r="J2" s="14"/>
      <c r="M2" s="2"/>
    </row>
    <row r="3" spans="1:14" x14ac:dyDescent="0.6">
      <c r="G3" s="2"/>
    </row>
    <row r="4" spans="1:14" x14ac:dyDescent="0.6">
      <c r="B4" s="17" t="s">
        <v>0</v>
      </c>
      <c r="C4" s="16"/>
      <c r="D4" s="16"/>
      <c r="E4" s="16"/>
      <c r="G4" s="17" t="s">
        <v>1</v>
      </c>
      <c r="H4" s="16"/>
      <c r="I4" s="16"/>
      <c r="J4" s="16"/>
    </row>
    <row r="5" spans="1:14" x14ac:dyDescent="0.6">
      <c r="B5" s="3" t="s">
        <v>2</v>
      </c>
      <c r="E5" s="31" t="s">
        <v>260</v>
      </c>
      <c r="G5" s="1" t="s">
        <v>4</v>
      </c>
      <c r="J5" s="29">
        <v>46022</v>
      </c>
    </row>
    <row r="6" spans="1:14" x14ac:dyDescent="0.6">
      <c r="B6" s="3" t="s">
        <v>5</v>
      </c>
      <c r="E6" s="32" t="s">
        <v>260</v>
      </c>
      <c r="G6" s="3" t="s">
        <v>6</v>
      </c>
      <c r="J6" s="25">
        <v>0.02</v>
      </c>
      <c r="N6" s="45"/>
    </row>
    <row r="7" spans="1:14" x14ac:dyDescent="0.6">
      <c r="B7" s="3" t="s">
        <v>7</v>
      </c>
      <c r="E7" s="32" t="s">
        <v>260</v>
      </c>
      <c r="G7" s="3" t="s">
        <v>8</v>
      </c>
      <c r="J7" s="26" t="s">
        <v>262</v>
      </c>
      <c r="N7" s="46"/>
    </row>
    <row r="8" spans="1:14" x14ac:dyDescent="0.6">
      <c r="B8" s="3" t="s">
        <v>9</v>
      </c>
      <c r="E8" s="33" t="e">
        <f>E7+(E5*E6)</f>
        <v>#VALUE!</v>
      </c>
      <c r="G8" s="3" t="s">
        <v>261</v>
      </c>
      <c r="J8" s="27" t="s">
        <v>262</v>
      </c>
    </row>
    <row r="9" spans="1:14" x14ac:dyDescent="0.6">
      <c r="B9" s="3" t="s">
        <v>11</v>
      </c>
      <c r="E9" s="33" t="e">
        <f>J10/SUM(J10:J11)</f>
        <v>#VALUE!</v>
      </c>
      <c r="G9" s="3" t="s">
        <v>12</v>
      </c>
      <c r="J9" s="28" t="s">
        <v>262</v>
      </c>
    </row>
    <row r="10" spans="1:14" x14ac:dyDescent="0.6">
      <c r="B10" s="3" t="s">
        <v>13</v>
      </c>
      <c r="E10" s="34" t="s">
        <v>3</v>
      </c>
      <c r="G10" s="3" t="s">
        <v>14</v>
      </c>
      <c r="J10" s="30" t="s">
        <v>264</v>
      </c>
    </row>
    <row r="11" spans="1:14" x14ac:dyDescent="0.6">
      <c r="B11" s="5" t="s">
        <v>15</v>
      </c>
      <c r="E11" s="77" t="e">
        <f>E10*(1-E13)</f>
        <v>#VALUE!</v>
      </c>
      <c r="G11" s="3" t="s">
        <v>167</v>
      </c>
      <c r="J11" s="27" t="s">
        <v>263</v>
      </c>
    </row>
    <row r="12" spans="1:14" x14ac:dyDescent="0.6">
      <c r="B12" s="3" t="s">
        <v>17</v>
      </c>
      <c r="E12" s="77" t="e">
        <f>1-E9</f>
        <v>#VALUE!</v>
      </c>
      <c r="G12" s="1" t="s">
        <v>18</v>
      </c>
      <c r="J12" s="45"/>
    </row>
    <row r="13" spans="1:14" x14ac:dyDescent="0.6">
      <c r="B13" s="3" t="s">
        <v>19</v>
      </c>
      <c r="E13" s="36" t="s">
        <v>260</v>
      </c>
    </row>
    <row r="14" spans="1:14" ht="16.899999999999999" thickBot="1" x14ac:dyDescent="0.65">
      <c r="B14" s="6" t="s">
        <v>20</v>
      </c>
      <c r="C14" s="6"/>
      <c r="D14" s="6"/>
      <c r="E14" s="47">
        <v>0.08</v>
      </c>
    </row>
    <row r="15" spans="1:14" ht="16.899999999999999" thickTop="1" x14ac:dyDescent="0.6"/>
    <row r="16" spans="1:14" x14ac:dyDescent="0.6">
      <c r="B16" s="18" t="s">
        <v>21</v>
      </c>
      <c r="C16" s="19"/>
      <c r="D16" s="19" t="s">
        <v>22</v>
      </c>
      <c r="E16" s="19" t="s">
        <v>22</v>
      </c>
      <c r="F16" s="19" t="s">
        <v>22</v>
      </c>
      <c r="G16" s="19" t="s">
        <v>23</v>
      </c>
      <c r="H16" s="19" t="s">
        <v>23</v>
      </c>
      <c r="I16" s="19" t="s">
        <v>23</v>
      </c>
      <c r="J16" s="19" t="s">
        <v>23</v>
      </c>
      <c r="K16" s="19" t="s">
        <v>23</v>
      </c>
      <c r="M16" s="22"/>
    </row>
    <row r="17" spans="2:19" x14ac:dyDescent="0.6">
      <c r="B17" s="3" t="s">
        <v>24</v>
      </c>
      <c r="D17" s="1">
        <f>'3 Statement'!D5</f>
        <v>0</v>
      </c>
      <c r="E17" s="1">
        <f>'3 Statement'!E5</f>
        <v>0</v>
      </c>
      <c r="F17" s="1">
        <f>'3 Statement'!F5</f>
        <v>0</v>
      </c>
      <c r="G17" s="92">
        <f>'3 Statement'!G5</f>
        <v>0</v>
      </c>
      <c r="H17" s="92">
        <f>'3 Statement'!H5</f>
        <v>0</v>
      </c>
      <c r="I17" s="106">
        <f>'3 Statement'!I5</f>
        <v>0</v>
      </c>
      <c r="J17" s="106">
        <f>'3 Statement'!J5</f>
        <v>0</v>
      </c>
      <c r="K17" s="106">
        <f>'3 Statement'!K5</f>
        <v>0</v>
      </c>
      <c r="O17" s="71"/>
      <c r="P17" s="71"/>
      <c r="Q17" s="71"/>
      <c r="R17" s="71"/>
      <c r="S17" s="71"/>
    </row>
    <row r="18" spans="2:19" x14ac:dyDescent="0.6">
      <c r="B18" s="38" t="s">
        <v>27</v>
      </c>
      <c r="E18" s="53" t="e">
        <f>E17/D17-1</f>
        <v>#DIV/0!</v>
      </c>
      <c r="F18" s="53" t="e">
        <f>F17/E17-1</f>
        <v>#DIV/0!</v>
      </c>
      <c r="G18" s="104">
        <f>(1+'3 Statement'!O5)</f>
        <v>1</v>
      </c>
      <c r="H18" s="104">
        <f>(1+'3 Statement'!P5)</f>
        <v>1</v>
      </c>
      <c r="I18" s="104">
        <f>(1+'3 Statement'!Q5)</f>
        <v>1</v>
      </c>
      <c r="J18" s="104">
        <f>(1+'3 Statement'!R5)</f>
        <v>1</v>
      </c>
      <c r="K18" s="104">
        <f>(1+'3 Statement'!S5)</f>
        <v>1</v>
      </c>
      <c r="O18" s="20"/>
    </row>
    <row r="19" spans="2:19" x14ac:dyDescent="0.6">
      <c r="B19" s="3" t="s">
        <v>28</v>
      </c>
      <c r="D19" s="1">
        <f>'3 Statement'!D6</f>
        <v>0</v>
      </c>
      <c r="E19" s="1">
        <f>'3 Statement'!E6</f>
        <v>0</v>
      </c>
      <c r="F19" s="1">
        <f>'3 Statement'!F6</f>
        <v>0</v>
      </c>
      <c r="G19" s="106">
        <f>'3 Statement'!G6</f>
        <v>0</v>
      </c>
      <c r="H19" s="106">
        <f>'3 Statement'!H6</f>
        <v>0</v>
      </c>
      <c r="I19" s="106">
        <f>'3 Statement'!I6</f>
        <v>0</v>
      </c>
      <c r="J19" s="106">
        <f>'3 Statement'!J6</f>
        <v>0</v>
      </c>
      <c r="K19" s="106">
        <f>'3 Statement'!K6</f>
        <v>0</v>
      </c>
      <c r="O19" s="20"/>
    </row>
    <row r="20" spans="2:19" x14ac:dyDescent="0.6">
      <c r="B20" s="8" t="s">
        <v>29</v>
      </c>
      <c r="C20" s="23"/>
      <c r="D20" s="23">
        <f t="shared" ref="D20:K20" si="0">D17-D19</f>
        <v>0</v>
      </c>
      <c r="E20" s="23">
        <f t="shared" si="0"/>
        <v>0</v>
      </c>
      <c r="F20" s="23">
        <f t="shared" si="0"/>
        <v>0</v>
      </c>
      <c r="G20" s="107">
        <f t="shared" si="0"/>
        <v>0</v>
      </c>
      <c r="H20" s="107">
        <f t="shared" si="0"/>
        <v>0</v>
      </c>
      <c r="I20" s="107">
        <f t="shared" si="0"/>
        <v>0</v>
      </c>
      <c r="J20" s="107">
        <f t="shared" si="0"/>
        <v>0</v>
      </c>
      <c r="K20" s="107">
        <f t="shared" si="0"/>
        <v>0</v>
      </c>
    </row>
    <row r="21" spans="2:19" x14ac:dyDescent="0.6">
      <c r="B21" s="38" t="s">
        <v>30</v>
      </c>
      <c r="D21" s="20"/>
      <c r="E21" s="53" t="e">
        <f>E20/D20-1</f>
        <v>#DIV/0!</v>
      </c>
      <c r="F21" s="53" t="e">
        <f>F20/E20-1</f>
        <v>#DIV/0!</v>
      </c>
      <c r="G21" s="100">
        <f>'3 Statement'!G8</f>
        <v>0</v>
      </c>
      <c r="H21" s="100">
        <f>'3 Statement'!H8</f>
        <v>0</v>
      </c>
      <c r="I21" s="100">
        <f>'3 Statement'!I8</f>
        <v>0</v>
      </c>
      <c r="J21" s="100">
        <f>'3 Statement'!J8</f>
        <v>0</v>
      </c>
      <c r="K21" s="100">
        <f>'3 Statement'!K8</f>
        <v>0</v>
      </c>
      <c r="O21" s="70"/>
    </row>
    <row r="22" spans="2:19" x14ac:dyDescent="0.6">
      <c r="B22" s="7"/>
      <c r="G22" s="92"/>
      <c r="H22" s="92"/>
      <c r="I22" s="92"/>
      <c r="J22" s="92"/>
      <c r="K22" s="92"/>
      <c r="O22" s="70"/>
    </row>
    <row r="23" spans="2:19" x14ac:dyDescent="0.6">
      <c r="B23" s="3" t="s">
        <v>31</v>
      </c>
      <c r="D23" s="1">
        <f>SUM('3 Statement'!D9:D11)</f>
        <v>0</v>
      </c>
      <c r="E23" s="1">
        <f>SUM('3 Statement'!E9:E11)</f>
        <v>0</v>
      </c>
      <c r="F23" s="1">
        <f>SUM('3 Statement'!F9:F11)</f>
        <v>0</v>
      </c>
      <c r="G23" s="106" t="e">
        <f>SUM('3 Statement'!G9:G11)</f>
        <v>#DIV/0!</v>
      </c>
      <c r="H23" s="106" t="e">
        <f>SUM('3 Statement'!H9:H11)</f>
        <v>#DIV/0!</v>
      </c>
      <c r="I23" s="106" t="e">
        <f>SUM('3 Statement'!I9:I11)</f>
        <v>#DIV/0!</v>
      </c>
      <c r="J23" s="106" t="e">
        <f>SUM('3 Statement'!J9:J11)</f>
        <v>#DIV/0!</v>
      </c>
      <c r="K23" s="106" t="e">
        <f>SUM('3 Statement'!K9:K11)</f>
        <v>#DIV/0!</v>
      </c>
    </row>
    <row r="24" spans="2:19" x14ac:dyDescent="0.6">
      <c r="B24" s="9" t="s">
        <v>32</v>
      </c>
      <c r="C24" s="23"/>
      <c r="D24" s="23">
        <f>D20+D23</f>
        <v>0</v>
      </c>
      <c r="E24" s="23">
        <f>E20+E23</f>
        <v>0</v>
      </c>
      <c r="F24" s="23">
        <f>F20+F23</f>
        <v>0</v>
      </c>
      <c r="G24" s="117">
        <f>'3 Statement'!G12</f>
        <v>0</v>
      </c>
      <c r="H24" s="117">
        <f>'3 Statement'!H12</f>
        <v>0</v>
      </c>
      <c r="I24" s="117">
        <f>'3 Statement'!I12</f>
        <v>0</v>
      </c>
      <c r="J24" s="117">
        <f>'3 Statement'!J12</f>
        <v>0</v>
      </c>
      <c r="K24" s="117">
        <f>'3 Statement'!K12</f>
        <v>0</v>
      </c>
    </row>
    <row r="25" spans="2:19" x14ac:dyDescent="0.6">
      <c r="B25" s="7" t="s">
        <v>33</v>
      </c>
      <c r="D25" s="53" t="e">
        <f>D24/D17</f>
        <v>#DIV/0!</v>
      </c>
      <c r="E25" s="53" t="e">
        <f>E24/E17</f>
        <v>#DIV/0!</v>
      </c>
      <c r="F25" s="53" t="e">
        <f>F24/F17</f>
        <v>#DIV/0!</v>
      </c>
      <c r="G25" s="100">
        <f>'3 Statement'!G13</f>
        <v>0</v>
      </c>
      <c r="H25" s="100">
        <f>'3 Statement'!H13</f>
        <v>0</v>
      </c>
      <c r="I25" s="100">
        <f>'3 Statement'!I13</f>
        <v>0</v>
      </c>
      <c r="J25" s="100">
        <f>'3 Statement'!J13</f>
        <v>0</v>
      </c>
      <c r="K25" s="100">
        <f>'3 Statement'!K13</f>
        <v>0</v>
      </c>
      <c r="N25" s="2"/>
    </row>
    <row r="26" spans="2:19" x14ac:dyDescent="0.6">
      <c r="B26" s="7"/>
      <c r="G26" s="92"/>
      <c r="H26" s="92"/>
      <c r="I26" s="92"/>
      <c r="J26" s="92"/>
      <c r="K26" s="92"/>
    </row>
    <row r="27" spans="2:19" x14ac:dyDescent="0.6">
      <c r="B27" s="10" t="s">
        <v>34</v>
      </c>
      <c r="D27" s="48" t="e">
        <f t="shared" ref="D27:K27" si="1">D24*(1-$E$13)</f>
        <v>#VALUE!</v>
      </c>
      <c r="E27" s="48" t="e">
        <f t="shared" si="1"/>
        <v>#VALUE!</v>
      </c>
      <c r="F27" s="48" t="e">
        <f t="shared" si="1"/>
        <v>#VALUE!</v>
      </c>
      <c r="G27" s="102" t="e">
        <f t="shared" si="1"/>
        <v>#VALUE!</v>
      </c>
      <c r="H27" s="102" t="e">
        <f t="shared" si="1"/>
        <v>#VALUE!</v>
      </c>
      <c r="I27" s="102" t="e">
        <f t="shared" si="1"/>
        <v>#VALUE!</v>
      </c>
      <c r="J27" s="102" t="e">
        <f t="shared" si="1"/>
        <v>#VALUE!</v>
      </c>
      <c r="K27" s="102" t="e">
        <f t="shared" si="1"/>
        <v>#VALUE!</v>
      </c>
    </row>
    <row r="28" spans="2:19" x14ac:dyDescent="0.6">
      <c r="B28" s="3" t="s">
        <v>35</v>
      </c>
      <c r="D28" s="1">
        <f>'3 Statement'!D73</f>
        <v>0</v>
      </c>
      <c r="E28" s="1">
        <f>'3 Statement'!E73</f>
        <v>0</v>
      </c>
      <c r="F28" s="1">
        <f>'3 Statement'!F73</f>
        <v>0</v>
      </c>
      <c r="G28" s="92" t="e">
        <f>'3 Statement'!G73</f>
        <v>#DIV/0!</v>
      </c>
      <c r="H28" s="92" t="e">
        <f>'3 Statement'!H73</f>
        <v>#DIV/0!</v>
      </c>
      <c r="I28" s="92" t="e">
        <f>'3 Statement'!I73</f>
        <v>#DIV/0!</v>
      </c>
      <c r="J28" s="92" t="e">
        <f>'3 Statement'!J73</f>
        <v>#DIV/0!</v>
      </c>
      <c r="K28" s="92" t="e">
        <f>'3 Statement'!K73</f>
        <v>#DIV/0!</v>
      </c>
    </row>
    <row r="29" spans="2:19" x14ac:dyDescent="0.6">
      <c r="B29" s="3" t="s">
        <v>36</v>
      </c>
      <c r="D29" s="1">
        <f>'3 Statement'!D84</f>
        <v>0</v>
      </c>
      <c r="E29" s="1">
        <f>'3 Statement'!E84</f>
        <v>0</v>
      </c>
      <c r="F29" s="1">
        <f>'3 Statement'!F84</f>
        <v>0</v>
      </c>
      <c r="G29" s="92">
        <f>'3 Statement'!G84</f>
        <v>0</v>
      </c>
      <c r="H29" s="92">
        <f>'3 Statement'!H84</f>
        <v>0</v>
      </c>
      <c r="I29" s="92">
        <f>'3 Statement'!I84</f>
        <v>0</v>
      </c>
      <c r="J29" s="92">
        <f>'3 Statement'!J84</f>
        <v>0</v>
      </c>
      <c r="K29" s="92">
        <f>'3 Statement'!K84</f>
        <v>0</v>
      </c>
    </row>
    <row r="30" spans="2:19" x14ac:dyDescent="0.6">
      <c r="B30" s="3" t="s">
        <v>37</v>
      </c>
      <c r="D30" s="1">
        <f>'3 Statement'!D76</f>
        <v>0</v>
      </c>
      <c r="E30" s="1">
        <f>'3 Statement'!E76</f>
        <v>0</v>
      </c>
      <c r="F30" s="1">
        <f>'3 Statement'!F76</f>
        <v>0</v>
      </c>
      <c r="G30" s="106" t="e">
        <f>'3 Statement'!G76</f>
        <v>#DIV/0!</v>
      </c>
      <c r="H30" s="106" t="e">
        <f>'3 Statement'!H76</f>
        <v>#DIV/0!</v>
      </c>
      <c r="I30" s="106" t="e">
        <f>'3 Statement'!I76</f>
        <v>#DIV/0!</v>
      </c>
      <c r="J30" s="106" t="e">
        <f>'3 Statement'!J76</f>
        <v>#DIV/0!</v>
      </c>
      <c r="K30" s="106" t="e">
        <f>'3 Statement'!K76</f>
        <v>#DIV/0!</v>
      </c>
    </row>
    <row r="31" spans="2:19" x14ac:dyDescent="0.6">
      <c r="B31" s="9" t="s">
        <v>38</v>
      </c>
      <c r="C31" s="23"/>
      <c r="D31" s="24" t="e">
        <f t="shared" ref="D31:K31" si="2">D27+D28+D29+D30</f>
        <v>#VALUE!</v>
      </c>
      <c r="E31" s="24" t="e">
        <f t="shared" si="2"/>
        <v>#VALUE!</v>
      </c>
      <c r="F31" s="24" t="e">
        <f t="shared" si="2"/>
        <v>#VALUE!</v>
      </c>
      <c r="G31" s="103" t="e">
        <f t="shared" si="2"/>
        <v>#VALUE!</v>
      </c>
      <c r="H31" s="103" t="e">
        <f t="shared" si="2"/>
        <v>#VALUE!</v>
      </c>
      <c r="I31" s="103" t="e">
        <f t="shared" si="2"/>
        <v>#VALUE!</v>
      </c>
      <c r="J31" s="103" t="e">
        <f t="shared" si="2"/>
        <v>#VALUE!</v>
      </c>
      <c r="K31" s="103" t="e">
        <f t="shared" si="2"/>
        <v>#VALUE!</v>
      </c>
    </row>
    <row r="33" spans="2:16" x14ac:dyDescent="0.6">
      <c r="B33" s="17" t="s">
        <v>39</v>
      </c>
      <c r="C33" s="19"/>
      <c r="D33" s="19"/>
      <c r="E33" s="19"/>
      <c r="F33" s="19"/>
      <c r="G33" s="19" t="s">
        <v>23</v>
      </c>
      <c r="H33" s="19" t="s">
        <v>23</v>
      </c>
      <c r="I33" s="19" t="s">
        <v>23</v>
      </c>
      <c r="J33" s="19" t="s">
        <v>23</v>
      </c>
      <c r="K33" s="19" t="s">
        <v>23</v>
      </c>
    </row>
    <row r="34" spans="2:16" x14ac:dyDescent="0.6">
      <c r="B34" s="3" t="s">
        <v>40</v>
      </c>
      <c r="G34" s="49">
        <f ca="1">YEARFRAC(TODAY(),$J$5)</f>
        <v>7.7777777777777779E-2</v>
      </c>
      <c r="H34" s="49">
        <f ca="1">G34+1</f>
        <v>1.0777777777777777</v>
      </c>
      <c r="I34" s="49">
        <f ca="1">H34+1</f>
        <v>2.0777777777777775</v>
      </c>
      <c r="J34" s="49">
        <f ca="1">I34+1</f>
        <v>3.0777777777777775</v>
      </c>
      <c r="K34" s="49">
        <f ca="1">J34+1</f>
        <v>4.0777777777777775</v>
      </c>
      <c r="N34" s="4"/>
      <c r="O34" s="4"/>
      <c r="P34" s="4"/>
    </row>
    <row r="35" spans="2:16" x14ac:dyDescent="0.6">
      <c r="B35" s="3" t="s">
        <v>41</v>
      </c>
      <c r="G35" s="50">
        <f ca="1">(1/(1+$E$14))^G34</f>
        <v>0.99403202080485709</v>
      </c>
      <c r="H35" s="50">
        <f ca="1">(1/(1+$E$14))^H34</f>
        <v>0.92040001926375647</v>
      </c>
      <c r="I35" s="50">
        <f ca="1">(1/(1+$E$14))^I34</f>
        <v>0.85222224005903369</v>
      </c>
      <c r="J35" s="50">
        <f ca="1">(1/(1+$E$14))^J34</f>
        <v>0.78909466672132733</v>
      </c>
      <c r="K35" s="50">
        <f ca="1">(1/(1+$E$14))^K34</f>
        <v>0.73064320992715492</v>
      </c>
      <c r="N35" s="50"/>
      <c r="O35" s="50"/>
      <c r="P35" s="50"/>
    </row>
    <row r="36" spans="2:16" x14ac:dyDescent="0.6">
      <c r="B36" s="3"/>
      <c r="N36" s="50"/>
      <c r="O36" s="50"/>
      <c r="P36" s="50"/>
    </row>
    <row r="37" spans="2:16" x14ac:dyDescent="0.6">
      <c r="B37" s="11" t="s">
        <v>42</v>
      </c>
      <c r="G37" s="1" t="e">
        <f ca="1">G31*G35</f>
        <v>#VALUE!</v>
      </c>
      <c r="H37" s="1" t="e">
        <f ca="1">H31*H35</f>
        <v>#VALUE!</v>
      </c>
      <c r="I37" s="1" t="e">
        <f ca="1">I31*I35</f>
        <v>#VALUE!</v>
      </c>
      <c r="J37" s="1" t="e">
        <f ca="1">J31*J35</f>
        <v>#VALUE!</v>
      </c>
      <c r="K37" s="1" t="e">
        <f ca="1">K31*K35</f>
        <v>#VALUE!</v>
      </c>
    </row>
    <row r="38" spans="2:16" x14ac:dyDescent="0.6">
      <c r="B38" s="12" t="s">
        <v>43</v>
      </c>
      <c r="K38" s="22" t="e">
        <f ca="1">SUM(G37:K37)</f>
        <v>#VALUE!</v>
      </c>
      <c r="N38" s="2"/>
    </row>
    <row r="39" spans="2:16" x14ac:dyDescent="0.6">
      <c r="B39" s="12"/>
    </row>
    <row r="40" spans="2:16" x14ac:dyDescent="0.6">
      <c r="B40" s="11" t="s">
        <v>44</v>
      </c>
      <c r="K40" s="51" t="e">
        <f>(K31*(1+J6))/(E14-J6)</f>
        <v>#VALUE!</v>
      </c>
    </row>
    <row r="41" spans="2:16" x14ac:dyDescent="0.6">
      <c r="B41" s="12" t="s">
        <v>45</v>
      </c>
      <c r="K41" s="40" t="e">
        <f ca="1">K40*K35</f>
        <v>#VALUE!</v>
      </c>
    </row>
    <row r="42" spans="2:16" x14ac:dyDescent="0.6">
      <c r="B42" s="12"/>
      <c r="K42" s="41"/>
    </row>
    <row r="43" spans="2:16" x14ac:dyDescent="0.6">
      <c r="B43" s="12" t="s">
        <v>46</v>
      </c>
      <c r="K43" s="41" t="e">
        <f ca="1">K41+K38</f>
        <v>#VALUE!</v>
      </c>
    </row>
    <row r="44" spans="2:16" x14ac:dyDescent="0.6">
      <c r="B44" s="11" t="s">
        <v>47</v>
      </c>
      <c r="K44" s="52" t="e">
        <f>J11-J7</f>
        <v>#VALUE!</v>
      </c>
    </row>
    <row r="45" spans="2:16" x14ac:dyDescent="0.6">
      <c r="B45" s="13" t="s">
        <v>48</v>
      </c>
      <c r="C45" s="23"/>
      <c r="D45" s="23"/>
      <c r="E45" s="23"/>
      <c r="F45" s="23"/>
      <c r="G45" s="23"/>
      <c r="H45" s="23"/>
      <c r="I45" s="23"/>
      <c r="J45" s="23"/>
      <c r="K45" s="42" t="e">
        <f ca="1">K41-K44</f>
        <v>#VALUE!</v>
      </c>
    </row>
    <row r="46" spans="2:16" x14ac:dyDescent="0.6">
      <c r="B46" s="12"/>
      <c r="K46" s="41"/>
    </row>
    <row r="47" spans="2:16" x14ac:dyDescent="0.6">
      <c r="B47" s="11" t="s">
        <v>49</v>
      </c>
      <c r="K47" s="43" t="str">
        <f>J8</f>
        <v>API</v>
      </c>
    </row>
    <row r="48" spans="2:16" x14ac:dyDescent="0.6">
      <c r="B48" s="37" t="s">
        <v>50</v>
      </c>
      <c r="C48" s="23"/>
      <c r="D48" s="23"/>
      <c r="E48" s="23"/>
      <c r="F48" s="23"/>
      <c r="G48" s="23"/>
      <c r="H48" s="23"/>
      <c r="I48" s="23"/>
      <c r="J48" s="23"/>
      <c r="K48" s="44" t="e">
        <f ca="1">K45/K47</f>
        <v>#VALUE!</v>
      </c>
    </row>
    <row r="49" spans="2:11" x14ac:dyDescent="0.6">
      <c r="B49" s="39" t="s">
        <v>51</v>
      </c>
      <c r="K49" s="41" t="e">
        <f ca="1">(K48/J9-1)*100</f>
        <v>#VALUE!</v>
      </c>
    </row>
    <row r="51" spans="2:11" x14ac:dyDescent="0.6">
      <c r="B51" s="18" t="s">
        <v>155</v>
      </c>
      <c r="C51" s="18"/>
      <c r="D51" s="18"/>
      <c r="E51" s="18"/>
      <c r="F51" s="18"/>
      <c r="G51" s="18"/>
      <c r="H51" s="18"/>
      <c r="I51" s="18"/>
      <c r="J51" s="18"/>
      <c r="K51" s="18"/>
    </row>
    <row r="52" spans="2:11" ht="16.899999999999999" thickBot="1" x14ac:dyDescent="0.65">
      <c r="B52" s="1" t="s">
        <v>156</v>
      </c>
      <c r="C52" s="70" t="s">
        <v>3</v>
      </c>
      <c r="E52" s="20"/>
      <c r="F52" s="20"/>
      <c r="G52" s="53"/>
      <c r="H52" s="20"/>
      <c r="I52" s="20"/>
    </row>
    <row r="53" spans="2:11" x14ac:dyDescent="0.6">
      <c r="B53" s="1" t="s">
        <v>157</v>
      </c>
      <c r="C53" s="1" t="s">
        <v>3</v>
      </c>
      <c r="E53" s="81" t="e">
        <f ca="1">K48</f>
        <v>#VALUE!</v>
      </c>
      <c r="F53" s="122" t="e">
        <f>G53-C53</f>
        <v>#VALUE!</v>
      </c>
      <c r="G53" s="122" t="e">
        <f>H53-C53</f>
        <v>#VALUE!</v>
      </c>
      <c r="H53" s="122">
        <f>J6</f>
        <v>0.02</v>
      </c>
      <c r="I53" s="122" t="e">
        <f>H53+C53</f>
        <v>#VALUE!</v>
      </c>
      <c r="J53" s="123" t="e">
        <f>I53+C53</f>
        <v>#VALUE!</v>
      </c>
    </row>
    <row r="54" spans="2:11" x14ac:dyDescent="0.6">
      <c r="D54" s="20"/>
      <c r="E54" s="120" t="e">
        <f>E55-C52</f>
        <v>#VALUE!</v>
      </c>
      <c r="F54" s="1" t="e">
        <f ca="1">(
$G$31/(1+$E$54)^$G$34
+$H$31/(1+$E$54)^$H$34
+$I$31/(1+$E$54)^$I$34
+$J$31/(1+$E$54)^$J$34
+$K$31/(1+$E$54)^$K$34
+(($K$31*(1+F$53))/($E54-F$53))/(1+$E54)^$K$34
-$K$44
)/$K$47</f>
        <v>#VALUE!</v>
      </c>
      <c r="G54" s="1" t="e">
        <f ca="1">(
$G$31/(1+$E$54)^$G$34
+$H$31/(1+$E$54)^$H$34
+$I$31/(1+$E$54)^$I$34
+$J$31/(1+$E$54)^$J$34
+$K$31/(1+$E$54)^$K$34
+(($K$31*(1+G$53))/($E54-G$53))/(1+$E54)^$K$34
-$K$44
)/$K$47</f>
        <v>#VALUE!</v>
      </c>
      <c r="H54" s="1" t="e">
        <f ca="1">(
$G$31/(1+$E$54)^$G$34
+$H$31/(1+$E$54)^$H$34
+$I$31/(1+$E$54)^$I$34
+$J$31/(1+$E$54)^$J$34
+$K$31/(1+$E$54)^$K$34
+(($K$31*(1+H$53))/($E54-H$53))/(1+$E54)^$K$34
-$K$44
)/$K$47</f>
        <v>#VALUE!</v>
      </c>
      <c r="I54" s="1" t="e">
        <f ca="1">(
$G$31/(1+$E$54)^$G$34
+$H$31/(1+$E$54)^$H$34
+$I$31/(1+$E$54)^$I$34
+$J$31/(1+$E$54)^$J$34
+$K$31/(1+$E$54)^$K$34
+(($K$31*(1+I$53))/($E54-I$53))/(1+$E54)^$K$34
-$K$44
)/$K$47</f>
        <v>#VALUE!</v>
      </c>
      <c r="J54" s="21" t="e">
        <f ca="1">(
$G$31/(1+$E$54)^$G$34
+$H$31/(1+$E$54)^$H$34
+$I$31/(1+$E$54)^$I$34
+$J$31/(1+$E$54)^$J$34
+$K$31/(1+$E$54)^$K$34
+(($K$31*(1+J$53))/($E54-J$53))/(1+$E54)^$K$34
-$K$44
)/$K$47</f>
        <v>#VALUE!</v>
      </c>
    </row>
    <row r="55" spans="2:11" ht="16.899999999999999" thickBot="1" x14ac:dyDescent="0.65">
      <c r="D55" s="20"/>
      <c r="E55" s="120" t="e">
        <f>E56-C52</f>
        <v>#VALUE!</v>
      </c>
      <c r="F55" s="1" t="e">
        <f ca="1">(
$G$31/(1+$E$55)^$G$34
+$H$31/(1+$E$55)^$H$34
+$I$31/(1+$E$55)^$I$34
+$J$31/(1+$E$55)^$J$34
+$K$31/(1+$E$55)^$K$34
+(($K$31*(1+F$53))/($E55-F$53))/(1+$E$55)^$K$34
-$K$44
)/$K$47</f>
        <v>#VALUE!</v>
      </c>
      <c r="G55" s="1" t="e">
        <f ca="1">(
$G$31/(1+$E$55)^$G$34
+$H$31/(1+$E$55)^$H$34
+$I$31/(1+$E$55)^$I$34
+$J$31/(1+$E$55)^$J$34
+$K$31/(1+$E$55)^$K$34
+(($K$31*(1+G$53))/($E55-G$53))/(1+$E$55)^$K$34
-$K$44
)/$K$47</f>
        <v>#VALUE!</v>
      </c>
      <c r="H55" s="1" t="e">
        <f ca="1">(
$G$31/(1+$E$55)^$G$34
+$H$31/(1+$E$55)^$H$34
+$I$31/(1+$E$55)^$I$34
+$J$31/(1+$E$55)^$J$34
+$K$31/(1+$E$55)^$K$34
+(($K$31*(1+H$53))/($E55-H$53))/(1+$E$55)^$K$34
-$K$44
)/$K$47</f>
        <v>#VALUE!</v>
      </c>
      <c r="I55" s="1" t="e">
        <f ca="1">(
$G$31/(1+$E$55)^$G$34
+$H$31/(1+$E$55)^$H$34
+$I$31/(1+$E$55)^$I$34
+$J$31/(1+$E$55)^$J$34
+$K$31/(1+$E$55)^$K$34
+(($K$31*(1+I$53))/($E55-I$53))/(1+$E$55)^$K$34
-$K$44
)/$K$47</f>
        <v>#VALUE!</v>
      </c>
      <c r="J55" s="21" t="e">
        <f ca="1">(
$G$31/(1+$E$55)^$G$34
+$H$31/(1+$E$55)^$H$34
+$I$31/(1+$E$55)^$I$34
+$J$31/(1+$E$55)^$J$34
+$K$31/(1+$E$55)^$K$34
+(($K$31*(1+J$53))/($E55-J$53))/(1+$E$55)^$K$34
-$K$44
)/$K$47</f>
        <v>#VALUE!</v>
      </c>
    </row>
    <row r="56" spans="2:11" ht="16.899999999999999" thickBot="1" x14ac:dyDescent="0.65">
      <c r="D56" s="20"/>
      <c r="E56" s="120">
        <f>E14</f>
        <v>0.08</v>
      </c>
      <c r="F56" s="1" t="e">
        <f ca="1">(
$G$31/(1+$E$56)^$G$34
+$H$31/(1+$E$56)^$H$34
+$I$31/(1+$E$56)^$I$34
+$J$31/(1+$E$56)^$J$34
+$K$31/(1+$E$56)^$K$34
+(($K$31*(1+F$53))/($E$56-F$53))/(1+$E$56)^$K$34
-$K$44
)/$K$47</f>
        <v>#VALUE!</v>
      </c>
      <c r="G56" s="1" t="e">
        <f ca="1">(
$G$31/(1+$E$56)^$G$34
+$H$31/(1+$E$56)^$H$34
+$I$31/(1+$E$56)^$I$34
+$J$31/(1+$E$56)^$J$34
+$K$31/(1+$E$56)^$K$34
+(($K$31*(1+G$53))/($E$56-G$53))/(1+$E$56)^$K$34
-$K$44
)/$K$47</f>
        <v>#VALUE!</v>
      </c>
      <c r="H56" s="80" t="e">
        <f ca="1">(
$G$31/(1+$E$56)^$G$34
+$H$31/(1+$E$56)^$H$34
+$I$31/(1+$E$56)^$I$34
+$J$31/(1+$E$56)^$J$34
+$K$31/(1+$E$56)^$K$34
+(($K$31*(1+H$53))/($E$56-H$53))/(1+$E$56)^$K$34
-$K$44
)/$K$47</f>
        <v>#VALUE!</v>
      </c>
      <c r="I56" s="1" t="e">
        <f ca="1">(
$G$31/(1+$E$56)^$G$34
+$H$31/(1+$E$56)^$H$34
+$I$31/(1+$E$56)^$I$34
+$J$31/(1+$E$56)^$J$34
+$K$31/(1+$E$56)^$K$34
+(($K$31*(1+I$53))/($E$56-I$53))/(1+$E$56)^$K$34
-$K$44
)/$K$47</f>
        <v>#VALUE!</v>
      </c>
      <c r="J56" s="21" t="e">
        <f ca="1">(
$G$31/(1+$E$56)^$G$34
+$H$31/(1+$E$56)^$H$34
+$I$31/(1+$E$56)^$I$34
+$J$31/(1+$E$56)^$J$34
+$K$31/(1+$E$56)^$K$34
+(($K$31*(1+J$53))/($E$56-J$53))/(1+$E$56)^$K$34
-$K$44
)/$K$47</f>
        <v>#VALUE!</v>
      </c>
    </row>
    <row r="57" spans="2:11" x14ac:dyDescent="0.6">
      <c r="E57" s="120" t="e">
        <f>E56+C52</f>
        <v>#VALUE!</v>
      </c>
      <c r="F57" s="1" t="e">
        <f ca="1">(
$G$31/(1+$E$57)^$G$34
+$H$31/(1+$E$57)^$H$34
+$I$31/(1+$E$57)^$I$34
+$J$31/(1+$E$57)^$J$34
+$K$31/(1+$E$57)^$K$34
+(($K$31*(1+F$53))/($E$57-F$53))/(1+$E$57)^$K$34
-$K$44
)/$K$47</f>
        <v>#VALUE!</v>
      </c>
      <c r="G57" s="1" t="e">
        <f ca="1">(
$G$31/(1+$E$57)^$G$34
+$H$31/(1+$E$57)^$H$34
+$I$31/(1+$E$57)^$I$34
+$J$31/(1+$E$57)^$J$34
+$K$31/(1+$E$57)^$K$34
+(($K$31*(1+G$53))/($E$57-G$53))/(1+$E$57)^$K$34
-$K$44
)/$K$47</f>
        <v>#VALUE!</v>
      </c>
      <c r="H57" s="1" t="e">
        <f ca="1">(
$G$31/(1+$E$57)^$G$34
+$H$31/(1+$E$57)^$H$34
+$I$31/(1+$E$57)^$I$34
+$J$31/(1+$E$57)^$J$34
+$K$31/(1+$E$57)^$K$34
+(($K$31*(1+H$53))/($E$57-H$53))/(1+$E$57)^$K$34
-$K$44
)/$K$47</f>
        <v>#VALUE!</v>
      </c>
      <c r="I57" s="1" t="e">
        <f ca="1">(
$G$31/(1+$E$57)^$G$34
+$H$31/(1+$E$57)^$H$34
+$I$31/(1+$E$57)^$I$34
+$J$31/(1+$E$57)^$J$34
+$K$31/(1+$E$57)^$K$34
+(($K$31*(1+I$53))/($E$57-I$53))/(1+$E$57)^$K$34
-$K$44
)/$K$47</f>
        <v>#VALUE!</v>
      </c>
      <c r="J57" s="21" t="e">
        <f ca="1">(
$G$31/(1+$E$57)^$G$34
+$H$31/(1+$E$57)^$H$34
+$I$31/(1+$E$57)^$I$34
+$J$31/(1+$E$57)^$J$34
+$K$31/(1+$E$57)^$K$34
+(($K$31*(1+J$53))/($E$57-J$53))/(1+$E$57)^$K$34
-$K$44
)/$K$47</f>
        <v>#VALUE!</v>
      </c>
    </row>
    <row r="58" spans="2:11" ht="16.899999999999999" thickBot="1" x14ac:dyDescent="0.65">
      <c r="E58" s="121" t="e">
        <f>E57+C52</f>
        <v>#VALUE!</v>
      </c>
      <c r="F58" s="78" t="e">
        <f ca="1">(
$G$31/(1+$E$58)^$G$34
+$H$31/(1+$E$58)^$H$34
+$I$31/(1+$E$58)^$I$34
+$J$31/(1+$E$58)^$J$34
+$K$31/(1+$E$58)^$K$34
+(($K$31*(1+F$53))/($E$58-F$53))/(1+$E$58)^$K$34
-$K$44
)/$K$47</f>
        <v>#VALUE!</v>
      </c>
      <c r="G58" s="78" t="e">
        <f ca="1">(
$G$31/(1+$E$58)^$G$34
+$H$31/(1+$E$58)^$H$34
+$I$31/(1+$E$58)^$I$34
+$J$31/(1+$E$58)^$J$34
+$K$31/(1+$E$58)^$K$34
+(($K$31*(1+G$53))/($E$58-G$53))/(1+$E$58)^$K$34
-$K$44
)/$K$47</f>
        <v>#VALUE!</v>
      </c>
      <c r="H58" s="78" t="e">
        <f ca="1">(
$G$31/(1+$E$58)^$G$34
+$H$31/(1+$E$58)^$H$34
+$I$31/(1+$E$58)^$I$34
+$J$31/(1+$E$58)^$J$34
+$K$31/(1+$E$58)^$K$34
+(($K$31*(1+H$53))/($E$58-H$53))/(1+$E$58)^$K$34
-$K$44
)/$K$47</f>
        <v>#VALUE!</v>
      </c>
      <c r="I58" s="78" t="e">
        <f ca="1">(
$G$31/(1+$E$58)^$G$34
+$H$31/(1+$E$58)^$H$34
+$I$31/(1+$E$58)^$I$34
+$J$31/(1+$E$58)^$J$34
+$K$31/(1+$E$58)^$K$34
+(($K$31*(1+I$53))/($E$58-I$53))/(1+$E$58)^$K$34
-$K$44
)/$K$47</f>
        <v>#VALUE!</v>
      </c>
      <c r="J58" s="79" t="e">
        <f ca="1">(
$G$31/(1+$E$58)^$G$34
+$H$31/(1+$E$58)^$H$34
+$I$31/(1+$E$58)^$I$34
+$J$31/(1+$E$58)^$J$34
+$K$31/(1+$E$58)^$K$34
+(($K$31*(1+J$53))/($E$58-J$53))/(1+$E$58)^$K$34
-$K$44
)/$K$47</f>
        <v>#VALUE!</v>
      </c>
    </row>
  </sheetData>
  <conditionalFormatting sqref="F54:J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D52D-05A3-4001-BCC1-FF562BF1EBC8}">
  <sheetPr>
    <tabColor rgb="FFFF0000"/>
  </sheetPr>
  <dimension ref="A1:S58"/>
  <sheetViews>
    <sheetView showGridLines="0" topLeftCell="B1" zoomScale="75" zoomScaleNormal="100" workbookViewId="0">
      <selection activeCell="E1" sqref="E1"/>
    </sheetView>
  </sheetViews>
  <sheetFormatPr defaultColWidth="8.86328125" defaultRowHeight="16.5" x14ac:dyDescent="0.6"/>
  <cols>
    <col min="1" max="1" width="2.86328125" style="1" customWidth="1"/>
    <col min="2" max="2" width="21.1328125" style="1" bestFit="1" customWidth="1"/>
    <col min="3" max="3" width="6.53125" style="1" customWidth="1"/>
    <col min="4" max="12" width="12.86328125" style="1" customWidth="1"/>
    <col min="13" max="13" width="21.46484375" style="1" bestFit="1" customWidth="1"/>
    <col min="14" max="14" width="11.53125" style="1" customWidth="1"/>
    <col min="15" max="16384" width="8.86328125" style="1"/>
  </cols>
  <sheetData>
    <row r="1" spans="1:14" x14ac:dyDescent="0.6">
      <c r="A1" s="2"/>
      <c r="K1" s="2"/>
    </row>
    <row r="2" spans="1:14" ht="21.6" customHeight="1" x14ac:dyDescent="0.6">
      <c r="B2" s="15" t="s">
        <v>154</v>
      </c>
      <c r="C2" s="14"/>
      <c r="D2" s="14"/>
      <c r="E2" s="14"/>
      <c r="F2" s="14"/>
      <c r="G2" s="14"/>
      <c r="H2" s="14"/>
      <c r="I2" s="14"/>
      <c r="J2" s="14"/>
      <c r="M2" s="2"/>
    </row>
    <row r="3" spans="1:14" x14ac:dyDescent="0.6">
      <c r="G3" s="2"/>
    </row>
    <row r="4" spans="1:14" x14ac:dyDescent="0.6">
      <c r="B4" s="17" t="s">
        <v>0</v>
      </c>
      <c r="C4" s="16"/>
      <c r="D4" s="16"/>
      <c r="E4" s="16"/>
      <c r="G4" s="17" t="s">
        <v>1</v>
      </c>
      <c r="H4" s="16"/>
      <c r="I4" s="16"/>
      <c r="J4" s="16"/>
    </row>
    <row r="5" spans="1:14" x14ac:dyDescent="0.6">
      <c r="B5" s="3" t="s">
        <v>2</v>
      </c>
      <c r="E5" s="31" t="s">
        <v>3</v>
      </c>
      <c r="G5" s="1" t="s">
        <v>4</v>
      </c>
      <c r="J5" s="29">
        <v>46022</v>
      </c>
    </row>
    <row r="6" spans="1:14" x14ac:dyDescent="0.6">
      <c r="B6" s="3" t="s">
        <v>5</v>
      </c>
      <c r="E6" s="32" t="s">
        <v>3</v>
      </c>
      <c r="G6" s="3" t="s">
        <v>6</v>
      </c>
      <c r="J6" s="25">
        <v>0.02</v>
      </c>
      <c r="N6" s="45"/>
    </row>
    <row r="7" spans="1:14" x14ac:dyDescent="0.6">
      <c r="B7" s="3" t="s">
        <v>7</v>
      </c>
      <c r="E7" s="32" t="s">
        <v>3</v>
      </c>
      <c r="G7" s="3" t="s">
        <v>8</v>
      </c>
      <c r="J7" s="26" t="s">
        <v>3</v>
      </c>
      <c r="N7" s="46"/>
    </row>
    <row r="8" spans="1:14" x14ac:dyDescent="0.6">
      <c r="B8" s="3" t="s">
        <v>9</v>
      </c>
      <c r="E8" s="33" t="e">
        <f>E7+(E5*E6)</f>
        <v>#VALUE!</v>
      </c>
      <c r="G8" s="3" t="s">
        <v>10</v>
      </c>
      <c r="J8" s="27" t="s">
        <v>3</v>
      </c>
    </row>
    <row r="9" spans="1:14" x14ac:dyDescent="0.6">
      <c r="B9" s="3" t="s">
        <v>11</v>
      </c>
      <c r="E9" s="33" t="e">
        <f>J10/SUM(J10:J11)</f>
        <v>#VALUE!</v>
      </c>
      <c r="G9" s="3" t="s">
        <v>12</v>
      </c>
      <c r="J9" s="28" t="s">
        <v>3</v>
      </c>
    </row>
    <row r="10" spans="1:14" x14ac:dyDescent="0.6">
      <c r="B10" s="3" t="s">
        <v>13</v>
      </c>
      <c r="E10" s="34" t="s">
        <v>3</v>
      </c>
      <c r="G10" s="3" t="s">
        <v>14</v>
      </c>
      <c r="J10" s="30" t="e">
        <f>J8*J9</f>
        <v>#VALUE!</v>
      </c>
    </row>
    <row r="11" spans="1:14" x14ac:dyDescent="0.6">
      <c r="B11" s="5" t="s">
        <v>15</v>
      </c>
      <c r="E11" s="33" t="e">
        <f>E10*(1-E13)</f>
        <v>#VALUE!</v>
      </c>
      <c r="G11" s="3" t="s">
        <v>167</v>
      </c>
      <c r="J11" s="27"/>
    </row>
    <row r="12" spans="1:14" x14ac:dyDescent="0.6">
      <c r="B12" s="3" t="s">
        <v>17</v>
      </c>
      <c r="E12" s="35" t="e">
        <f>1-E9</f>
        <v>#VALUE!</v>
      </c>
      <c r="G12" s="1" t="s">
        <v>18</v>
      </c>
      <c r="J12" s="45"/>
    </row>
    <row r="13" spans="1:14" x14ac:dyDescent="0.6">
      <c r="B13" s="3" t="s">
        <v>19</v>
      </c>
      <c r="E13" s="36" t="s">
        <v>3</v>
      </c>
    </row>
    <row r="14" spans="1:14" ht="16.899999999999999" thickBot="1" x14ac:dyDescent="0.65">
      <c r="B14" s="6" t="s">
        <v>20</v>
      </c>
      <c r="C14" s="6"/>
      <c r="D14" s="6"/>
      <c r="E14" s="47">
        <v>0.08</v>
      </c>
    </row>
    <row r="15" spans="1:14" ht="16.899999999999999" thickTop="1" x14ac:dyDescent="0.6"/>
    <row r="16" spans="1:14" x14ac:dyDescent="0.6">
      <c r="B16" s="18" t="s">
        <v>21</v>
      </c>
      <c r="C16" s="19"/>
      <c r="D16" s="19" t="s">
        <v>22</v>
      </c>
      <c r="E16" s="19" t="s">
        <v>22</v>
      </c>
      <c r="F16" s="19" t="s">
        <v>22</v>
      </c>
      <c r="G16" s="19" t="s">
        <v>23</v>
      </c>
      <c r="H16" s="19" t="s">
        <v>23</v>
      </c>
      <c r="I16" s="19" t="s">
        <v>23</v>
      </c>
      <c r="J16" s="19" t="s">
        <v>23</v>
      </c>
      <c r="K16" s="19" t="s">
        <v>23</v>
      </c>
      <c r="M16" s="22"/>
    </row>
    <row r="17" spans="2:19" x14ac:dyDescent="0.6">
      <c r="B17" s="3" t="s">
        <v>24</v>
      </c>
      <c r="D17" s="1">
        <f>'3 Statement'!D5</f>
        <v>0</v>
      </c>
      <c r="E17" s="1">
        <f>'3 Statement'!E5</f>
        <v>0</v>
      </c>
      <c r="F17" s="1">
        <f>'3 Statement'!F5</f>
        <v>0</v>
      </c>
      <c r="G17" s="92">
        <f>F17*G18</f>
        <v>0</v>
      </c>
      <c r="H17" s="92">
        <f>G17*H18</f>
        <v>0</v>
      </c>
      <c r="I17" s="92">
        <f>H17*I18</f>
        <v>0</v>
      </c>
      <c r="J17" s="92">
        <f>I17*J18</f>
        <v>0</v>
      </c>
      <c r="K17" s="92">
        <f>J17*K18</f>
        <v>0</v>
      </c>
      <c r="O17" s="71"/>
      <c r="P17" s="71"/>
      <c r="Q17" s="71"/>
      <c r="R17" s="71"/>
      <c r="S17" s="71"/>
    </row>
    <row r="18" spans="2:19" x14ac:dyDescent="0.6">
      <c r="B18" s="38" t="s">
        <v>27</v>
      </c>
      <c r="E18" s="53" t="e">
        <f>E17/D17-1</f>
        <v>#DIV/0!</v>
      </c>
      <c r="F18" s="53" t="e">
        <f>F17/E17-1</f>
        <v>#DIV/0!</v>
      </c>
      <c r="G18" s="92">
        <f>(1+O17)</f>
        <v>1</v>
      </c>
      <c r="H18" s="92">
        <f>(1+P17)</f>
        <v>1</v>
      </c>
      <c r="I18" s="92">
        <f>(1+Q17)</f>
        <v>1</v>
      </c>
      <c r="J18" s="92">
        <f>(1+R17)</f>
        <v>1</v>
      </c>
      <c r="K18" s="92">
        <f>(1+S17)</f>
        <v>1</v>
      </c>
      <c r="O18" s="20"/>
    </row>
    <row r="19" spans="2:19" x14ac:dyDescent="0.6">
      <c r="B19" s="3" t="s">
        <v>28</v>
      </c>
      <c r="D19" s="1">
        <f>'3 Statement'!D6</f>
        <v>0</v>
      </c>
      <c r="E19" s="1">
        <f>'3 Statement'!E6</f>
        <v>0</v>
      </c>
      <c r="F19" s="1">
        <f>'3 Statement'!F6</f>
        <v>0</v>
      </c>
      <c r="G19" s="92" t="e">
        <f>G17*G21</f>
        <v>#VALUE!</v>
      </c>
      <c r="H19" s="92" t="e">
        <f>H17*H21</f>
        <v>#VALUE!</v>
      </c>
      <c r="I19" s="92" t="e">
        <f>I17*I21</f>
        <v>#VALUE!</v>
      </c>
      <c r="J19" s="92" t="e">
        <f>J17*J21</f>
        <v>#VALUE!</v>
      </c>
      <c r="K19" s="92" t="e">
        <f>K17*K21</f>
        <v>#VALUE!</v>
      </c>
      <c r="O19" s="20"/>
    </row>
    <row r="20" spans="2:19" x14ac:dyDescent="0.6">
      <c r="B20" s="8" t="s">
        <v>29</v>
      </c>
      <c r="C20" s="23"/>
      <c r="D20" s="23">
        <f t="shared" ref="D20:K20" si="0">D17-D19</f>
        <v>0</v>
      </c>
      <c r="E20" s="23">
        <f t="shared" si="0"/>
        <v>0</v>
      </c>
      <c r="F20" s="23">
        <f t="shared" si="0"/>
        <v>0</v>
      </c>
      <c r="G20" s="93" t="e">
        <f t="shared" si="0"/>
        <v>#VALUE!</v>
      </c>
      <c r="H20" s="93" t="e">
        <f t="shared" si="0"/>
        <v>#VALUE!</v>
      </c>
      <c r="I20" s="93" t="e">
        <f t="shared" si="0"/>
        <v>#VALUE!</v>
      </c>
      <c r="J20" s="93" t="e">
        <f t="shared" si="0"/>
        <v>#VALUE!</v>
      </c>
      <c r="K20" s="93" t="e">
        <f t="shared" si="0"/>
        <v>#VALUE!</v>
      </c>
    </row>
    <row r="21" spans="2:19" x14ac:dyDescent="0.6">
      <c r="B21" s="38" t="s">
        <v>30</v>
      </c>
      <c r="D21" s="20"/>
      <c r="E21" s="53" t="e">
        <f>E20/D20-1</f>
        <v>#DIV/0!</v>
      </c>
      <c r="F21" s="53" t="e">
        <f>F20/E20-1</f>
        <v>#DIV/0!</v>
      </c>
      <c r="G21" s="100" t="s">
        <v>144</v>
      </c>
      <c r="H21" s="100" t="s">
        <v>144</v>
      </c>
      <c r="I21" s="100" t="s">
        <v>144</v>
      </c>
      <c r="J21" s="100" t="s">
        <v>144</v>
      </c>
      <c r="K21" s="100" t="s">
        <v>144</v>
      </c>
      <c r="O21" s="70"/>
    </row>
    <row r="22" spans="2:19" x14ac:dyDescent="0.6">
      <c r="B22" s="7"/>
      <c r="G22" s="92"/>
      <c r="H22" s="92"/>
      <c r="I22" s="92"/>
      <c r="J22" s="92"/>
      <c r="K22" s="92"/>
      <c r="O22" s="70"/>
    </row>
    <row r="23" spans="2:19" x14ac:dyDescent="0.6">
      <c r="B23" s="3" t="s">
        <v>31</v>
      </c>
      <c r="D23" s="1">
        <f>SUM('3 Statement'!D9:D11)</f>
        <v>0</v>
      </c>
      <c r="E23" s="1">
        <f>SUM('3 Statement'!E9:E11)</f>
        <v>0</v>
      </c>
      <c r="F23" s="1">
        <f>SUM('3 Statement'!F9:F11)</f>
        <v>0</v>
      </c>
      <c r="G23" s="92" t="e">
        <f>G17*G25</f>
        <v>#VALUE!</v>
      </c>
      <c r="H23" s="92" t="e">
        <f>H17*H25</f>
        <v>#VALUE!</v>
      </c>
      <c r="I23" s="92" t="e">
        <f>I17*I25</f>
        <v>#VALUE!</v>
      </c>
      <c r="J23" s="92" t="e">
        <f>J17*J25</f>
        <v>#VALUE!</v>
      </c>
      <c r="K23" s="92" t="e">
        <f>K17*K25</f>
        <v>#VALUE!</v>
      </c>
    </row>
    <row r="24" spans="2:19" x14ac:dyDescent="0.6">
      <c r="B24" s="9" t="s">
        <v>32</v>
      </c>
      <c r="C24" s="23"/>
      <c r="D24" s="23">
        <f>D20+D23</f>
        <v>0</v>
      </c>
      <c r="E24" s="23">
        <f>E20+E23</f>
        <v>0</v>
      </c>
      <c r="F24" s="23">
        <f>F20+F23</f>
        <v>0</v>
      </c>
      <c r="G24" s="101" t="e">
        <f>G21-G23</f>
        <v>#VALUE!</v>
      </c>
      <c r="H24" s="101" t="e">
        <f>H21-H23</f>
        <v>#VALUE!</v>
      </c>
      <c r="I24" s="101" t="e">
        <f>I21-I23</f>
        <v>#VALUE!</v>
      </c>
      <c r="J24" s="101" t="e">
        <f>J21-J23</f>
        <v>#VALUE!</v>
      </c>
      <c r="K24" s="101" t="e">
        <f>K21-K23</f>
        <v>#VALUE!</v>
      </c>
    </row>
    <row r="25" spans="2:19" x14ac:dyDescent="0.6">
      <c r="B25" s="7" t="s">
        <v>33</v>
      </c>
      <c r="D25" s="53" t="e">
        <f>D24/D17</f>
        <v>#DIV/0!</v>
      </c>
      <c r="E25" s="53" t="e">
        <f>E24/E17</f>
        <v>#DIV/0!</v>
      </c>
      <c r="F25" s="53" t="e">
        <f>F24/F17</f>
        <v>#DIV/0!</v>
      </c>
      <c r="G25" s="100" t="s">
        <v>144</v>
      </c>
      <c r="H25" s="100" t="s">
        <v>144</v>
      </c>
      <c r="I25" s="100" t="s">
        <v>144</v>
      </c>
      <c r="J25" s="100" t="s">
        <v>144</v>
      </c>
      <c r="K25" s="100" t="s">
        <v>144</v>
      </c>
      <c r="N25" s="2"/>
    </row>
    <row r="26" spans="2:19" x14ac:dyDescent="0.6">
      <c r="B26" s="7"/>
      <c r="G26" s="92"/>
      <c r="H26" s="92"/>
      <c r="I26" s="92"/>
      <c r="J26" s="92"/>
      <c r="K26" s="92"/>
    </row>
    <row r="27" spans="2:19" x14ac:dyDescent="0.6">
      <c r="B27" s="10" t="s">
        <v>34</v>
      </c>
      <c r="D27" s="48" t="e">
        <f t="shared" ref="D27:K27" si="1">D24*(1-$E$13)</f>
        <v>#VALUE!</v>
      </c>
      <c r="E27" s="48" t="e">
        <f t="shared" si="1"/>
        <v>#VALUE!</v>
      </c>
      <c r="F27" s="48" t="e">
        <f t="shared" si="1"/>
        <v>#VALUE!</v>
      </c>
      <c r="G27" s="102" t="e">
        <f t="shared" si="1"/>
        <v>#VALUE!</v>
      </c>
      <c r="H27" s="102" t="e">
        <f t="shared" si="1"/>
        <v>#VALUE!</v>
      </c>
      <c r="I27" s="102" t="e">
        <f t="shared" si="1"/>
        <v>#VALUE!</v>
      </c>
      <c r="J27" s="102" t="e">
        <f t="shared" si="1"/>
        <v>#VALUE!</v>
      </c>
      <c r="K27" s="102" t="e">
        <f t="shared" si="1"/>
        <v>#VALUE!</v>
      </c>
    </row>
    <row r="28" spans="2:19" x14ac:dyDescent="0.6">
      <c r="B28" s="3" t="s">
        <v>35</v>
      </c>
      <c r="D28" s="1">
        <f>'3 Statement'!D73</f>
        <v>0</v>
      </c>
      <c r="E28" s="1">
        <f>'3 Statement'!E73</f>
        <v>0</v>
      </c>
      <c r="F28" s="1">
        <f>'3 Statement'!F73</f>
        <v>0</v>
      </c>
      <c r="G28" s="92" t="s">
        <v>144</v>
      </c>
      <c r="H28" s="92" t="s">
        <v>144</v>
      </c>
      <c r="I28" s="92" t="s">
        <v>144</v>
      </c>
      <c r="J28" s="92" t="s">
        <v>144</v>
      </c>
      <c r="K28" s="92" t="s">
        <v>144</v>
      </c>
    </row>
    <row r="29" spans="2:19" x14ac:dyDescent="0.6">
      <c r="B29" s="3" t="s">
        <v>36</v>
      </c>
      <c r="D29" s="1">
        <f>'3 Statement'!D84</f>
        <v>0</v>
      </c>
      <c r="E29" s="1">
        <f>'3 Statement'!E84</f>
        <v>0</v>
      </c>
      <c r="F29" s="1">
        <f>'3 Statement'!F84</f>
        <v>0</v>
      </c>
      <c r="G29" s="92" t="s">
        <v>144</v>
      </c>
      <c r="H29" s="92" t="s">
        <v>144</v>
      </c>
      <c r="I29" s="92" t="s">
        <v>144</v>
      </c>
      <c r="J29" s="92" t="s">
        <v>144</v>
      </c>
      <c r="K29" s="92" t="s">
        <v>144</v>
      </c>
    </row>
    <row r="30" spans="2:19" x14ac:dyDescent="0.6">
      <c r="B30" s="3" t="s">
        <v>37</v>
      </c>
      <c r="D30" s="1">
        <f>'3 Statement'!D76</f>
        <v>0</v>
      </c>
      <c r="E30" s="1">
        <f>'3 Statement'!E76</f>
        <v>0</v>
      </c>
      <c r="F30" s="1">
        <f>'3 Statement'!F76</f>
        <v>0</v>
      </c>
      <c r="G30" s="92" t="s">
        <v>144</v>
      </c>
      <c r="H30" s="92" t="s">
        <v>144</v>
      </c>
      <c r="I30" s="92" t="s">
        <v>144</v>
      </c>
      <c r="J30" s="92" t="s">
        <v>144</v>
      </c>
      <c r="K30" s="92" t="s">
        <v>144</v>
      </c>
    </row>
    <row r="31" spans="2:19" x14ac:dyDescent="0.6">
      <c r="B31" s="9" t="s">
        <v>38</v>
      </c>
      <c r="C31" s="23"/>
      <c r="D31" s="24" t="e">
        <f t="shared" ref="D31:K31" si="2">D27+D28+D29+D30</f>
        <v>#VALUE!</v>
      </c>
      <c r="E31" s="24" t="e">
        <f t="shared" si="2"/>
        <v>#VALUE!</v>
      </c>
      <c r="F31" s="24" t="e">
        <f t="shared" si="2"/>
        <v>#VALUE!</v>
      </c>
      <c r="G31" s="103" t="e">
        <f t="shared" si="2"/>
        <v>#VALUE!</v>
      </c>
      <c r="H31" s="103" t="e">
        <f t="shared" si="2"/>
        <v>#VALUE!</v>
      </c>
      <c r="I31" s="103" t="e">
        <f t="shared" si="2"/>
        <v>#VALUE!</v>
      </c>
      <c r="J31" s="103" t="e">
        <f t="shared" si="2"/>
        <v>#VALUE!</v>
      </c>
      <c r="K31" s="103" t="e">
        <f t="shared" si="2"/>
        <v>#VALUE!</v>
      </c>
    </row>
    <row r="33" spans="2:16" x14ac:dyDescent="0.6">
      <c r="B33" s="17" t="s">
        <v>39</v>
      </c>
      <c r="C33" s="19"/>
      <c r="D33" s="19"/>
      <c r="E33" s="19"/>
      <c r="F33" s="19"/>
      <c r="G33" s="19" t="s">
        <v>23</v>
      </c>
      <c r="H33" s="19" t="s">
        <v>23</v>
      </c>
      <c r="I33" s="19" t="s">
        <v>23</v>
      </c>
      <c r="J33" s="19" t="s">
        <v>23</v>
      </c>
      <c r="K33" s="19" t="s">
        <v>23</v>
      </c>
    </row>
    <row r="34" spans="2:16" x14ac:dyDescent="0.6">
      <c r="B34" s="3" t="s">
        <v>40</v>
      </c>
      <c r="G34" s="49">
        <f ca="1">YEARFRAC(TODAY(),$J$5)</f>
        <v>7.7777777777777779E-2</v>
      </c>
      <c r="H34" s="49">
        <f ca="1">G34+1</f>
        <v>1.0777777777777777</v>
      </c>
      <c r="I34" s="49">
        <f ca="1">H34+1</f>
        <v>2.0777777777777775</v>
      </c>
      <c r="J34" s="49">
        <f ca="1">I34+1</f>
        <v>3.0777777777777775</v>
      </c>
      <c r="K34" s="49">
        <f ca="1">J34+1</f>
        <v>4.0777777777777775</v>
      </c>
      <c r="N34" s="4"/>
      <c r="O34" s="4"/>
      <c r="P34" s="4"/>
    </row>
    <row r="35" spans="2:16" x14ac:dyDescent="0.6">
      <c r="B35" s="3" t="s">
        <v>41</v>
      </c>
      <c r="G35" s="50">
        <f ca="1">(1/(1+$E$14))^G34</f>
        <v>0.99403202080485709</v>
      </c>
      <c r="H35" s="50">
        <f ca="1">(1/(1+$E$14))^H34</f>
        <v>0.92040001926375647</v>
      </c>
      <c r="I35" s="50">
        <f ca="1">(1/(1+$E$14))^I34</f>
        <v>0.85222224005903369</v>
      </c>
      <c r="J35" s="50">
        <f ca="1">(1/(1+$E$14))^J34</f>
        <v>0.78909466672132733</v>
      </c>
      <c r="K35" s="50">
        <f ca="1">(1/(1+$E$14))^K34</f>
        <v>0.73064320992715492</v>
      </c>
      <c r="N35" s="50"/>
      <c r="O35" s="50"/>
      <c r="P35" s="50"/>
    </row>
    <row r="36" spans="2:16" x14ac:dyDescent="0.6">
      <c r="B36" s="3"/>
      <c r="N36" s="50"/>
      <c r="O36" s="50"/>
      <c r="P36" s="50"/>
    </row>
    <row r="37" spans="2:16" x14ac:dyDescent="0.6">
      <c r="B37" s="11" t="s">
        <v>42</v>
      </c>
      <c r="G37" s="1" t="e">
        <f ca="1">G31*G35</f>
        <v>#VALUE!</v>
      </c>
      <c r="H37" s="1" t="e">
        <f ca="1">H31*H35</f>
        <v>#VALUE!</v>
      </c>
      <c r="I37" s="1" t="e">
        <f ca="1">I31*I35</f>
        <v>#VALUE!</v>
      </c>
      <c r="J37" s="1" t="e">
        <f ca="1">J31*J35</f>
        <v>#VALUE!</v>
      </c>
      <c r="K37" s="1" t="e">
        <f ca="1">K31*K35</f>
        <v>#VALUE!</v>
      </c>
    </row>
    <row r="38" spans="2:16" x14ac:dyDescent="0.6">
      <c r="B38" s="12" t="s">
        <v>43</v>
      </c>
      <c r="K38" s="22" t="e">
        <f ca="1">SUM(G37:K37)</f>
        <v>#VALUE!</v>
      </c>
      <c r="N38" s="2"/>
    </row>
    <row r="39" spans="2:16" x14ac:dyDescent="0.6">
      <c r="B39" s="12"/>
    </row>
    <row r="40" spans="2:16" x14ac:dyDescent="0.6">
      <c r="B40" s="11" t="s">
        <v>44</v>
      </c>
      <c r="K40" s="51" t="e">
        <f>(K31*(1+J6))/(E14-J6)</f>
        <v>#VALUE!</v>
      </c>
    </row>
    <row r="41" spans="2:16" x14ac:dyDescent="0.6">
      <c r="B41" s="12" t="s">
        <v>45</v>
      </c>
      <c r="K41" s="40" t="e">
        <f ca="1">K40*K35</f>
        <v>#VALUE!</v>
      </c>
    </row>
    <row r="42" spans="2:16" x14ac:dyDescent="0.6">
      <c r="B42" s="12"/>
      <c r="K42" s="41"/>
    </row>
    <row r="43" spans="2:16" x14ac:dyDescent="0.6">
      <c r="B43" s="12" t="s">
        <v>46</v>
      </c>
      <c r="K43" s="41" t="e">
        <f ca="1">K41+K38</f>
        <v>#VALUE!</v>
      </c>
    </row>
    <row r="44" spans="2:16" x14ac:dyDescent="0.6">
      <c r="B44" s="11" t="s">
        <v>47</v>
      </c>
      <c r="K44" s="52" t="e">
        <f>J11-J7</f>
        <v>#VALUE!</v>
      </c>
    </row>
    <row r="45" spans="2:16" x14ac:dyDescent="0.6">
      <c r="B45" s="13" t="s">
        <v>48</v>
      </c>
      <c r="C45" s="23"/>
      <c r="D45" s="23"/>
      <c r="E45" s="23"/>
      <c r="F45" s="23"/>
      <c r="G45" s="23"/>
      <c r="H45" s="23"/>
      <c r="I45" s="23"/>
      <c r="J45" s="23"/>
      <c r="K45" s="42" t="e">
        <f ca="1">K41-K44</f>
        <v>#VALUE!</v>
      </c>
    </row>
    <row r="46" spans="2:16" x14ac:dyDescent="0.6">
      <c r="B46" s="12"/>
      <c r="K46" s="41"/>
    </row>
    <row r="47" spans="2:16" x14ac:dyDescent="0.6">
      <c r="B47" s="11" t="s">
        <v>49</v>
      </c>
      <c r="K47" s="43" t="str">
        <f>J8</f>
        <v>#</v>
      </c>
    </row>
    <row r="48" spans="2:16" x14ac:dyDescent="0.6">
      <c r="B48" s="37" t="s">
        <v>50</v>
      </c>
      <c r="C48" s="23"/>
      <c r="D48" s="23"/>
      <c r="E48" s="23"/>
      <c r="F48" s="23"/>
      <c r="G48" s="23"/>
      <c r="H48" s="23"/>
      <c r="I48" s="23"/>
      <c r="J48" s="23"/>
      <c r="K48" s="44" t="e">
        <f ca="1">K45/K47</f>
        <v>#VALUE!</v>
      </c>
    </row>
    <row r="49" spans="2:11" x14ac:dyDescent="0.6">
      <c r="B49" s="39" t="s">
        <v>51</v>
      </c>
      <c r="K49" s="41" t="e">
        <f ca="1">(K48/J9-1)*100</f>
        <v>#VALUE!</v>
      </c>
    </row>
    <row r="51" spans="2:11" x14ac:dyDescent="0.6">
      <c r="B51" s="18" t="s">
        <v>155</v>
      </c>
      <c r="C51" s="18"/>
      <c r="D51" s="18"/>
      <c r="E51" s="18"/>
      <c r="F51" s="18"/>
      <c r="G51" s="18"/>
      <c r="H51" s="18"/>
      <c r="I51" s="18"/>
      <c r="J51" s="18"/>
      <c r="K51" s="18"/>
    </row>
    <row r="52" spans="2:11" ht="16.899999999999999" thickBot="1" x14ac:dyDescent="0.65">
      <c r="B52" s="1" t="s">
        <v>156</v>
      </c>
      <c r="C52" s="70" t="s">
        <v>3</v>
      </c>
      <c r="E52" s="20"/>
      <c r="F52" s="20"/>
      <c r="G52" s="53"/>
      <c r="H52" s="20"/>
      <c r="I52" s="20"/>
    </row>
    <row r="53" spans="2:11" x14ac:dyDescent="0.6">
      <c r="B53" s="1" t="s">
        <v>157</v>
      </c>
      <c r="C53" s="1" t="s">
        <v>3</v>
      </c>
      <c r="E53" s="81" t="e">
        <f ca="1">K48</f>
        <v>#VALUE!</v>
      </c>
      <c r="F53" s="122" t="e">
        <f>G53-C53</f>
        <v>#VALUE!</v>
      </c>
      <c r="G53" s="122" t="e">
        <f>H53-C53</f>
        <v>#VALUE!</v>
      </c>
      <c r="H53" s="122">
        <f>J6</f>
        <v>0.02</v>
      </c>
      <c r="I53" s="122" t="e">
        <f>H53+C53</f>
        <v>#VALUE!</v>
      </c>
      <c r="J53" s="123" t="e">
        <f>I53+C53</f>
        <v>#VALUE!</v>
      </c>
    </row>
    <row r="54" spans="2:11" x14ac:dyDescent="0.6">
      <c r="D54" s="20"/>
      <c r="E54" s="120" t="e">
        <f>E55-C52</f>
        <v>#VALUE!</v>
      </c>
      <c r="F54" s="1" t="e">
        <f ca="1">(
$G$31/(1+$E$54)^$G$34
+$H$31/(1+$E$54)^$H$34
+$I$31/(1+$E$54)^$I$34
+$J$31/(1+$E$54)^$J$34
+$K$31/(1+$E$54)^$K$34
+(($K$31*(1+F$53))/($E54-F$53))/(1+$E54)^$K$34
-$K$44
)/$K$47</f>
        <v>#VALUE!</v>
      </c>
      <c r="G54" s="1" t="e">
        <f ca="1">(
$G$31/(1+$E$54)^$G$34
+$H$31/(1+$E$54)^$H$34
+$I$31/(1+$E$54)^$I$34
+$J$31/(1+$E$54)^$J$34
+$K$31/(1+$E$54)^$K$34
+(($K$31*(1+G$53))/($E54-G$53))/(1+$E54)^$K$34
-$K$44
)/$K$47</f>
        <v>#VALUE!</v>
      </c>
      <c r="H54" s="1" t="e">
        <f ca="1">(
$G$31/(1+$E$54)^$G$34
+$H$31/(1+$E$54)^$H$34
+$I$31/(1+$E$54)^$I$34
+$J$31/(1+$E$54)^$J$34
+$K$31/(1+$E$54)^$K$34
+(($K$31*(1+H$53))/($E54-H$53))/(1+$E54)^$K$34
-$K$44
)/$K$47</f>
        <v>#VALUE!</v>
      </c>
      <c r="I54" s="1" t="e">
        <f ca="1">(
$G$31/(1+$E$54)^$G$34
+$H$31/(1+$E$54)^$H$34
+$I$31/(1+$E$54)^$I$34
+$J$31/(1+$E$54)^$J$34
+$K$31/(1+$E$54)^$K$34
+(($K$31*(1+I$53))/($E54-I$53))/(1+$E54)^$K$34
-$K$44
)/$K$47</f>
        <v>#VALUE!</v>
      </c>
      <c r="J54" s="21" t="e">
        <f ca="1">(
$G$31/(1+$E$54)^$G$34
+$H$31/(1+$E$54)^$H$34
+$I$31/(1+$E$54)^$I$34
+$J$31/(1+$E$54)^$J$34
+$K$31/(1+$E$54)^$K$34
+(($K$31*(1+J$53))/($E54-J$53))/(1+$E54)^$K$34
-$K$44
)/$K$47</f>
        <v>#VALUE!</v>
      </c>
    </row>
    <row r="55" spans="2:11" ht="16.899999999999999" thickBot="1" x14ac:dyDescent="0.65">
      <c r="D55" s="20"/>
      <c r="E55" s="120" t="e">
        <f>E56-C52</f>
        <v>#VALUE!</v>
      </c>
      <c r="F55" s="1" t="e">
        <f ca="1">(
$G$31/(1+$E$55)^$G$34
+$H$31/(1+$E$55)^$H$34
+$I$31/(1+$E$55)^$I$34
+$J$31/(1+$E$55)^$J$34
+$K$31/(1+$E$55)^$K$34
+(($K$31*(1+F$53))/($E55-F$53))/(1+$E$55)^$K$34
-$K$44
)/$K$47</f>
        <v>#VALUE!</v>
      </c>
      <c r="G55" s="1" t="e">
        <f ca="1">(
$G$31/(1+$E$55)^$G$34
+$H$31/(1+$E$55)^$H$34
+$I$31/(1+$E$55)^$I$34
+$J$31/(1+$E$55)^$J$34
+$K$31/(1+$E$55)^$K$34
+(($K$31*(1+G$53))/($E55-G$53))/(1+$E$55)^$K$34
-$K$44
)/$K$47</f>
        <v>#VALUE!</v>
      </c>
      <c r="H55" s="1" t="e">
        <f ca="1">(
$G$31/(1+$E$55)^$G$34
+$H$31/(1+$E$55)^$H$34
+$I$31/(1+$E$55)^$I$34
+$J$31/(1+$E$55)^$J$34
+$K$31/(1+$E$55)^$K$34
+(($K$31*(1+H$53))/($E55-H$53))/(1+$E$55)^$K$34
-$K$44
)/$K$47</f>
        <v>#VALUE!</v>
      </c>
      <c r="I55" s="1" t="e">
        <f ca="1">(
$G$31/(1+$E$55)^$G$34
+$H$31/(1+$E$55)^$H$34
+$I$31/(1+$E$55)^$I$34
+$J$31/(1+$E$55)^$J$34
+$K$31/(1+$E$55)^$K$34
+(($K$31*(1+I$53))/($E55-I$53))/(1+$E$55)^$K$34
-$K$44
)/$K$47</f>
        <v>#VALUE!</v>
      </c>
      <c r="J55" s="21" t="e">
        <f ca="1">(
$G$31/(1+$E$55)^$G$34
+$H$31/(1+$E$55)^$H$34
+$I$31/(1+$E$55)^$I$34
+$J$31/(1+$E$55)^$J$34
+$K$31/(1+$E$55)^$K$34
+(($K$31*(1+J$53))/($E55-J$53))/(1+$E$55)^$K$34
-$K$44
)/$K$47</f>
        <v>#VALUE!</v>
      </c>
    </row>
    <row r="56" spans="2:11" ht="16.899999999999999" thickBot="1" x14ac:dyDescent="0.65">
      <c r="D56" s="20"/>
      <c r="E56" s="120">
        <f>E14</f>
        <v>0.08</v>
      </c>
      <c r="F56" s="1" t="e">
        <f ca="1">(
$G$31/(1+$E$56)^$G$34
+$H$31/(1+$E$56)^$H$34
+$I$31/(1+$E$56)^$I$34
+$J$31/(1+$E$56)^$J$34
+$K$31/(1+$E$56)^$K$34
+(($K$31*(1+F$53))/($E$56-F$53))/(1+$E$56)^$K$34
-$K$44
)/$K$47</f>
        <v>#VALUE!</v>
      </c>
      <c r="G56" s="1" t="e">
        <f ca="1">(
$G$31/(1+$E$56)^$G$34
+$H$31/(1+$E$56)^$H$34
+$I$31/(1+$E$56)^$I$34
+$J$31/(1+$E$56)^$J$34
+$K$31/(1+$E$56)^$K$34
+(($K$31*(1+G$53))/($E$56-G$53))/(1+$E$56)^$K$34
-$K$44
)/$K$47</f>
        <v>#VALUE!</v>
      </c>
      <c r="H56" s="80" t="e">
        <f ca="1">(
$G$31/(1+$E$56)^$G$34
+$H$31/(1+$E$56)^$H$34
+$I$31/(1+$E$56)^$I$34
+$J$31/(1+$E$56)^$J$34
+$K$31/(1+$E$56)^$K$34
+(($K$31*(1+H$53))/($E$56-H$53))/(1+$E$56)^$K$34
-$K$44
)/$K$47</f>
        <v>#VALUE!</v>
      </c>
      <c r="I56" s="1" t="e">
        <f ca="1">(
$G$31/(1+$E$56)^$G$34
+$H$31/(1+$E$56)^$H$34
+$I$31/(1+$E$56)^$I$34
+$J$31/(1+$E$56)^$J$34
+$K$31/(1+$E$56)^$K$34
+(($K$31*(1+I$53))/($E$56-I$53))/(1+$E$56)^$K$34
-$K$44
)/$K$47</f>
        <v>#VALUE!</v>
      </c>
      <c r="J56" s="21" t="e">
        <f ca="1">(
$G$31/(1+$E$56)^$G$34
+$H$31/(1+$E$56)^$H$34
+$I$31/(1+$E$56)^$I$34
+$J$31/(1+$E$56)^$J$34
+$K$31/(1+$E$56)^$K$34
+(($K$31*(1+J$53))/($E$56-J$53))/(1+$E$56)^$K$34
-$K$44
)/$K$47</f>
        <v>#VALUE!</v>
      </c>
    </row>
    <row r="57" spans="2:11" x14ac:dyDescent="0.6">
      <c r="E57" s="120" t="e">
        <f>E56+C52</f>
        <v>#VALUE!</v>
      </c>
      <c r="F57" s="1" t="e">
        <f ca="1">(
$G$31/(1+$E$57)^$G$34
+$H$31/(1+$E$57)^$H$34
+$I$31/(1+$E$57)^$I$34
+$J$31/(1+$E$57)^$J$34
+$K$31/(1+$E$57)^$K$34
+(($K$31*(1+F$53))/($E$57-F$53))/(1+$E$57)^$K$34
-$K$44
)/$K$47</f>
        <v>#VALUE!</v>
      </c>
      <c r="G57" s="1" t="e">
        <f ca="1">(
$G$31/(1+$E$57)^$G$34
+$H$31/(1+$E$57)^$H$34
+$I$31/(1+$E$57)^$I$34
+$J$31/(1+$E$57)^$J$34
+$K$31/(1+$E$57)^$K$34
+(($K$31*(1+G$53))/($E$57-G$53))/(1+$E$57)^$K$34
-$K$44
)/$K$47</f>
        <v>#VALUE!</v>
      </c>
      <c r="H57" s="1" t="e">
        <f ca="1">(
$G$31/(1+$E$57)^$G$34
+$H$31/(1+$E$57)^$H$34
+$I$31/(1+$E$57)^$I$34
+$J$31/(1+$E$57)^$J$34
+$K$31/(1+$E$57)^$K$34
+(($K$31*(1+H$53))/($E$57-H$53))/(1+$E$57)^$K$34
-$K$44
)/$K$47</f>
        <v>#VALUE!</v>
      </c>
      <c r="I57" s="1" t="e">
        <f ca="1">(
$G$31/(1+$E$57)^$G$34
+$H$31/(1+$E$57)^$H$34
+$I$31/(1+$E$57)^$I$34
+$J$31/(1+$E$57)^$J$34
+$K$31/(1+$E$57)^$K$34
+(($K$31*(1+I$53))/($E$57-I$53))/(1+$E$57)^$K$34
-$K$44
)/$K$47</f>
        <v>#VALUE!</v>
      </c>
      <c r="J57" s="21" t="e">
        <f ca="1">(
$G$31/(1+$E$57)^$G$34
+$H$31/(1+$E$57)^$H$34
+$I$31/(1+$E$57)^$I$34
+$J$31/(1+$E$57)^$J$34
+$K$31/(1+$E$57)^$K$34
+(($K$31*(1+J$53))/($E$57-J$53))/(1+$E$57)^$K$34
-$K$44
)/$K$47</f>
        <v>#VALUE!</v>
      </c>
    </row>
    <row r="58" spans="2:11" ht="16.899999999999999" thickBot="1" x14ac:dyDescent="0.65">
      <c r="E58" s="121" t="e">
        <f>E57+C52</f>
        <v>#VALUE!</v>
      </c>
      <c r="F58" s="78" t="e">
        <f ca="1">(
$G$31/(1+$E$58)^$G$34
+$H$31/(1+$E$58)^$H$34
+$I$31/(1+$E$58)^$I$34
+$J$31/(1+$E$58)^$J$34
+$K$31/(1+$E$58)^$K$34
+(($K$31*(1+F$53))/($E$58-F$53))/(1+$E$58)^$K$34
-$K$44
)/$K$47</f>
        <v>#VALUE!</v>
      </c>
      <c r="G58" s="78" t="e">
        <f ca="1">(
$G$31/(1+$E$58)^$G$34
+$H$31/(1+$E$58)^$H$34
+$I$31/(1+$E$58)^$I$34
+$J$31/(1+$E$58)^$J$34
+$K$31/(1+$E$58)^$K$34
+(($K$31*(1+G$53))/($E$58-G$53))/(1+$E$58)^$K$34
-$K$44
)/$K$47</f>
        <v>#VALUE!</v>
      </c>
      <c r="H58" s="78" t="e">
        <f ca="1">(
$G$31/(1+$E$58)^$G$34
+$H$31/(1+$E$58)^$H$34
+$I$31/(1+$E$58)^$I$34
+$J$31/(1+$E$58)^$J$34
+$K$31/(1+$E$58)^$K$34
+(($K$31*(1+H$53))/($E$58-H$53))/(1+$E$58)^$K$34
-$K$44
)/$K$47</f>
        <v>#VALUE!</v>
      </c>
      <c r="I58" s="78" t="e">
        <f ca="1">(
$G$31/(1+$E$58)^$G$34
+$H$31/(1+$E$58)^$H$34
+$I$31/(1+$E$58)^$I$34
+$J$31/(1+$E$58)^$J$34
+$K$31/(1+$E$58)^$K$34
+(($K$31*(1+I$53))/($E$58-I$53))/(1+$E$58)^$K$34
-$K$44
)/$K$47</f>
        <v>#VALUE!</v>
      </c>
      <c r="J58" s="79" t="e">
        <f ca="1">(
$G$31/(1+$E$58)^$G$34
+$H$31/(1+$E$58)^$H$34
+$I$31/(1+$E$58)^$I$34
+$J$31/(1+$E$58)^$J$34
+$K$31/(1+$E$58)^$K$34
+(($K$31*(1+J$53))/($E$58-J$53))/(1+$E$58)^$K$34
-$K$44
)/$K$47</f>
        <v>#VALUE!</v>
      </c>
    </row>
  </sheetData>
  <conditionalFormatting sqref="F54:J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6F456-B062-450E-BCE0-46B8E2D27C0D}">
  <sheetPr>
    <tabColor rgb="FFFF0000"/>
  </sheetPr>
  <dimension ref="A1:S58"/>
  <sheetViews>
    <sheetView showGridLines="0" zoomScale="75" zoomScaleNormal="100" workbookViewId="0">
      <selection activeCell="M30" sqref="M30"/>
    </sheetView>
  </sheetViews>
  <sheetFormatPr defaultColWidth="8.86328125" defaultRowHeight="16.5" x14ac:dyDescent="0.6"/>
  <cols>
    <col min="1" max="1" width="2.86328125" style="1" customWidth="1"/>
    <col min="2" max="2" width="21.1328125" style="1" bestFit="1" customWidth="1"/>
    <col min="3" max="3" width="6.53125" style="1" customWidth="1"/>
    <col min="4" max="12" width="12.86328125" style="1" customWidth="1"/>
    <col min="13" max="13" width="21.46484375" style="1" bestFit="1" customWidth="1"/>
    <col min="14" max="14" width="11.53125" style="1" customWidth="1"/>
    <col min="15" max="16384" width="8.86328125" style="1"/>
  </cols>
  <sheetData>
    <row r="1" spans="1:14" x14ac:dyDescent="0.6">
      <c r="A1" s="2"/>
      <c r="K1" s="2"/>
    </row>
    <row r="2" spans="1:14" ht="21.6" customHeight="1" x14ac:dyDescent="0.6">
      <c r="B2" s="15" t="s">
        <v>154</v>
      </c>
      <c r="C2" s="14"/>
      <c r="D2" s="14"/>
      <c r="E2" s="14"/>
      <c r="F2" s="14"/>
      <c r="G2" s="14"/>
      <c r="H2" s="14"/>
      <c r="I2" s="14"/>
      <c r="J2" s="14"/>
      <c r="M2" s="2"/>
    </row>
    <row r="3" spans="1:14" x14ac:dyDescent="0.6">
      <c r="G3" s="2"/>
    </row>
    <row r="4" spans="1:14" x14ac:dyDescent="0.6">
      <c r="B4" s="17" t="s">
        <v>0</v>
      </c>
      <c r="C4" s="16"/>
      <c r="D4" s="16"/>
      <c r="E4" s="16"/>
      <c r="G4" s="17" t="s">
        <v>1</v>
      </c>
      <c r="H4" s="16"/>
      <c r="I4" s="16"/>
      <c r="J4" s="16"/>
    </row>
    <row r="5" spans="1:14" x14ac:dyDescent="0.6">
      <c r="B5" s="3" t="s">
        <v>2</v>
      </c>
      <c r="E5" s="31" t="s">
        <v>3</v>
      </c>
      <c r="G5" s="1" t="s">
        <v>4</v>
      </c>
      <c r="J5" s="29">
        <v>46022</v>
      </c>
    </row>
    <row r="6" spans="1:14" x14ac:dyDescent="0.6">
      <c r="B6" s="3" t="s">
        <v>5</v>
      </c>
      <c r="E6" s="32" t="s">
        <v>3</v>
      </c>
      <c r="G6" s="3" t="s">
        <v>6</v>
      </c>
      <c r="J6" s="25">
        <v>0.02</v>
      </c>
      <c r="N6" s="45"/>
    </row>
    <row r="7" spans="1:14" x14ac:dyDescent="0.6">
      <c r="B7" s="3" t="s">
        <v>7</v>
      </c>
      <c r="E7" s="32" t="s">
        <v>3</v>
      </c>
      <c r="G7" s="3" t="s">
        <v>8</v>
      </c>
      <c r="J7" s="26" t="s">
        <v>3</v>
      </c>
      <c r="N7" s="46"/>
    </row>
    <row r="8" spans="1:14" x14ac:dyDescent="0.6">
      <c r="B8" s="3" t="s">
        <v>9</v>
      </c>
      <c r="E8" s="33" t="e">
        <f>E7+(E5*E6)</f>
        <v>#VALUE!</v>
      </c>
      <c r="G8" s="3" t="s">
        <v>10</v>
      </c>
      <c r="J8" s="27" t="s">
        <v>3</v>
      </c>
    </row>
    <row r="9" spans="1:14" x14ac:dyDescent="0.6">
      <c r="B9" s="3" t="s">
        <v>11</v>
      </c>
      <c r="E9" s="33" t="e">
        <f>J10/SUM(J10:J11)</f>
        <v>#VALUE!</v>
      </c>
      <c r="G9" s="3" t="s">
        <v>12</v>
      </c>
      <c r="J9" s="28" t="s">
        <v>3</v>
      </c>
    </row>
    <row r="10" spans="1:14" x14ac:dyDescent="0.6">
      <c r="B10" s="3" t="s">
        <v>13</v>
      </c>
      <c r="E10" s="34" t="s">
        <v>3</v>
      </c>
      <c r="G10" s="3" t="s">
        <v>14</v>
      </c>
      <c r="J10" s="30" t="e">
        <f>J8*J9</f>
        <v>#VALUE!</v>
      </c>
    </row>
    <row r="11" spans="1:14" x14ac:dyDescent="0.6">
      <c r="B11" s="5" t="s">
        <v>15</v>
      </c>
      <c r="E11" s="33" t="e">
        <f>E10*(1-E13)</f>
        <v>#VALUE!</v>
      </c>
      <c r="G11" s="3" t="s">
        <v>167</v>
      </c>
      <c r="J11" s="27"/>
    </row>
    <row r="12" spans="1:14" x14ac:dyDescent="0.6">
      <c r="B12" s="3" t="s">
        <v>17</v>
      </c>
      <c r="E12" s="35" t="e">
        <f>1-E9</f>
        <v>#VALUE!</v>
      </c>
      <c r="G12" s="1" t="s">
        <v>18</v>
      </c>
      <c r="J12" s="45"/>
    </row>
    <row r="13" spans="1:14" x14ac:dyDescent="0.6">
      <c r="B13" s="3" t="s">
        <v>19</v>
      </c>
      <c r="E13" s="36" t="s">
        <v>3</v>
      </c>
    </row>
    <row r="14" spans="1:14" ht="16.899999999999999" thickBot="1" x14ac:dyDescent="0.65">
      <c r="B14" s="6" t="s">
        <v>20</v>
      </c>
      <c r="C14" s="6"/>
      <c r="D14" s="6"/>
      <c r="E14" s="47">
        <v>0.08</v>
      </c>
    </row>
    <row r="15" spans="1:14" ht="16.899999999999999" thickTop="1" x14ac:dyDescent="0.6"/>
    <row r="16" spans="1:14" x14ac:dyDescent="0.6">
      <c r="B16" s="18" t="s">
        <v>21</v>
      </c>
      <c r="C16" s="19"/>
      <c r="D16" s="19" t="s">
        <v>22</v>
      </c>
      <c r="E16" s="19" t="s">
        <v>22</v>
      </c>
      <c r="F16" s="19" t="s">
        <v>22</v>
      </c>
      <c r="G16" s="19" t="s">
        <v>23</v>
      </c>
      <c r="H16" s="19" t="s">
        <v>23</v>
      </c>
      <c r="I16" s="19" t="s">
        <v>23</v>
      </c>
      <c r="J16" s="19" t="s">
        <v>23</v>
      </c>
      <c r="K16" s="19" t="s">
        <v>23</v>
      </c>
      <c r="M16" s="22"/>
    </row>
    <row r="17" spans="2:19" x14ac:dyDescent="0.6">
      <c r="B17" s="3" t="s">
        <v>24</v>
      </c>
      <c r="D17" s="1">
        <f>'3 Statement'!D5</f>
        <v>0</v>
      </c>
      <c r="E17" s="1">
        <f>'3 Statement'!E5</f>
        <v>0</v>
      </c>
      <c r="F17" s="1">
        <f>'3 Statement'!F5</f>
        <v>0</v>
      </c>
      <c r="G17" s="92" t="e">
        <f>F17*G18</f>
        <v>#VALUE!</v>
      </c>
      <c r="H17" s="92" t="e">
        <f>G17*H18</f>
        <v>#VALUE!</v>
      </c>
      <c r="I17" s="92" t="e">
        <f>H17*I18</f>
        <v>#VALUE!</v>
      </c>
      <c r="J17" s="92" t="e">
        <f>I17*J18</f>
        <v>#VALUE!</v>
      </c>
      <c r="K17" s="92" t="e">
        <f>J17*K18</f>
        <v>#VALUE!</v>
      </c>
      <c r="O17" s="71"/>
      <c r="P17" s="71"/>
      <c r="Q17" s="71"/>
      <c r="R17" s="71"/>
      <c r="S17" s="71"/>
    </row>
    <row r="18" spans="2:19" x14ac:dyDescent="0.6">
      <c r="B18" s="38" t="s">
        <v>27</v>
      </c>
      <c r="E18" s="53" t="e">
        <f>E17/D17-1</f>
        <v>#DIV/0!</v>
      </c>
      <c r="F18" s="53" t="e">
        <f>F17/E17-1</f>
        <v>#DIV/0!</v>
      </c>
      <c r="G18" s="100" t="s">
        <v>144</v>
      </c>
      <c r="H18" s="100" t="s">
        <v>144</v>
      </c>
      <c r="I18" s="100" t="s">
        <v>144</v>
      </c>
      <c r="J18" s="100" t="s">
        <v>144</v>
      </c>
      <c r="K18" s="100" t="s">
        <v>144</v>
      </c>
      <c r="O18" s="20"/>
    </row>
    <row r="19" spans="2:19" x14ac:dyDescent="0.6">
      <c r="B19" s="3" t="s">
        <v>28</v>
      </c>
      <c r="D19" s="1">
        <f>'3 Statement'!D6</f>
        <v>0</v>
      </c>
      <c r="E19" s="1">
        <f>'3 Statement'!E6</f>
        <v>0</v>
      </c>
      <c r="F19" s="1">
        <f>'3 Statement'!F6</f>
        <v>0</v>
      </c>
      <c r="G19" s="92" t="e">
        <f>G17*G21</f>
        <v>#VALUE!</v>
      </c>
      <c r="H19" s="92" t="e">
        <f>H17*H21</f>
        <v>#VALUE!</v>
      </c>
      <c r="I19" s="92" t="e">
        <f>I17*I21</f>
        <v>#VALUE!</v>
      </c>
      <c r="J19" s="92" t="e">
        <f>J17*J21</f>
        <v>#VALUE!</v>
      </c>
      <c r="K19" s="92" t="e">
        <f>K17*K21</f>
        <v>#VALUE!</v>
      </c>
      <c r="O19" s="20"/>
    </row>
    <row r="20" spans="2:19" x14ac:dyDescent="0.6">
      <c r="B20" s="8" t="s">
        <v>29</v>
      </c>
      <c r="C20" s="23"/>
      <c r="D20" s="23">
        <f t="shared" ref="D20:K20" si="0">D17-D19</f>
        <v>0</v>
      </c>
      <c r="E20" s="23">
        <f t="shared" si="0"/>
        <v>0</v>
      </c>
      <c r="F20" s="23">
        <f t="shared" si="0"/>
        <v>0</v>
      </c>
      <c r="G20" s="93" t="e">
        <f t="shared" si="0"/>
        <v>#VALUE!</v>
      </c>
      <c r="H20" s="93" t="e">
        <f t="shared" si="0"/>
        <v>#VALUE!</v>
      </c>
      <c r="I20" s="93" t="e">
        <f t="shared" si="0"/>
        <v>#VALUE!</v>
      </c>
      <c r="J20" s="93" t="e">
        <f t="shared" si="0"/>
        <v>#VALUE!</v>
      </c>
      <c r="K20" s="93" t="e">
        <f t="shared" si="0"/>
        <v>#VALUE!</v>
      </c>
    </row>
    <row r="21" spans="2:19" x14ac:dyDescent="0.6">
      <c r="B21" s="38" t="s">
        <v>30</v>
      </c>
      <c r="D21" s="20"/>
      <c r="E21" s="53" t="e">
        <f>E20/D20-1</f>
        <v>#DIV/0!</v>
      </c>
      <c r="F21" s="53" t="e">
        <f>F20/E20-1</f>
        <v>#DIV/0!</v>
      </c>
      <c r="G21" s="100" t="s">
        <v>144</v>
      </c>
      <c r="H21" s="100" t="s">
        <v>144</v>
      </c>
      <c r="I21" s="100" t="s">
        <v>144</v>
      </c>
      <c r="J21" s="100" t="s">
        <v>144</v>
      </c>
      <c r="K21" s="100" t="s">
        <v>144</v>
      </c>
      <c r="O21" s="70"/>
    </row>
    <row r="22" spans="2:19" x14ac:dyDescent="0.6">
      <c r="B22" s="7"/>
      <c r="G22" s="92"/>
      <c r="H22" s="92"/>
      <c r="I22" s="92"/>
      <c r="J22" s="92"/>
      <c r="K22" s="92"/>
      <c r="O22" s="70"/>
    </row>
    <row r="23" spans="2:19" x14ac:dyDescent="0.6">
      <c r="B23" s="3" t="s">
        <v>31</v>
      </c>
      <c r="D23" s="1">
        <f>SUM('3 Statement'!D9:D11)</f>
        <v>0</v>
      </c>
      <c r="E23" s="1">
        <f>SUM('3 Statement'!E9:E11)</f>
        <v>0</v>
      </c>
      <c r="F23" s="1">
        <f>SUM('3 Statement'!F9:F11)</f>
        <v>0</v>
      </c>
      <c r="G23" s="92" t="e">
        <f>G17*G25</f>
        <v>#VALUE!</v>
      </c>
      <c r="H23" s="92" t="e">
        <f>H17*H25</f>
        <v>#VALUE!</v>
      </c>
      <c r="I23" s="92" t="e">
        <f>I17*I25</f>
        <v>#VALUE!</v>
      </c>
      <c r="J23" s="92" t="e">
        <f>J17*J25</f>
        <v>#VALUE!</v>
      </c>
      <c r="K23" s="92" t="e">
        <f>K17*K25</f>
        <v>#VALUE!</v>
      </c>
    </row>
    <row r="24" spans="2:19" x14ac:dyDescent="0.6">
      <c r="B24" s="9" t="s">
        <v>32</v>
      </c>
      <c r="C24" s="23"/>
      <c r="D24" s="23">
        <f>D20+D23</f>
        <v>0</v>
      </c>
      <c r="E24" s="23">
        <f>E20+E23</f>
        <v>0</v>
      </c>
      <c r="F24" s="23">
        <f>F20+F23</f>
        <v>0</v>
      </c>
      <c r="G24" s="101" t="e">
        <f>G21-G23</f>
        <v>#VALUE!</v>
      </c>
      <c r="H24" s="101" t="e">
        <f>H21-H23</f>
        <v>#VALUE!</v>
      </c>
      <c r="I24" s="101" t="e">
        <f>I21-I23</f>
        <v>#VALUE!</v>
      </c>
      <c r="J24" s="101" t="e">
        <f>J21-J23</f>
        <v>#VALUE!</v>
      </c>
      <c r="K24" s="101" t="e">
        <f>K21-K23</f>
        <v>#VALUE!</v>
      </c>
    </row>
    <row r="25" spans="2:19" x14ac:dyDescent="0.6">
      <c r="B25" s="7" t="s">
        <v>33</v>
      </c>
      <c r="D25" s="53" t="e">
        <f>D24/D17</f>
        <v>#DIV/0!</v>
      </c>
      <c r="E25" s="53" t="e">
        <f>E24/E17</f>
        <v>#DIV/0!</v>
      </c>
      <c r="F25" s="53" t="e">
        <f>F24/F17</f>
        <v>#DIV/0!</v>
      </c>
      <c r="G25" s="100" t="s">
        <v>144</v>
      </c>
      <c r="H25" s="100" t="s">
        <v>144</v>
      </c>
      <c r="I25" s="100" t="s">
        <v>144</v>
      </c>
      <c r="J25" s="100" t="s">
        <v>144</v>
      </c>
      <c r="K25" s="100" t="s">
        <v>144</v>
      </c>
      <c r="N25" s="2"/>
    </row>
    <row r="26" spans="2:19" x14ac:dyDescent="0.6">
      <c r="B26" s="7"/>
      <c r="G26" s="92"/>
      <c r="H26" s="92"/>
      <c r="I26" s="92"/>
      <c r="J26" s="92"/>
      <c r="K26" s="92"/>
    </row>
    <row r="27" spans="2:19" x14ac:dyDescent="0.6">
      <c r="B27" s="10" t="s">
        <v>34</v>
      </c>
      <c r="D27" s="48" t="e">
        <f t="shared" ref="D27:K27" si="1">D24*(1-$E$13)</f>
        <v>#VALUE!</v>
      </c>
      <c r="E27" s="48" t="e">
        <f t="shared" si="1"/>
        <v>#VALUE!</v>
      </c>
      <c r="F27" s="48" t="e">
        <f t="shared" si="1"/>
        <v>#VALUE!</v>
      </c>
      <c r="G27" s="102" t="e">
        <f t="shared" si="1"/>
        <v>#VALUE!</v>
      </c>
      <c r="H27" s="102" t="e">
        <f t="shared" si="1"/>
        <v>#VALUE!</v>
      </c>
      <c r="I27" s="102" t="e">
        <f t="shared" si="1"/>
        <v>#VALUE!</v>
      </c>
      <c r="J27" s="102" t="e">
        <f t="shared" si="1"/>
        <v>#VALUE!</v>
      </c>
      <c r="K27" s="102" t="e">
        <f t="shared" si="1"/>
        <v>#VALUE!</v>
      </c>
    </row>
    <row r="28" spans="2:19" x14ac:dyDescent="0.6">
      <c r="B28" s="3" t="s">
        <v>35</v>
      </c>
      <c r="D28" s="1">
        <f>'3 Statement'!D73</f>
        <v>0</v>
      </c>
      <c r="E28" s="1">
        <f>'3 Statement'!E73</f>
        <v>0</v>
      </c>
      <c r="F28" s="1">
        <f>'3 Statement'!F73</f>
        <v>0</v>
      </c>
      <c r="G28" s="92" t="s">
        <v>144</v>
      </c>
      <c r="H28" s="92" t="s">
        <v>144</v>
      </c>
      <c r="I28" s="92" t="s">
        <v>144</v>
      </c>
      <c r="J28" s="92" t="s">
        <v>144</v>
      </c>
      <c r="K28" s="92" t="s">
        <v>144</v>
      </c>
    </row>
    <row r="29" spans="2:19" x14ac:dyDescent="0.6">
      <c r="B29" s="3" t="s">
        <v>36</v>
      </c>
      <c r="D29" s="1">
        <f>'3 Statement'!D84</f>
        <v>0</v>
      </c>
      <c r="E29" s="1">
        <f>'3 Statement'!E84</f>
        <v>0</v>
      </c>
      <c r="F29" s="1">
        <f>'3 Statement'!F84</f>
        <v>0</v>
      </c>
      <c r="G29" s="92" t="s">
        <v>144</v>
      </c>
      <c r="H29" s="92" t="s">
        <v>144</v>
      </c>
      <c r="I29" s="92" t="s">
        <v>144</v>
      </c>
      <c r="J29" s="92" t="s">
        <v>144</v>
      </c>
      <c r="K29" s="92" t="s">
        <v>144</v>
      </c>
    </row>
    <row r="30" spans="2:19" x14ac:dyDescent="0.6">
      <c r="B30" s="3" t="s">
        <v>37</v>
      </c>
      <c r="D30" s="1">
        <f>'3 Statement'!D76</f>
        <v>0</v>
      </c>
      <c r="E30" s="1">
        <f>'3 Statement'!E76</f>
        <v>0</v>
      </c>
      <c r="F30" s="1">
        <f>'3 Statement'!F76</f>
        <v>0</v>
      </c>
      <c r="G30" s="92" t="s">
        <v>144</v>
      </c>
      <c r="H30" s="92" t="s">
        <v>144</v>
      </c>
      <c r="I30" s="92" t="s">
        <v>144</v>
      </c>
      <c r="J30" s="92" t="s">
        <v>144</v>
      </c>
      <c r="K30" s="92" t="s">
        <v>144</v>
      </c>
    </row>
    <row r="31" spans="2:19" x14ac:dyDescent="0.6">
      <c r="B31" s="9" t="s">
        <v>38</v>
      </c>
      <c r="C31" s="23"/>
      <c r="D31" s="24" t="e">
        <f t="shared" ref="D31:K31" si="2">D27+D28+D29+D30</f>
        <v>#VALUE!</v>
      </c>
      <c r="E31" s="24" t="e">
        <f t="shared" si="2"/>
        <v>#VALUE!</v>
      </c>
      <c r="F31" s="24" t="e">
        <f t="shared" si="2"/>
        <v>#VALUE!</v>
      </c>
      <c r="G31" s="103" t="e">
        <f t="shared" si="2"/>
        <v>#VALUE!</v>
      </c>
      <c r="H31" s="103" t="e">
        <f t="shared" si="2"/>
        <v>#VALUE!</v>
      </c>
      <c r="I31" s="103" t="e">
        <f t="shared" si="2"/>
        <v>#VALUE!</v>
      </c>
      <c r="J31" s="103" t="e">
        <f t="shared" si="2"/>
        <v>#VALUE!</v>
      </c>
      <c r="K31" s="103" t="e">
        <f t="shared" si="2"/>
        <v>#VALUE!</v>
      </c>
    </row>
    <row r="33" spans="2:16" x14ac:dyDescent="0.6">
      <c r="B33" s="17" t="s">
        <v>39</v>
      </c>
      <c r="C33" s="19"/>
      <c r="D33" s="19"/>
      <c r="E33" s="19"/>
      <c r="F33" s="19"/>
      <c r="G33" s="19" t="s">
        <v>23</v>
      </c>
      <c r="H33" s="19" t="s">
        <v>23</v>
      </c>
      <c r="I33" s="19" t="s">
        <v>23</v>
      </c>
      <c r="J33" s="19" t="s">
        <v>23</v>
      </c>
      <c r="K33" s="19" t="s">
        <v>23</v>
      </c>
    </row>
    <row r="34" spans="2:16" x14ac:dyDescent="0.6">
      <c r="B34" s="3" t="s">
        <v>40</v>
      </c>
      <c r="G34" s="49">
        <f ca="1">YEARFRAC(TODAY(),$J$5)</f>
        <v>7.7777777777777779E-2</v>
      </c>
      <c r="H34" s="49">
        <f ca="1">G34+1</f>
        <v>1.0777777777777777</v>
      </c>
      <c r="I34" s="49">
        <f ca="1">H34+1</f>
        <v>2.0777777777777775</v>
      </c>
      <c r="J34" s="49">
        <f ca="1">I34+1</f>
        <v>3.0777777777777775</v>
      </c>
      <c r="K34" s="49">
        <f ca="1">J34+1</f>
        <v>4.0777777777777775</v>
      </c>
      <c r="N34" s="4"/>
      <c r="O34" s="4"/>
      <c r="P34" s="4"/>
    </row>
    <row r="35" spans="2:16" x14ac:dyDescent="0.6">
      <c r="B35" s="3" t="s">
        <v>41</v>
      </c>
      <c r="G35" s="50">
        <f ca="1">(1/(1+$E$14))^G34</f>
        <v>0.99403202080485709</v>
      </c>
      <c r="H35" s="50">
        <f ca="1">(1/(1+$E$14))^H34</f>
        <v>0.92040001926375647</v>
      </c>
      <c r="I35" s="50">
        <f ca="1">(1/(1+$E$14))^I34</f>
        <v>0.85222224005903369</v>
      </c>
      <c r="J35" s="50">
        <f ca="1">(1/(1+$E$14))^J34</f>
        <v>0.78909466672132733</v>
      </c>
      <c r="K35" s="50">
        <f ca="1">(1/(1+$E$14))^K34</f>
        <v>0.73064320992715492</v>
      </c>
      <c r="N35" s="50"/>
      <c r="O35" s="50"/>
      <c r="P35" s="50"/>
    </row>
    <row r="36" spans="2:16" x14ac:dyDescent="0.6">
      <c r="B36" s="3"/>
      <c r="N36" s="50"/>
      <c r="O36" s="50"/>
      <c r="P36" s="50"/>
    </row>
    <row r="37" spans="2:16" x14ac:dyDescent="0.6">
      <c r="B37" s="11" t="s">
        <v>42</v>
      </c>
      <c r="G37" s="1" t="e">
        <f ca="1">G31*G35</f>
        <v>#VALUE!</v>
      </c>
      <c r="H37" s="1" t="e">
        <f ca="1">H31*H35</f>
        <v>#VALUE!</v>
      </c>
      <c r="I37" s="1" t="e">
        <f ca="1">I31*I35</f>
        <v>#VALUE!</v>
      </c>
      <c r="J37" s="1" t="e">
        <f ca="1">J31*J35</f>
        <v>#VALUE!</v>
      </c>
      <c r="K37" s="1" t="e">
        <f ca="1">K31*K35</f>
        <v>#VALUE!</v>
      </c>
    </row>
    <row r="38" spans="2:16" x14ac:dyDescent="0.6">
      <c r="B38" s="12" t="s">
        <v>43</v>
      </c>
      <c r="K38" s="22" t="e">
        <f ca="1">SUM(G37:K37)</f>
        <v>#VALUE!</v>
      </c>
      <c r="N38" s="2"/>
    </row>
    <row r="39" spans="2:16" x14ac:dyDescent="0.6">
      <c r="B39" s="12"/>
    </row>
    <row r="40" spans="2:16" x14ac:dyDescent="0.6">
      <c r="B40" s="11" t="s">
        <v>44</v>
      </c>
      <c r="K40" s="51" t="e">
        <f>(K31*(1+J6))/(E14-J6)</f>
        <v>#VALUE!</v>
      </c>
    </row>
    <row r="41" spans="2:16" x14ac:dyDescent="0.6">
      <c r="B41" s="12" t="s">
        <v>45</v>
      </c>
      <c r="K41" s="40" t="e">
        <f ca="1">K40*K35</f>
        <v>#VALUE!</v>
      </c>
    </row>
    <row r="42" spans="2:16" x14ac:dyDescent="0.6">
      <c r="B42" s="12"/>
      <c r="K42" s="41"/>
    </row>
    <row r="43" spans="2:16" x14ac:dyDescent="0.6">
      <c r="B43" s="12" t="s">
        <v>46</v>
      </c>
      <c r="K43" s="41" t="e">
        <f ca="1">K41+K38</f>
        <v>#VALUE!</v>
      </c>
    </row>
    <row r="44" spans="2:16" x14ac:dyDescent="0.6">
      <c r="B44" s="11" t="s">
        <v>47</v>
      </c>
      <c r="K44" s="52" t="e">
        <f>J11-J7</f>
        <v>#VALUE!</v>
      </c>
    </row>
    <row r="45" spans="2:16" x14ac:dyDescent="0.6">
      <c r="B45" s="13" t="s">
        <v>48</v>
      </c>
      <c r="C45" s="23"/>
      <c r="D45" s="23"/>
      <c r="E45" s="23"/>
      <c r="F45" s="23"/>
      <c r="G45" s="23"/>
      <c r="H45" s="23"/>
      <c r="I45" s="23"/>
      <c r="J45" s="23"/>
      <c r="K45" s="42" t="e">
        <f ca="1">K41-K44</f>
        <v>#VALUE!</v>
      </c>
    </row>
    <row r="46" spans="2:16" x14ac:dyDescent="0.6">
      <c r="B46" s="12"/>
      <c r="K46" s="41"/>
    </row>
    <row r="47" spans="2:16" x14ac:dyDescent="0.6">
      <c r="B47" s="11" t="s">
        <v>49</v>
      </c>
      <c r="K47" s="43" t="str">
        <f>J8</f>
        <v>#</v>
      </c>
    </row>
    <row r="48" spans="2:16" x14ac:dyDescent="0.6">
      <c r="B48" s="37" t="s">
        <v>50</v>
      </c>
      <c r="C48" s="23"/>
      <c r="D48" s="23"/>
      <c r="E48" s="23"/>
      <c r="F48" s="23"/>
      <c r="G48" s="23"/>
      <c r="H48" s="23"/>
      <c r="I48" s="23"/>
      <c r="J48" s="23"/>
      <c r="K48" s="44" t="e">
        <f ca="1">K45/K47</f>
        <v>#VALUE!</v>
      </c>
    </row>
    <row r="49" spans="2:11" x14ac:dyDescent="0.6">
      <c r="B49" s="39" t="s">
        <v>51</v>
      </c>
      <c r="K49" s="41" t="e">
        <f ca="1">(K48/J9-1)*100</f>
        <v>#VALUE!</v>
      </c>
    </row>
    <row r="51" spans="2:11" x14ac:dyDescent="0.6">
      <c r="B51" s="18" t="s">
        <v>155</v>
      </c>
      <c r="C51" s="18"/>
      <c r="D51" s="18"/>
      <c r="E51" s="18"/>
      <c r="F51" s="18"/>
      <c r="G51" s="18"/>
      <c r="H51" s="18"/>
      <c r="I51" s="18"/>
      <c r="J51" s="18"/>
      <c r="K51" s="18"/>
    </row>
    <row r="52" spans="2:11" ht="16.899999999999999" thickBot="1" x14ac:dyDescent="0.65">
      <c r="B52" s="1" t="s">
        <v>156</v>
      </c>
      <c r="C52" s="70" t="s">
        <v>3</v>
      </c>
      <c r="E52" s="20"/>
      <c r="F52" s="20"/>
      <c r="G52" s="53"/>
      <c r="H52" s="20"/>
      <c r="I52" s="20"/>
    </row>
    <row r="53" spans="2:11" x14ac:dyDescent="0.6">
      <c r="B53" s="1" t="s">
        <v>157</v>
      </c>
      <c r="C53" s="1" t="s">
        <v>3</v>
      </c>
      <c r="E53" s="81" t="e">
        <f ca="1">K48</f>
        <v>#VALUE!</v>
      </c>
      <c r="F53" s="122" t="e">
        <f>G53-C53</f>
        <v>#VALUE!</v>
      </c>
      <c r="G53" s="122" t="e">
        <f>H53-C53</f>
        <v>#VALUE!</v>
      </c>
      <c r="H53" s="122">
        <f>J6</f>
        <v>0.02</v>
      </c>
      <c r="I53" s="122" t="e">
        <f>H53+C53</f>
        <v>#VALUE!</v>
      </c>
      <c r="J53" s="123" t="e">
        <f>I53+C53</f>
        <v>#VALUE!</v>
      </c>
    </row>
    <row r="54" spans="2:11" x14ac:dyDescent="0.6">
      <c r="D54" s="20"/>
      <c r="E54" s="120" t="e">
        <f>E55-C52</f>
        <v>#VALUE!</v>
      </c>
      <c r="F54" s="1" t="e">
        <f ca="1">(
$G$31/(1+$E$54)^$G$34
+$H$31/(1+$E$54)^$H$34
+$I$31/(1+$E$54)^$I$34
+$J$31/(1+$E$54)^$J$34
+$K$31/(1+$E$54)^$K$34
+(($K$31*(1+F$53))/($E54-F$53))/(1+$E54)^$K$34
-$K$44
)/$K$47</f>
        <v>#VALUE!</v>
      </c>
      <c r="G54" s="1" t="e">
        <f ca="1">(
$G$31/(1+$E$54)^$G$34
+$H$31/(1+$E$54)^$H$34
+$I$31/(1+$E$54)^$I$34
+$J$31/(1+$E$54)^$J$34
+$K$31/(1+$E$54)^$K$34
+(($K$31*(1+G$53))/($E54-G$53))/(1+$E54)^$K$34
-$K$44
)/$K$47</f>
        <v>#VALUE!</v>
      </c>
      <c r="H54" s="1" t="e">
        <f ca="1">(
$G$31/(1+$E$54)^$G$34
+$H$31/(1+$E$54)^$H$34
+$I$31/(1+$E$54)^$I$34
+$J$31/(1+$E$54)^$J$34
+$K$31/(1+$E$54)^$K$34
+(($K$31*(1+H$53))/($E54-H$53))/(1+$E54)^$K$34
-$K$44
)/$K$47</f>
        <v>#VALUE!</v>
      </c>
      <c r="I54" s="1" t="e">
        <f ca="1">(
$G$31/(1+$E$54)^$G$34
+$H$31/(1+$E$54)^$H$34
+$I$31/(1+$E$54)^$I$34
+$J$31/(1+$E$54)^$J$34
+$K$31/(1+$E$54)^$K$34
+(($K$31*(1+I$53))/($E54-I$53))/(1+$E54)^$K$34
-$K$44
)/$K$47</f>
        <v>#VALUE!</v>
      </c>
      <c r="J54" s="21" t="e">
        <f ca="1">(
$G$31/(1+$E$54)^$G$34
+$H$31/(1+$E$54)^$H$34
+$I$31/(1+$E$54)^$I$34
+$J$31/(1+$E$54)^$J$34
+$K$31/(1+$E$54)^$K$34
+(($K$31*(1+J$53))/($E54-J$53))/(1+$E54)^$K$34
-$K$44
)/$K$47</f>
        <v>#VALUE!</v>
      </c>
    </row>
    <row r="55" spans="2:11" ht="16.899999999999999" thickBot="1" x14ac:dyDescent="0.65">
      <c r="D55" s="20"/>
      <c r="E55" s="120" t="e">
        <f>E56-C52</f>
        <v>#VALUE!</v>
      </c>
      <c r="F55" s="1" t="e">
        <f ca="1">(
$G$31/(1+$E$55)^$G$34
+$H$31/(1+$E$55)^$H$34
+$I$31/(1+$E$55)^$I$34
+$J$31/(1+$E$55)^$J$34
+$K$31/(1+$E$55)^$K$34
+(($K$31*(1+F$53))/($E55-F$53))/(1+$E$55)^$K$34
-$K$44
)/$K$47</f>
        <v>#VALUE!</v>
      </c>
      <c r="G55" s="1" t="e">
        <f ca="1">(
$G$31/(1+$E$55)^$G$34
+$H$31/(1+$E$55)^$H$34
+$I$31/(1+$E$55)^$I$34
+$J$31/(1+$E$55)^$J$34
+$K$31/(1+$E$55)^$K$34
+(($K$31*(1+G$53))/($E55-G$53))/(1+$E$55)^$K$34
-$K$44
)/$K$47</f>
        <v>#VALUE!</v>
      </c>
      <c r="H55" s="1" t="e">
        <f ca="1">(
$G$31/(1+$E$55)^$G$34
+$H$31/(1+$E$55)^$H$34
+$I$31/(1+$E$55)^$I$34
+$J$31/(1+$E$55)^$J$34
+$K$31/(1+$E$55)^$K$34
+(($K$31*(1+H$53))/($E55-H$53))/(1+$E$55)^$K$34
-$K$44
)/$K$47</f>
        <v>#VALUE!</v>
      </c>
      <c r="I55" s="1" t="e">
        <f ca="1">(
$G$31/(1+$E$55)^$G$34
+$H$31/(1+$E$55)^$H$34
+$I$31/(1+$E$55)^$I$34
+$J$31/(1+$E$55)^$J$34
+$K$31/(1+$E$55)^$K$34
+(($K$31*(1+I$53))/($E55-I$53))/(1+$E$55)^$K$34
-$K$44
)/$K$47</f>
        <v>#VALUE!</v>
      </c>
      <c r="J55" s="21" t="e">
        <f ca="1">(
$G$31/(1+$E$55)^$G$34
+$H$31/(1+$E$55)^$H$34
+$I$31/(1+$E$55)^$I$34
+$J$31/(1+$E$55)^$J$34
+$K$31/(1+$E$55)^$K$34
+(($K$31*(1+J$53))/($E55-J$53))/(1+$E$55)^$K$34
-$K$44
)/$K$47</f>
        <v>#VALUE!</v>
      </c>
    </row>
    <row r="56" spans="2:11" ht="16.899999999999999" thickBot="1" x14ac:dyDescent="0.65">
      <c r="D56" s="20"/>
      <c r="E56" s="120">
        <f>E14</f>
        <v>0.08</v>
      </c>
      <c r="F56" s="1" t="e">
        <f ca="1">(
$G$31/(1+$E$56)^$G$34
+$H$31/(1+$E$56)^$H$34
+$I$31/(1+$E$56)^$I$34
+$J$31/(1+$E$56)^$J$34
+$K$31/(1+$E$56)^$K$34
+(($K$31*(1+F$53))/($E$56-F$53))/(1+$E$56)^$K$34
-$K$44
)/$K$47</f>
        <v>#VALUE!</v>
      </c>
      <c r="G56" s="1" t="e">
        <f ca="1">(
$G$31/(1+$E$56)^$G$34
+$H$31/(1+$E$56)^$H$34
+$I$31/(1+$E$56)^$I$34
+$J$31/(1+$E$56)^$J$34
+$K$31/(1+$E$56)^$K$34
+(($K$31*(1+G$53))/($E$56-G$53))/(1+$E$56)^$K$34
-$K$44
)/$K$47</f>
        <v>#VALUE!</v>
      </c>
      <c r="H56" s="80" t="e">
        <f ca="1">(
$G$31/(1+$E$56)^$G$34
+$H$31/(1+$E$56)^$H$34
+$I$31/(1+$E$56)^$I$34
+$J$31/(1+$E$56)^$J$34
+$K$31/(1+$E$56)^$K$34
+(($K$31*(1+H$53))/($E$56-H$53))/(1+$E$56)^$K$34
-$K$44
)/$K$47</f>
        <v>#VALUE!</v>
      </c>
      <c r="I56" s="1" t="e">
        <f ca="1">(
$G$31/(1+$E$56)^$G$34
+$H$31/(1+$E$56)^$H$34
+$I$31/(1+$E$56)^$I$34
+$J$31/(1+$E$56)^$J$34
+$K$31/(1+$E$56)^$K$34
+(($K$31*(1+I$53))/($E$56-I$53))/(1+$E$56)^$K$34
-$K$44
)/$K$47</f>
        <v>#VALUE!</v>
      </c>
      <c r="J56" s="21" t="e">
        <f ca="1">(
$G$31/(1+$E$56)^$G$34
+$H$31/(1+$E$56)^$H$34
+$I$31/(1+$E$56)^$I$34
+$J$31/(1+$E$56)^$J$34
+$K$31/(1+$E$56)^$K$34
+(($K$31*(1+J$53))/($E$56-J$53))/(1+$E$56)^$K$34
-$K$44
)/$K$47</f>
        <v>#VALUE!</v>
      </c>
    </row>
    <row r="57" spans="2:11" x14ac:dyDescent="0.6">
      <c r="E57" s="120" t="e">
        <f>E56+C52</f>
        <v>#VALUE!</v>
      </c>
      <c r="F57" s="1" t="e">
        <f ca="1">(
$G$31/(1+$E$57)^$G$34
+$H$31/(1+$E$57)^$H$34
+$I$31/(1+$E$57)^$I$34
+$J$31/(1+$E$57)^$J$34
+$K$31/(1+$E$57)^$K$34
+(($K$31*(1+F$53))/($E$57-F$53))/(1+$E$57)^$K$34
-$K$44
)/$K$47</f>
        <v>#VALUE!</v>
      </c>
      <c r="G57" s="1" t="e">
        <f ca="1">(
$G$31/(1+$E$57)^$G$34
+$H$31/(1+$E$57)^$H$34
+$I$31/(1+$E$57)^$I$34
+$J$31/(1+$E$57)^$J$34
+$K$31/(1+$E$57)^$K$34
+(($K$31*(1+G$53))/($E$57-G$53))/(1+$E$57)^$K$34
-$K$44
)/$K$47</f>
        <v>#VALUE!</v>
      </c>
      <c r="H57" s="1" t="e">
        <f ca="1">(
$G$31/(1+$E$57)^$G$34
+$H$31/(1+$E$57)^$H$34
+$I$31/(1+$E$57)^$I$34
+$J$31/(1+$E$57)^$J$34
+$K$31/(1+$E$57)^$K$34
+(($K$31*(1+H$53))/($E$57-H$53))/(1+$E$57)^$K$34
-$K$44
)/$K$47</f>
        <v>#VALUE!</v>
      </c>
      <c r="I57" s="1" t="e">
        <f ca="1">(
$G$31/(1+$E$57)^$G$34
+$H$31/(1+$E$57)^$H$34
+$I$31/(1+$E$57)^$I$34
+$J$31/(1+$E$57)^$J$34
+$K$31/(1+$E$57)^$K$34
+(($K$31*(1+I$53))/($E$57-I$53))/(1+$E$57)^$K$34
-$K$44
)/$K$47</f>
        <v>#VALUE!</v>
      </c>
      <c r="J57" s="21" t="e">
        <f ca="1">(
$G$31/(1+$E$57)^$G$34
+$H$31/(1+$E$57)^$H$34
+$I$31/(1+$E$57)^$I$34
+$J$31/(1+$E$57)^$J$34
+$K$31/(1+$E$57)^$K$34
+(($K$31*(1+J$53))/($E$57-J$53))/(1+$E$57)^$K$34
-$K$44
)/$K$47</f>
        <v>#VALUE!</v>
      </c>
    </row>
    <row r="58" spans="2:11" ht="16.899999999999999" thickBot="1" x14ac:dyDescent="0.65">
      <c r="E58" s="121" t="e">
        <f>E57+C52</f>
        <v>#VALUE!</v>
      </c>
      <c r="F58" s="78" t="e">
        <f ca="1">(
$G$31/(1+$E$58)^$G$34
+$H$31/(1+$E$58)^$H$34
+$I$31/(1+$E$58)^$I$34
+$J$31/(1+$E$58)^$J$34
+$K$31/(1+$E$58)^$K$34
+(($K$31*(1+F$53))/($E$58-F$53))/(1+$E$58)^$K$34
-$K$44
)/$K$47</f>
        <v>#VALUE!</v>
      </c>
      <c r="G58" s="78" t="e">
        <f ca="1">(
$G$31/(1+$E$58)^$G$34
+$H$31/(1+$E$58)^$H$34
+$I$31/(1+$E$58)^$I$34
+$J$31/(1+$E$58)^$J$34
+$K$31/(1+$E$58)^$K$34
+(($K$31*(1+G$53))/($E$58-G$53))/(1+$E$58)^$K$34
-$K$44
)/$K$47</f>
        <v>#VALUE!</v>
      </c>
      <c r="H58" s="78" t="e">
        <f ca="1">(
$G$31/(1+$E$58)^$G$34
+$H$31/(1+$E$58)^$H$34
+$I$31/(1+$E$58)^$I$34
+$J$31/(1+$E$58)^$J$34
+$K$31/(1+$E$58)^$K$34
+(($K$31*(1+H$53))/($E$58-H$53))/(1+$E$58)^$K$34
-$K$44
)/$K$47</f>
        <v>#VALUE!</v>
      </c>
      <c r="I58" s="78" t="e">
        <f ca="1">(
$G$31/(1+$E$58)^$G$34
+$H$31/(1+$E$58)^$H$34
+$I$31/(1+$E$58)^$I$34
+$J$31/(1+$E$58)^$J$34
+$K$31/(1+$E$58)^$K$34
+(($K$31*(1+I$53))/($E$58-I$53))/(1+$E$58)^$K$34
-$K$44
)/$K$47</f>
        <v>#VALUE!</v>
      </c>
      <c r="J58" s="79" t="e">
        <f ca="1">(
$G$31/(1+$E$58)^$G$34
+$H$31/(1+$E$58)^$H$34
+$I$31/(1+$E$58)^$I$34
+$J$31/(1+$E$58)^$J$34
+$K$31/(1+$E$58)^$K$34
+(($K$31*(1+J$53))/($E$58-J$53))/(1+$E$58)^$K$34
-$K$44
)/$K$47</f>
        <v>#VALUE!</v>
      </c>
    </row>
  </sheetData>
  <conditionalFormatting sqref="F54:J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6966-EB90-402A-B32F-D187BA4E9C06}">
  <sheetPr>
    <tabColor rgb="FFFF0000"/>
  </sheetPr>
  <dimension ref="B2:Y116"/>
  <sheetViews>
    <sheetView showGridLines="0" tabSelected="1" topLeftCell="B1" zoomScale="61" zoomScaleNormal="76" workbookViewId="0">
      <selection activeCell="M74" sqref="M74"/>
    </sheetView>
  </sheetViews>
  <sheetFormatPr defaultColWidth="8.86328125" defaultRowHeight="16.5" x14ac:dyDescent="0.6"/>
  <cols>
    <col min="1" max="1" width="2.86328125" style="1" customWidth="1"/>
    <col min="2" max="2" width="51.6640625" style="1" bestFit="1" customWidth="1"/>
    <col min="3" max="3" width="2.86328125" style="1" customWidth="1"/>
    <col min="4" max="11" width="12.86328125" style="1" customWidth="1"/>
    <col min="12" max="12" width="6.796875" style="1" customWidth="1"/>
    <col min="13" max="13" width="30.53125" style="1" bestFit="1" customWidth="1"/>
    <col min="14" max="20" width="8.86328125" style="1"/>
    <col min="21" max="21" width="46.796875" style="1" customWidth="1"/>
    <col min="22" max="22" width="60.46484375" style="1" customWidth="1"/>
    <col min="23" max="23" width="13.33203125" style="1" bestFit="1" customWidth="1"/>
    <col min="24" max="16384" width="8.86328125" style="1"/>
  </cols>
  <sheetData>
    <row r="2" spans="2:25" ht="21.6" customHeight="1" x14ac:dyDescent="0.6">
      <c r="B2" s="15" t="s">
        <v>95</v>
      </c>
      <c r="C2" s="14"/>
      <c r="D2" s="14"/>
      <c r="E2" s="14"/>
      <c r="F2" s="14"/>
      <c r="G2" s="14"/>
      <c r="H2" s="14"/>
      <c r="I2" s="14"/>
      <c r="J2" s="14"/>
      <c r="K2" s="14"/>
    </row>
    <row r="4" spans="2:25" ht="21" x14ac:dyDescent="0.75">
      <c r="B4" s="91" t="s">
        <v>99</v>
      </c>
      <c r="C4" s="91"/>
      <c r="D4" s="90" t="s">
        <v>22</v>
      </c>
      <c r="E4" s="90" t="s">
        <v>22</v>
      </c>
      <c r="F4" s="90" t="s">
        <v>22</v>
      </c>
      <c r="G4" s="90" t="s">
        <v>23</v>
      </c>
      <c r="H4" s="90" t="s">
        <v>23</v>
      </c>
      <c r="I4" s="90" t="s">
        <v>23</v>
      </c>
      <c r="J4" s="90" t="s">
        <v>23</v>
      </c>
      <c r="K4" s="90" t="s">
        <v>23</v>
      </c>
      <c r="M4" s="18" t="s">
        <v>130</v>
      </c>
      <c r="N4" s="19" t="s">
        <v>131</v>
      </c>
      <c r="O4" s="19" t="s">
        <v>132</v>
      </c>
      <c r="P4" s="19"/>
      <c r="Q4" s="19"/>
      <c r="R4" s="19"/>
      <c r="S4" s="19"/>
    </row>
    <row r="5" spans="2:25" x14ac:dyDescent="0.6">
      <c r="B5" s="1" t="s">
        <v>92</v>
      </c>
      <c r="C5" s="3"/>
      <c r="G5" s="92">
        <f>F5*(1+O5)</f>
        <v>0</v>
      </c>
      <c r="H5" s="92">
        <f t="shared" ref="H5:K5" si="0">G5*(1+P5)</f>
        <v>0</v>
      </c>
      <c r="I5" s="92">
        <f t="shared" si="0"/>
        <v>0</v>
      </c>
      <c r="J5" s="92">
        <f t="shared" si="0"/>
        <v>0</v>
      </c>
      <c r="K5" s="92">
        <f t="shared" si="0"/>
        <v>0</v>
      </c>
      <c r="M5" s="1" t="s">
        <v>24</v>
      </c>
      <c r="O5" s="53"/>
      <c r="P5" s="70"/>
      <c r="Q5" s="70"/>
      <c r="R5" s="70"/>
      <c r="S5" s="70"/>
      <c r="V5" s="1">
        <v>416161000000</v>
      </c>
    </row>
    <row r="6" spans="2:25" x14ac:dyDescent="0.6">
      <c r="B6" s="1" t="s">
        <v>169</v>
      </c>
      <c r="G6" s="92">
        <f>G5-G7</f>
        <v>0</v>
      </c>
      <c r="H6" s="106">
        <f t="shared" ref="H6:K6" si="1">H5-H7</f>
        <v>0</v>
      </c>
      <c r="I6" s="106">
        <f t="shared" si="1"/>
        <v>0</v>
      </c>
      <c r="J6" s="106">
        <f t="shared" si="1"/>
        <v>0</v>
      </c>
      <c r="K6" s="106">
        <f t="shared" si="1"/>
        <v>0</v>
      </c>
      <c r="M6" s="1" t="s">
        <v>134</v>
      </c>
      <c r="O6" s="20"/>
      <c r="P6" s="20"/>
      <c r="Q6" s="20"/>
      <c r="R6" s="20"/>
      <c r="S6" s="20"/>
      <c r="V6" s="1">
        <v>220960000000</v>
      </c>
      <c r="Y6" s="1" t="s">
        <v>251</v>
      </c>
    </row>
    <row r="7" spans="2:25" x14ac:dyDescent="0.6">
      <c r="B7" s="22" t="s">
        <v>170</v>
      </c>
      <c r="D7" s="95"/>
      <c r="E7" s="95"/>
      <c r="F7" s="95"/>
      <c r="G7" s="96">
        <f>G8*G5</f>
        <v>0</v>
      </c>
      <c r="H7" s="114">
        <f t="shared" ref="H7:K7" si="2">H8*H5</f>
        <v>0</v>
      </c>
      <c r="I7" s="114">
        <f t="shared" si="2"/>
        <v>0</v>
      </c>
      <c r="J7" s="114">
        <f t="shared" si="2"/>
        <v>0</v>
      </c>
      <c r="K7" s="114">
        <f t="shared" si="2"/>
        <v>0</v>
      </c>
      <c r="M7" s="1" t="s">
        <v>265</v>
      </c>
      <c r="O7" s="20"/>
      <c r="P7" s="20"/>
      <c r="Q7" s="20"/>
      <c r="R7" s="20"/>
      <c r="S7" s="20"/>
      <c r="V7" s="1">
        <v>195201000000</v>
      </c>
      <c r="Y7" s="1" t="s">
        <v>252</v>
      </c>
    </row>
    <row r="8" spans="2:25" x14ac:dyDescent="0.6">
      <c r="B8" s="94" t="s">
        <v>100</v>
      </c>
      <c r="G8" s="105">
        <f>F8+(O6)</f>
        <v>0</v>
      </c>
      <c r="H8" s="100">
        <f t="shared" ref="H8:K8" si="3">G8+(P6)</f>
        <v>0</v>
      </c>
      <c r="I8" s="100">
        <f t="shared" si="3"/>
        <v>0</v>
      </c>
      <c r="J8" s="100">
        <f t="shared" si="3"/>
        <v>0</v>
      </c>
      <c r="K8" s="100">
        <f t="shared" si="3"/>
        <v>0</v>
      </c>
      <c r="M8" s="1" t="s">
        <v>137</v>
      </c>
      <c r="O8" s="70"/>
      <c r="P8" s="70"/>
      <c r="Q8" s="70"/>
      <c r="R8" s="70"/>
      <c r="S8" s="70"/>
      <c r="V8" s="1">
        <v>34550000000</v>
      </c>
      <c r="Y8" s="1" t="s">
        <v>253</v>
      </c>
    </row>
    <row r="9" spans="2:25" x14ac:dyDescent="0.6">
      <c r="B9" s="1" t="s">
        <v>171</v>
      </c>
      <c r="G9" s="106" t="e">
        <f>(F9/F12)*(G7-G12)</f>
        <v>#DIV/0!</v>
      </c>
      <c r="H9" s="106" t="e">
        <f t="shared" ref="H9:K9" si="4">(G9/G12)*(H7-H12)</f>
        <v>#DIV/0!</v>
      </c>
      <c r="I9" s="106" t="e">
        <f t="shared" si="4"/>
        <v>#DIV/0!</v>
      </c>
      <c r="J9" s="106" t="e">
        <f t="shared" si="4"/>
        <v>#DIV/0!</v>
      </c>
      <c r="K9" s="106" t="e">
        <f t="shared" si="4"/>
        <v>#DIV/0!</v>
      </c>
      <c r="M9" s="1" t="s">
        <v>19</v>
      </c>
      <c r="O9" s="70"/>
      <c r="P9" s="70"/>
      <c r="Q9" s="70"/>
      <c r="R9" s="70"/>
      <c r="S9" s="70"/>
      <c r="V9" s="1">
        <v>0</v>
      </c>
      <c r="Y9" s="1" t="s">
        <v>254</v>
      </c>
    </row>
    <row r="10" spans="2:25" x14ac:dyDescent="0.6">
      <c r="B10" s="1" t="s">
        <v>172</v>
      </c>
      <c r="G10" s="106" t="e">
        <f>(F10/F12)*(G7-G12)</f>
        <v>#DIV/0!</v>
      </c>
      <c r="H10" s="106" t="e">
        <f t="shared" ref="H10:K10" si="5">(G10/G12)*(H7-H12)</f>
        <v>#DIV/0!</v>
      </c>
      <c r="I10" s="106" t="e">
        <f t="shared" si="5"/>
        <v>#DIV/0!</v>
      </c>
      <c r="J10" s="106" t="e">
        <f t="shared" si="5"/>
        <v>#DIV/0!</v>
      </c>
      <c r="K10" s="106" t="e">
        <f t="shared" si="5"/>
        <v>#DIV/0!</v>
      </c>
      <c r="M10" s="1" t="s">
        <v>140</v>
      </c>
      <c r="O10" s="70"/>
      <c r="P10" s="70"/>
      <c r="Q10" s="70"/>
      <c r="R10" s="70"/>
      <c r="S10" s="70"/>
      <c r="V10" s="1">
        <v>0</v>
      </c>
      <c r="Y10" s="1" t="s">
        <v>255</v>
      </c>
    </row>
    <row r="11" spans="2:25" x14ac:dyDescent="0.6">
      <c r="B11" s="1" t="s">
        <v>173</v>
      </c>
      <c r="G11" s="106" t="e">
        <f>(F11/F12)*(G7-G12)</f>
        <v>#DIV/0!</v>
      </c>
      <c r="H11" s="106" t="e">
        <f t="shared" ref="H11:K11" si="6">(G11/G12)*(H7-H12)</f>
        <v>#DIV/0!</v>
      </c>
      <c r="I11" s="106" t="e">
        <f t="shared" si="6"/>
        <v>#DIV/0!</v>
      </c>
      <c r="J11" s="106" t="e">
        <f t="shared" si="6"/>
        <v>#DIV/0!</v>
      </c>
      <c r="K11" s="106" t="e">
        <f t="shared" si="6"/>
        <v>#DIV/0!</v>
      </c>
      <c r="V11" s="1">
        <v>27601000000</v>
      </c>
      <c r="Y11" s="1" t="s">
        <v>256</v>
      </c>
    </row>
    <row r="12" spans="2:25" x14ac:dyDescent="0.6">
      <c r="B12" s="22" t="s">
        <v>250</v>
      </c>
      <c r="D12" s="95"/>
      <c r="E12" s="95"/>
      <c r="F12" s="95"/>
      <c r="G12" s="114">
        <f>G13*G5</f>
        <v>0</v>
      </c>
      <c r="H12" s="114">
        <f t="shared" ref="H12:K12" si="7">H13*H5</f>
        <v>0</v>
      </c>
      <c r="I12" s="114">
        <f t="shared" si="7"/>
        <v>0</v>
      </c>
      <c r="J12" s="114">
        <f t="shared" si="7"/>
        <v>0</v>
      </c>
      <c r="K12" s="114">
        <f t="shared" si="7"/>
        <v>0</v>
      </c>
      <c r="O12" s="70"/>
      <c r="P12" s="70"/>
      <c r="Q12" s="70"/>
    </row>
    <row r="13" spans="2:25" x14ac:dyDescent="0.6">
      <c r="B13" s="94" t="s">
        <v>103</v>
      </c>
      <c r="G13" s="105">
        <f>F13+O7</f>
        <v>0</v>
      </c>
      <c r="H13" s="105">
        <f t="shared" ref="H13:K13" si="8">G13+P7</f>
        <v>0</v>
      </c>
      <c r="I13" s="105">
        <f t="shared" si="8"/>
        <v>0</v>
      </c>
      <c r="J13" s="105">
        <f t="shared" si="8"/>
        <v>0</v>
      </c>
      <c r="K13" s="105">
        <f t="shared" si="8"/>
        <v>0</v>
      </c>
      <c r="O13" s="70"/>
      <c r="P13" s="70"/>
      <c r="Q13" s="70"/>
      <c r="R13" s="70"/>
    </row>
    <row r="14" spans="2:25" x14ac:dyDescent="0.6">
      <c r="B14" s="1" t="s">
        <v>174</v>
      </c>
      <c r="G14" s="92" t="e">
        <f>($F$14/$F$5)*G5</f>
        <v>#DIV/0!</v>
      </c>
      <c r="H14" s="92" t="e">
        <f t="shared" ref="H14:K14" si="9">($F$14/$F$5)*H5</f>
        <v>#DIV/0!</v>
      </c>
      <c r="I14" s="92" t="e">
        <f t="shared" si="9"/>
        <v>#DIV/0!</v>
      </c>
      <c r="J14" s="92" t="e">
        <f t="shared" si="9"/>
        <v>#DIV/0!</v>
      </c>
      <c r="K14" s="92" t="e">
        <f t="shared" si="9"/>
        <v>#DIV/0!</v>
      </c>
      <c r="O14" s="70"/>
      <c r="P14" s="70"/>
      <c r="Q14" s="70"/>
      <c r="R14" s="70"/>
    </row>
    <row r="15" spans="2:25" x14ac:dyDescent="0.6">
      <c r="B15" s="1" t="s">
        <v>257</v>
      </c>
      <c r="G15" s="92" t="e">
        <f>($F$15/$F$5)*G5</f>
        <v>#DIV/0!</v>
      </c>
      <c r="H15" s="92" t="e">
        <f t="shared" ref="H15:K15" si="10">($F$15/$F$5)*H5</f>
        <v>#DIV/0!</v>
      </c>
      <c r="I15" s="92" t="e">
        <f t="shared" si="10"/>
        <v>#DIV/0!</v>
      </c>
      <c r="J15" s="92" t="e">
        <f t="shared" si="10"/>
        <v>#DIV/0!</v>
      </c>
      <c r="K15" s="92" t="e">
        <f t="shared" si="10"/>
        <v>#DIV/0!</v>
      </c>
    </row>
    <row r="16" spans="2:25" x14ac:dyDescent="0.6">
      <c r="B16" s="22" t="s">
        <v>258</v>
      </c>
      <c r="D16" s="95"/>
      <c r="E16" s="95"/>
      <c r="F16" s="95"/>
      <c r="G16" s="114" t="e">
        <f>G12-G14-G15</f>
        <v>#DIV/0!</v>
      </c>
      <c r="H16" s="114" t="e">
        <f t="shared" ref="H16:K16" si="11">H12-H14-H15</f>
        <v>#DIV/0!</v>
      </c>
      <c r="I16" s="114" t="e">
        <f t="shared" si="11"/>
        <v>#DIV/0!</v>
      </c>
      <c r="J16" s="114" t="e">
        <f t="shared" si="11"/>
        <v>#DIV/0!</v>
      </c>
      <c r="K16" s="114" t="e">
        <f t="shared" si="11"/>
        <v>#DIV/0!</v>
      </c>
    </row>
    <row r="17" spans="2:19" x14ac:dyDescent="0.6">
      <c r="B17" s="1" t="s">
        <v>105</v>
      </c>
      <c r="G17" s="106" t="e">
        <f>G16*O9</f>
        <v>#DIV/0!</v>
      </c>
      <c r="H17" s="106" t="e">
        <f t="shared" ref="H17:K17" si="12">H16*P9</f>
        <v>#DIV/0!</v>
      </c>
      <c r="I17" s="106" t="e">
        <f t="shared" si="12"/>
        <v>#DIV/0!</v>
      </c>
      <c r="J17" s="106" t="e">
        <f t="shared" si="12"/>
        <v>#DIV/0!</v>
      </c>
      <c r="K17" s="106" t="e">
        <f t="shared" si="12"/>
        <v>#DIV/0!</v>
      </c>
    </row>
    <row r="18" spans="2:19" x14ac:dyDescent="0.6">
      <c r="B18" s="22" t="s">
        <v>106</v>
      </c>
      <c r="D18" s="95"/>
      <c r="E18" s="95"/>
      <c r="F18" s="95"/>
      <c r="G18" s="114" t="e">
        <f>G16-G17</f>
        <v>#DIV/0!</v>
      </c>
      <c r="H18" s="114" t="e">
        <f t="shared" ref="H18:K18" si="13">H16-H17</f>
        <v>#DIV/0!</v>
      </c>
      <c r="I18" s="114" t="e">
        <f t="shared" si="13"/>
        <v>#DIV/0!</v>
      </c>
      <c r="J18" s="114" t="e">
        <f t="shared" si="13"/>
        <v>#DIV/0!</v>
      </c>
      <c r="K18" s="114" t="e">
        <f t="shared" si="13"/>
        <v>#DIV/0!</v>
      </c>
    </row>
    <row r="19" spans="2:19" x14ac:dyDescent="0.6">
      <c r="B19" s="94" t="s">
        <v>107</v>
      </c>
      <c r="G19" s="113" t="e">
        <f>G18/G5</f>
        <v>#DIV/0!</v>
      </c>
      <c r="H19" s="113" t="e">
        <f t="shared" ref="H19:K19" si="14">H18/H5</f>
        <v>#DIV/0!</v>
      </c>
      <c r="I19" s="113" t="e">
        <f t="shared" si="14"/>
        <v>#DIV/0!</v>
      </c>
      <c r="J19" s="113" t="e">
        <f t="shared" si="14"/>
        <v>#DIV/0!</v>
      </c>
      <c r="K19" s="113" t="e">
        <f t="shared" si="14"/>
        <v>#DIV/0!</v>
      </c>
    </row>
    <row r="20" spans="2:19" x14ac:dyDescent="0.6">
      <c r="B20" s="22" t="s">
        <v>108</v>
      </c>
      <c r="D20" s="22"/>
      <c r="E20" s="22"/>
      <c r="F20" s="22"/>
      <c r="G20" s="111" t="e">
        <f>G18/G21</f>
        <v>#DIV/0!</v>
      </c>
      <c r="H20" s="111" t="e">
        <f t="shared" ref="H20:K20" si="15">H18/H21</f>
        <v>#DIV/0!</v>
      </c>
      <c r="I20" s="111" t="e">
        <f t="shared" si="15"/>
        <v>#DIV/0!</v>
      </c>
      <c r="J20" s="111" t="e">
        <f t="shared" si="15"/>
        <v>#DIV/0!</v>
      </c>
      <c r="K20" s="111" t="e">
        <f t="shared" si="15"/>
        <v>#DIV/0!</v>
      </c>
    </row>
    <row r="21" spans="2:19" x14ac:dyDescent="0.6">
      <c r="B21" s="1" t="s">
        <v>177</v>
      </c>
      <c r="G21" s="92">
        <f>F21+O72</f>
        <v>0</v>
      </c>
      <c r="H21" s="92">
        <f t="shared" ref="H21:K21" si="16">G21+P72</f>
        <v>0</v>
      </c>
      <c r="I21" s="92">
        <f t="shared" si="16"/>
        <v>0</v>
      </c>
      <c r="J21" s="92">
        <f t="shared" si="16"/>
        <v>0</v>
      </c>
      <c r="K21" s="92">
        <f t="shared" si="16"/>
        <v>0</v>
      </c>
    </row>
    <row r="24" spans="2:19" ht="21" x14ac:dyDescent="0.75">
      <c r="B24" s="91" t="s">
        <v>96</v>
      </c>
      <c r="C24" s="90"/>
      <c r="D24" s="90" t="s">
        <v>22</v>
      </c>
      <c r="E24" s="90" t="s">
        <v>22</v>
      </c>
      <c r="F24" s="90" t="s">
        <v>22</v>
      </c>
      <c r="G24" s="90" t="s">
        <v>23</v>
      </c>
      <c r="H24" s="90" t="s">
        <v>23</v>
      </c>
      <c r="I24" s="90" t="s">
        <v>23</v>
      </c>
      <c r="J24" s="90" t="s">
        <v>23</v>
      </c>
      <c r="K24" s="90" t="s">
        <v>23</v>
      </c>
      <c r="M24" s="18" t="s">
        <v>141</v>
      </c>
      <c r="N24" s="19" t="s">
        <v>131</v>
      </c>
      <c r="O24" s="19" t="s">
        <v>132</v>
      </c>
      <c r="P24" s="19"/>
      <c r="Q24" s="19"/>
      <c r="R24" s="19"/>
      <c r="S24" s="19"/>
    </row>
    <row r="25" spans="2:19" x14ac:dyDescent="0.6">
      <c r="B25" s="94" t="s">
        <v>178</v>
      </c>
      <c r="G25" s="107">
        <f>G114</f>
        <v>0</v>
      </c>
      <c r="H25" s="93">
        <f t="shared" ref="H25:K25" si="17">H114</f>
        <v>0</v>
      </c>
      <c r="I25" s="93">
        <f t="shared" si="17"/>
        <v>0</v>
      </c>
      <c r="J25" s="93">
        <f t="shared" si="17"/>
        <v>0</v>
      </c>
      <c r="K25" s="93">
        <f t="shared" si="17"/>
        <v>0</v>
      </c>
      <c r="M25" s="1" t="s">
        <v>142</v>
      </c>
      <c r="O25" s="70"/>
      <c r="P25" s="70"/>
      <c r="Q25" s="70"/>
      <c r="R25" s="70"/>
      <c r="S25" s="70"/>
    </row>
    <row r="26" spans="2:19" x14ac:dyDescent="0.6">
      <c r="B26" s="94" t="s">
        <v>179</v>
      </c>
      <c r="G26" s="92" t="e">
        <f>(F$26/$F$5)*G$5</f>
        <v>#DIV/0!</v>
      </c>
      <c r="H26" s="92" t="e">
        <f t="shared" ref="H26:K26" si="18">(G$26/$F$5)*H$5</f>
        <v>#DIV/0!</v>
      </c>
      <c r="I26" s="92" t="e">
        <f t="shared" si="18"/>
        <v>#DIV/0!</v>
      </c>
      <c r="J26" s="92" t="e">
        <f t="shared" si="18"/>
        <v>#DIV/0!</v>
      </c>
      <c r="K26" s="92" t="e">
        <f t="shared" si="18"/>
        <v>#DIV/0!</v>
      </c>
      <c r="M26" s="1" t="s">
        <v>266</v>
      </c>
      <c r="O26" s="70"/>
      <c r="P26" s="70"/>
      <c r="Q26" s="70"/>
      <c r="R26" s="70"/>
      <c r="S26" s="70"/>
    </row>
    <row r="27" spans="2:19" x14ac:dyDescent="0.6">
      <c r="B27" s="94" t="s">
        <v>180</v>
      </c>
      <c r="G27" s="92" t="e">
        <f>(F$27/$F$5)*G$5</f>
        <v>#DIV/0!</v>
      </c>
      <c r="H27" s="92" t="e">
        <f t="shared" ref="H27:K27" si="19">(G$27/$F$5)*H$5</f>
        <v>#DIV/0!</v>
      </c>
      <c r="I27" s="92" t="e">
        <f t="shared" si="19"/>
        <v>#DIV/0!</v>
      </c>
      <c r="J27" s="92" t="e">
        <f t="shared" si="19"/>
        <v>#DIV/0!</v>
      </c>
      <c r="K27" s="92" t="e">
        <f t="shared" si="19"/>
        <v>#DIV/0!</v>
      </c>
      <c r="M27" s="1" t="s">
        <v>268</v>
      </c>
      <c r="O27" s="70"/>
      <c r="P27" s="70"/>
      <c r="Q27" s="20"/>
      <c r="R27" s="20"/>
      <c r="S27" s="20"/>
    </row>
    <row r="28" spans="2:19" x14ac:dyDescent="0.6">
      <c r="B28" s="94" t="s">
        <v>181</v>
      </c>
      <c r="G28" s="106">
        <f>G5*O26</f>
        <v>0</v>
      </c>
      <c r="H28" s="106">
        <f t="shared" ref="H28:K28" si="20">H5*P26</f>
        <v>0</v>
      </c>
      <c r="I28" s="106">
        <f t="shared" si="20"/>
        <v>0</v>
      </c>
      <c r="J28" s="106">
        <f t="shared" si="20"/>
        <v>0</v>
      </c>
      <c r="K28" s="106">
        <f t="shared" si="20"/>
        <v>0</v>
      </c>
    </row>
    <row r="29" spans="2:19" x14ac:dyDescent="0.6">
      <c r="B29" s="94" t="s">
        <v>182</v>
      </c>
      <c r="G29" s="92" t="e">
        <f>(F$29/$F$5)*G$5</f>
        <v>#DIV/0!</v>
      </c>
      <c r="H29" s="92" t="e">
        <f t="shared" ref="H29:K29" si="21">(G$29/$F$5)*H$5</f>
        <v>#DIV/0!</v>
      </c>
      <c r="I29" s="92" t="e">
        <f t="shared" si="21"/>
        <v>#DIV/0!</v>
      </c>
      <c r="J29" s="92" t="e">
        <f t="shared" si="21"/>
        <v>#DIV/0!</v>
      </c>
      <c r="K29" s="92" t="e">
        <f t="shared" si="21"/>
        <v>#DIV/0!</v>
      </c>
    </row>
    <row r="30" spans="2:19" x14ac:dyDescent="0.6">
      <c r="B30" s="94" t="s">
        <v>183</v>
      </c>
      <c r="G30" s="92" t="e">
        <f>(F$30/$F$5)*G$5</f>
        <v>#DIV/0!</v>
      </c>
      <c r="H30" s="92" t="e">
        <f t="shared" ref="H30:K30" si="22">(G$30/$F$5)*H$5</f>
        <v>#DIV/0!</v>
      </c>
      <c r="I30" s="92" t="e">
        <f t="shared" si="22"/>
        <v>#DIV/0!</v>
      </c>
      <c r="J30" s="92" t="e">
        <f t="shared" si="22"/>
        <v>#DIV/0!</v>
      </c>
      <c r="K30" s="92" t="e">
        <f t="shared" si="22"/>
        <v>#DIV/0!</v>
      </c>
    </row>
    <row r="31" spans="2:19" x14ac:dyDescent="0.6">
      <c r="B31" s="22" t="s">
        <v>68</v>
      </c>
      <c r="C31" s="22"/>
      <c r="D31" s="95"/>
      <c r="E31" s="95"/>
      <c r="F31" s="95"/>
      <c r="G31" s="96" t="e">
        <f>SUM(G25:G30)</f>
        <v>#DIV/0!</v>
      </c>
      <c r="H31" s="96" t="e">
        <f t="shared" ref="H31:K31" si="23">SUM(H25:H30)</f>
        <v>#DIV/0!</v>
      </c>
      <c r="I31" s="96" t="e">
        <f t="shared" si="23"/>
        <v>#DIV/0!</v>
      </c>
      <c r="J31" s="96" t="e">
        <f t="shared" si="23"/>
        <v>#DIV/0!</v>
      </c>
      <c r="K31" s="96" t="e">
        <f t="shared" si="23"/>
        <v>#DIV/0!</v>
      </c>
    </row>
    <row r="32" spans="2:19" x14ac:dyDescent="0.6">
      <c r="B32" s="94" t="s">
        <v>184</v>
      </c>
      <c r="G32" s="92" t="e">
        <f>(F$32/$F$5)*G$5</f>
        <v>#DIV/0!</v>
      </c>
      <c r="H32" s="92" t="e">
        <f t="shared" ref="H32:K32" si="24">(G$32/$F$5)*H$5</f>
        <v>#DIV/0!</v>
      </c>
      <c r="I32" s="92" t="e">
        <f t="shared" si="24"/>
        <v>#DIV/0!</v>
      </c>
      <c r="J32" s="92" t="e">
        <f t="shared" si="24"/>
        <v>#DIV/0!</v>
      </c>
      <c r="K32" s="92" t="e">
        <f t="shared" si="24"/>
        <v>#DIV/0!</v>
      </c>
    </row>
    <row r="33" spans="2:11" x14ac:dyDescent="0.6">
      <c r="B33" s="94" t="s">
        <v>185</v>
      </c>
      <c r="G33" s="92" t="e">
        <f>(F$33/$F$5)*G$5</f>
        <v>#DIV/0!</v>
      </c>
      <c r="H33" s="92" t="e">
        <f t="shared" ref="H33:K33" si="25">(G$33/$F$5)*H$5</f>
        <v>#DIV/0!</v>
      </c>
      <c r="I33" s="92" t="e">
        <f t="shared" si="25"/>
        <v>#DIV/0!</v>
      </c>
      <c r="J33" s="92" t="e">
        <f t="shared" si="25"/>
        <v>#DIV/0!</v>
      </c>
      <c r="K33" s="92" t="e">
        <f t="shared" si="25"/>
        <v>#DIV/0!</v>
      </c>
    </row>
    <row r="34" spans="2:11" x14ac:dyDescent="0.6">
      <c r="B34" s="94" t="s">
        <v>186</v>
      </c>
      <c r="G34" s="92" t="e">
        <f>(F$34/$F$5)*G$5</f>
        <v>#DIV/0!</v>
      </c>
      <c r="H34" s="92" t="e">
        <f t="shared" ref="H34:K34" si="26">(G$34/$F$5)*H$5</f>
        <v>#DIV/0!</v>
      </c>
      <c r="I34" s="92" t="e">
        <f t="shared" si="26"/>
        <v>#DIV/0!</v>
      </c>
      <c r="J34" s="92" t="e">
        <f t="shared" si="26"/>
        <v>#DIV/0!</v>
      </c>
      <c r="K34" s="92" t="e">
        <f t="shared" si="26"/>
        <v>#DIV/0!</v>
      </c>
    </row>
    <row r="35" spans="2:11" x14ac:dyDescent="0.6">
      <c r="B35" s="94" t="s">
        <v>187</v>
      </c>
      <c r="G35" s="92" t="e">
        <f>(F$35/$F$5)*G$5</f>
        <v>#DIV/0!</v>
      </c>
      <c r="H35" s="92" t="e">
        <f t="shared" ref="H35:K35" si="27">(G$35/$F$5)*H$5</f>
        <v>#DIV/0!</v>
      </c>
      <c r="I35" s="92" t="e">
        <f t="shared" si="27"/>
        <v>#DIV/0!</v>
      </c>
      <c r="J35" s="92" t="e">
        <f t="shared" si="27"/>
        <v>#DIV/0!</v>
      </c>
      <c r="K35" s="92" t="e">
        <f t="shared" si="27"/>
        <v>#DIV/0!</v>
      </c>
    </row>
    <row r="36" spans="2:11" x14ac:dyDescent="0.6">
      <c r="B36" s="94" t="s">
        <v>188</v>
      </c>
      <c r="G36" s="92" t="e">
        <f>(F$36/$F$5)*G$5</f>
        <v>#DIV/0!</v>
      </c>
      <c r="H36" s="92" t="e">
        <f t="shared" ref="H36:K36" si="28">(G$36/$F$5)*H$5</f>
        <v>#DIV/0!</v>
      </c>
      <c r="I36" s="92" t="e">
        <f t="shared" si="28"/>
        <v>#DIV/0!</v>
      </c>
      <c r="J36" s="92" t="e">
        <f t="shared" si="28"/>
        <v>#DIV/0!</v>
      </c>
      <c r="K36" s="92" t="e">
        <f t="shared" si="28"/>
        <v>#DIV/0!</v>
      </c>
    </row>
    <row r="37" spans="2:11" x14ac:dyDescent="0.6">
      <c r="B37" s="94" t="s">
        <v>189</v>
      </c>
      <c r="G37" s="92" t="e">
        <f>(F$37/$F$5)*G$5</f>
        <v>#DIV/0!</v>
      </c>
      <c r="H37" s="92" t="e">
        <f t="shared" ref="H37:K37" si="29">(G$37/$F$5)*H$5</f>
        <v>#DIV/0!</v>
      </c>
      <c r="I37" s="92" t="e">
        <f t="shared" si="29"/>
        <v>#DIV/0!</v>
      </c>
      <c r="J37" s="92" t="e">
        <f t="shared" si="29"/>
        <v>#DIV/0!</v>
      </c>
      <c r="K37" s="92" t="e">
        <f t="shared" si="29"/>
        <v>#DIV/0!</v>
      </c>
    </row>
    <row r="38" spans="2:11" x14ac:dyDescent="0.6">
      <c r="B38" s="94" t="s">
        <v>190</v>
      </c>
      <c r="G38" s="92" t="e">
        <f>(F$38/$F$5)*G$5</f>
        <v>#DIV/0!</v>
      </c>
      <c r="H38" s="92" t="e">
        <f t="shared" ref="H38:K38" si="30">(G$38/$F$5)*H$5</f>
        <v>#DIV/0!</v>
      </c>
      <c r="I38" s="92" t="e">
        <f t="shared" si="30"/>
        <v>#DIV/0!</v>
      </c>
      <c r="J38" s="92" t="e">
        <f t="shared" si="30"/>
        <v>#DIV/0!</v>
      </c>
      <c r="K38" s="92" t="e">
        <f t="shared" si="30"/>
        <v>#DIV/0!</v>
      </c>
    </row>
    <row r="39" spans="2:11" x14ac:dyDescent="0.6">
      <c r="B39" s="94" t="s">
        <v>191</v>
      </c>
      <c r="G39" s="92" t="e">
        <f>(F$39/$F$5)*G$5</f>
        <v>#DIV/0!</v>
      </c>
      <c r="H39" s="92" t="e">
        <f>(G$39/$F$5)*H$5</f>
        <v>#DIV/0!</v>
      </c>
      <c r="I39" s="92" t="e">
        <f>(H$39/$F$5)*I$5</f>
        <v>#DIV/0!</v>
      </c>
      <c r="J39" s="92" t="e">
        <f>(I$39/$F$5)*J$5</f>
        <v>#DIV/0!</v>
      </c>
      <c r="K39" s="92" t="e">
        <f>(J$39/$F$5)*K$5</f>
        <v>#DIV/0!</v>
      </c>
    </row>
    <row r="40" spans="2:11" x14ac:dyDescent="0.6">
      <c r="B40" s="124" t="s">
        <v>267</v>
      </c>
      <c r="G40" s="92" t="e">
        <f>G69-SUM(G32:G39)</f>
        <v>#DIV/0!</v>
      </c>
      <c r="H40" s="92" t="e">
        <f t="shared" ref="H40:K40" si="31">H69-SUM(H32:H39)</f>
        <v>#DIV/0!</v>
      </c>
      <c r="I40" s="92" t="e">
        <f t="shared" si="31"/>
        <v>#DIV/0!</v>
      </c>
      <c r="J40" s="92" t="e">
        <f t="shared" si="31"/>
        <v>#DIV/0!</v>
      </c>
      <c r="K40" s="92" t="e">
        <f t="shared" si="31"/>
        <v>#DIV/0!</v>
      </c>
    </row>
    <row r="41" spans="2:11" ht="16.899999999999999" thickBot="1" x14ac:dyDescent="0.65">
      <c r="B41" s="22" t="s">
        <v>259</v>
      </c>
      <c r="D41" s="97"/>
      <c r="E41" s="97"/>
      <c r="F41" s="97"/>
      <c r="G41" s="108" t="e">
        <f>SUM(G32:G38)</f>
        <v>#DIV/0!</v>
      </c>
      <c r="H41" s="108" t="e">
        <f t="shared" ref="H41:K41" si="32">SUM(H32:H38)</f>
        <v>#DIV/0!</v>
      </c>
      <c r="I41" s="108" t="e">
        <f t="shared" si="32"/>
        <v>#DIV/0!</v>
      </c>
      <c r="J41" s="108" t="e">
        <f t="shared" si="32"/>
        <v>#DIV/0!</v>
      </c>
      <c r="K41" s="108" t="e">
        <f t="shared" si="32"/>
        <v>#DIV/0!</v>
      </c>
    </row>
    <row r="42" spans="2:11" ht="16.899999999999999" thickTop="1" x14ac:dyDescent="0.6">
      <c r="B42" s="22" t="s">
        <v>69</v>
      </c>
      <c r="G42" s="109" t="e">
        <f>SUM(G31,G41)</f>
        <v>#DIV/0!</v>
      </c>
      <c r="H42" s="109" t="e">
        <f t="shared" ref="H42:K42" si="33">SUM(H31,H41)</f>
        <v>#DIV/0!</v>
      </c>
      <c r="I42" s="109" t="e">
        <f t="shared" si="33"/>
        <v>#DIV/0!</v>
      </c>
      <c r="J42" s="109" t="e">
        <f t="shared" si="33"/>
        <v>#DIV/0!</v>
      </c>
      <c r="K42" s="109" t="e">
        <f t="shared" si="33"/>
        <v>#DIV/0!</v>
      </c>
    </row>
    <row r="43" spans="2:11" x14ac:dyDescent="0.6">
      <c r="G43" s="92"/>
      <c r="H43" s="92"/>
      <c r="I43" s="92"/>
      <c r="J43" s="92"/>
      <c r="K43" s="92"/>
    </row>
    <row r="44" spans="2:11" x14ac:dyDescent="0.6">
      <c r="B44" s="94" t="s">
        <v>192</v>
      </c>
      <c r="G44" s="92" t="e">
        <f>(F$44/$F$5)*G$5</f>
        <v>#DIV/0!</v>
      </c>
      <c r="H44" s="92" t="e">
        <f t="shared" ref="H44:K44" si="34">(G$44/$F$5)*H$5</f>
        <v>#DIV/0!</v>
      </c>
      <c r="I44" s="92" t="e">
        <f t="shared" si="34"/>
        <v>#DIV/0!</v>
      </c>
      <c r="J44" s="92" t="e">
        <f t="shared" si="34"/>
        <v>#DIV/0!</v>
      </c>
      <c r="K44" s="92" t="e">
        <f t="shared" si="34"/>
        <v>#DIV/0!</v>
      </c>
    </row>
    <row r="45" spans="2:11" x14ac:dyDescent="0.6">
      <c r="B45" s="94" t="s">
        <v>193</v>
      </c>
      <c r="G45" s="92" t="e">
        <f>(F$45/$F$5)*G$5</f>
        <v>#DIV/0!</v>
      </c>
      <c r="H45" s="92" t="e">
        <f t="shared" ref="H45:K45" si="35">(G$45/$F$5)*H$5</f>
        <v>#DIV/0!</v>
      </c>
      <c r="I45" s="92" t="e">
        <f t="shared" si="35"/>
        <v>#DIV/0!</v>
      </c>
      <c r="J45" s="92" t="e">
        <f t="shared" si="35"/>
        <v>#DIV/0!</v>
      </c>
      <c r="K45" s="92" t="e">
        <f t="shared" si="35"/>
        <v>#DIV/0!</v>
      </c>
    </row>
    <row r="46" spans="2:11" x14ac:dyDescent="0.6">
      <c r="B46" s="94" t="s">
        <v>194</v>
      </c>
      <c r="G46" s="92" t="e">
        <f>(F$46/$F$5)*G$5</f>
        <v>#DIV/0!</v>
      </c>
      <c r="H46" s="92" t="e">
        <f t="shared" ref="H46:K46" si="36">(G$46/$F$5)*H$5</f>
        <v>#DIV/0!</v>
      </c>
      <c r="I46" s="92" t="e">
        <f t="shared" si="36"/>
        <v>#DIV/0!</v>
      </c>
      <c r="J46" s="92" t="e">
        <f t="shared" si="36"/>
        <v>#DIV/0!</v>
      </c>
      <c r="K46" s="92" t="e">
        <f t="shared" si="36"/>
        <v>#DIV/0!</v>
      </c>
    </row>
    <row r="47" spans="2:11" x14ac:dyDescent="0.6">
      <c r="B47" s="94" t="s">
        <v>195</v>
      </c>
      <c r="G47" s="92" t="e">
        <f>(F$47/$F$5)*G$5</f>
        <v>#DIV/0!</v>
      </c>
      <c r="H47" s="92" t="e">
        <f t="shared" ref="H47:K47" si="37">(G$47/$F$5)*H$5</f>
        <v>#DIV/0!</v>
      </c>
      <c r="I47" s="92" t="e">
        <f t="shared" si="37"/>
        <v>#DIV/0!</v>
      </c>
      <c r="J47" s="92" t="e">
        <f t="shared" si="37"/>
        <v>#DIV/0!</v>
      </c>
      <c r="K47" s="92" t="e">
        <f t="shared" si="37"/>
        <v>#DIV/0!</v>
      </c>
    </row>
    <row r="48" spans="2:11" x14ac:dyDescent="0.6">
      <c r="B48" s="94" t="s">
        <v>196</v>
      </c>
      <c r="G48" s="92" t="e">
        <f>(F$48/$F$5)*G$5</f>
        <v>#DIV/0!</v>
      </c>
      <c r="H48" s="92" t="e">
        <f t="shared" ref="H48:K48" si="38">(G$48/$F$5)*H$5</f>
        <v>#DIV/0!</v>
      </c>
      <c r="I48" s="92" t="e">
        <f t="shared" si="38"/>
        <v>#DIV/0!</v>
      </c>
      <c r="J48" s="92" t="e">
        <f t="shared" si="38"/>
        <v>#DIV/0!</v>
      </c>
      <c r="K48" s="92" t="e">
        <f t="shared" si="38"/>
        <v>#DIV/0!</v>
      </c>
    </row>
    <row r="49" spans="2:11" x14ac:dyDescent="0.6">
      <c r="B49" s="94" t="s">
        <v>197</v>
      </c>
      <c r="G49" s="92" t="e">
        <f>(F$49/$F$5)*G$5</f>
        <v>#DIV/0!</v>
      </c>
      <c r="H49" s="92" t="e">
        <f t="shared" ref="H49:K49" si="39">(G$49/$F$5)*H$5</f>
        <v>#DIV/0!</v>
      </c>
      <c r="I49" s="92" t="e">
        <f t="shared" si="39"/>
        <v>#DIV/0!</v>
      </c>
      <c r="J49" s="92" t="e">
        <f t="shared" si="39"/>
        <v>#DIV/0!</v>
      </c>
      <c r="K49" s="92" t="e">
        <f t="shared" si="39"/>
        <v>#DIV/0!</v>
      </c>
    </row>
    <row r="50" spans="2:11" x14ac:dyDescent="0.6">
      <c r="B50" s="94" t="s">
        <v>198</v>
      </c>
      <c r="G50" s="92" t="e">
        <f>(F$50/$F$5)*G$5</f>
        <v>#DIV/0!</v>
      </c>
      <c r="H50" s="92" t="e">
        <f t="shared" ref="H50:K50" si="40">(G$50/$F$5)*H$5</f>
        <v>#DIV/0!</v>
      </c>
      <c r="I50" s="92" t="e">
        <f t="shared" si="40"/>
        <v>#DIV/0!</v>
      </c>
      <c r="J50" s="92" t="e">
        <f t="shared" si="40"/>
        <v>#DIV/0!</v>
      </c>
      <c r="K50" s="92" t="e">
        <f t="shared" si="40"/>
        <v>#DIV/0!</v>
      </c>
    </row>
    <row r="51" spans="2:11" x14ac:dyDescent="0.6">
      <c r="B51" s="94" t="s">
        <v>199</v>
      </c>
      <c r="G51" s="92" t="e">
        <f>(F$51/$F$5)*G$5</f>
        <v>#DIV/0!</v>
      </c>
      <c r="H51" s="92" t="e">
        <f t="shared" ref="H51:K51" si="41">(G$51/$F$5)*H$5</f>
        <v>#DIV/0!</v>
      </c>
      <c r="I51" s="92" t="e">
        <f t="shared" si="41"/>
        <v>#DIV/0!</v>
      </c>
      <c r="J51" s="92" t="e">
        <f t="shared" si="41"/>
        <v>#DIV/0!</v>
      </c>
      <c r="K51" s="92" t="e">
        <f t="shared" si="41"/>
        <v>#DIV/0!</v>
      </c>
    </row>
    <row r="52" spans="2:11" x14ac:dyDescent="0.6">
      <c r="B52" s="22" t="s">
        <v>200</v>
      </c>
      <c r="D52" s="23"/>
      <c r="E52" s="23"/>
      <c r="F52" s="23"/>
      <c r="G52" s="96" t="e">
        <f>SUM(G44:G51)</f>
        <v>#DIV/0!</v>
      </c>
      <c r="H52" s="96" t="e">
        <f t="shared" ref="H52:K52" si="42">SUM(H44:H51)</f>
        <v>#DIV/0!</v>
      </c>
      <c r="I52" s="96" t="e">
        <f t="shared" si="42"/>
        <v>#DIV/0!</v>
      </c>
      <c r="J52" s="96" t="e">
        <f t="shared" si="42"/>
        <v>#DIV/0!</v>
      </c>
      <c r="K52" s="96" t="e">
        <f t="shared" si="42"/>
        <v>#DIV/0!</v>
      </c>
    </row>
    <row r="53" spans="2:11" x14ac:dyDescent="0.6">
      <c r="B53" s="94" t="s">
        <v>201</v>
      </c>
      <c r="G53" s="92">
        <f>F53*(1+O27)</f>
        <v>0</v>
      </c>
      <c r="H53" s="92">
        <f t="shared" ref="H53:K53" si="43">G53*(1+P27)</f>
        <v>0</v>
      </c>
      <c r="I53" s="92">
        <f t="shared" si="43"/>
        <v>0</v>
      </c>
      <c r="J53" s="92">
        <f t="shared" si="43"/>
        <v>0</v>
      </c>
      <c r="K53" s="92">
        <f t="shared" si="43"/>
        <v>0</v>
      </c>
    </row>
    <row r="54" spans="2:11" x14ac:dyDescent="0.6">
      <c r="B54" s="94" t="s">
        <v>202</v>
      </c>
      <c r="G54" s="92" t="e">
        <f>(F$54/$F$5)*G$5</f>
        <v>#DIV/0!</v>
      </c>
      <c r="H54" s="92" t="e">
        <f t="shared" ref="H54:K54" si="44">(G$54/$F$5)*H$5</f>
        <v>#DIV/0!</v>
      </c>
      <c r="I54" s="92" t="e">
        <f t="shared" si="44"/>
        <v>#DIV/0!</v>
      </c>
      <c r="J54" s="92" t="e">
        <f t="shared" si="44"/>
        <v>#DIV/0!</v>
      </c>
      <c r="K54" s="92" t="e">
        <f t="shared" si="44"/>
        <v>#DIV/0!</v>
      </c>
    </row>
    <row r="55" spans="2:11" x14ac:dyDescent="0.6">
      <c r="B55" s="94" t="s">
        <v>203</v>
      </c>
      <c r="G55" s="92" t="e">
        <f>(F$55/$F$5)*G$5</f>
        <v>#DIV/0!</v>
      </c>
      <c r="H55" s="92" t="e">
        <f t="shared" ref="H55:K55" si="45">(G$55/$F$5)*H$5</f>
        <v>#DIV/0!</v>
      </c>
      <c r="I55" s="92" t="e">
        <f t="shared" si="45"/>
        <v>#DIV/0!</v>
      </c>
      <c r="J55" s="92" t="e">
        <f t="shared" si="45"/>
        <v>#DIV/0!</v>
      </c>
      <c r="K55" s="92" t="e">
        <f t="shared" si="45"/>
        <v>#DIV/0!</v>
      </c>
    </row>
    <row r="56" spans="2:11" x14ac:dyDescent="0.6">
      <c r="B56" s="94" t="s">
        <v>204</v>
      </c>
      <c r="G56" s="92" t="e">
        <f>(F$56/$F$5)*G$5</f>
        <v>#DIV/0!</v>
      </c>
      <c r="H56" s="92" t="e">
        <f t="shared" ref="H56:K56" si="46">(G$56/$F$5)*H$5</f>
        <v>#DIV/0!</v>
      </c>
      <c r="I56" s="92" t="e">
        <f t="shared" si="46"/>
        <v>#DIV/0!</v>
      </c>
      <c r="J56" s="92" t="e">
        <f t="shared" si="46"/>
        <v>#DIV/0!</v>
      </c>
      <c r="K56" s="92" t="e">
        <f t="shared" si="46"/>
        <v>#DIV/0!</v>
      </c>
    </row>
    <row r="57" spans="2:11" x14ac:dyDescent="0.6">
      <c r="B57" s="94" t="s">
        <v>205</v>
      </c>
      <c r="G57" s="92" t="e">
        <f>(F$57/$F$5)*G$5</f>
        <v>#DIV/0!</v>
      </c>
      <c r="H57" s="92" t="e">
        <f t="shared" ref="H57:K57" si="47">(G$57/$F$5)*H$5</f>
        <v>#DIV/0!</v>
      </c>
      <c r="I57" s="92" t="e">
        <f t="shared" si="47"/>
        <v>#DIV/0!</v>
      </c>
      <c r="J57" s="92" t="e">
        <f t="shared" si="47"/>
        <v>#DIV/0!</v>
      </c>
      <c r="K57" s="92" t="e">
        <f t="shared" si="47"/>
        <v>#DIV/0!</v>
      </c>
    </row>
    <row r="58" spans="2:11" ht="16.899999999999999" thickBot="1" x14ac:dyDescent="0.65">
      <c r="B58" s="22" t="s">
        <v>206</v>
      </c>
      <c r="D58" s="97"/>
      <c r="E58" s="97"/>
      <c r="F58" s="97"/>
      <c r="G58" s="108" t="e">
        <f>SUM(G53:G57)</f>
        <v>#DIV/0!</v>
      </c>
      <c r="H58" s="108" t="e">
        <f t="shared" ref="H58:K58" si="48">SUM(H53:H57)</f>
        <v>#DIV/0!</v>
      </c>
      <c r="I58" s="108" t="e">
        <f t="shared" si="48"/>
        <v>#DIV/0!</v>
      </c>
      <c r="J58" s="108" t="e">
        <f t="shared" si="48"/>
        <v>#DIV/0!</v>
      </c>
      <c r="K58" s="108" t="e">
        <f t="shared" si="48"/>
        <v>#DIV/0!</v>
      </c>
    </row>
    <row r="59" spans="2:11" ht="16.899999999999999" thickTop="1" x14ac:dyDescent="0.6">
      <c r="B59" s="22" t="s">
        <v>207</v>
      </c>
      <c r="G59" s="109" t="e">
        <f>SUM(G52,G58)</f>
        <v>#DIV/0!</v>
      </c>
      <c r="H59" s="109" t="e">
        <f t="shared" ref="H59:K59" si="49">SUM(H52,H58)</f>
        <v>#DIV/0!</v>
      </c>
      <c r="I59" s="109" t="e">
        <f t="shared" si="49"/>
        <v>#DIV/0!</v>
      </c>
      <c r="J59" s="109" t="e">
        <f t="shared" si="49"/>
        <v>#DIV/0!</v>
      </c>
      <c r="K59" s="109" t="e">
        <f t="shared" si="49"/>
        <v>#DIV/0!</v>
      </c>
    </row>
    <row r="60" spans="2:11" x14ac:dyDescent="0.6">
      <c r="G60" s="92"/>
      <c r="H60" s="92"/>
      <c r="I60" s="92"/>
      <c r="J60" s="92"/>
      <c r="K60" s="92"/>
    </row>
    <row r="61" spans="2:11" x14ac:dyDescent="0.6">
      <c r="B61" s="1" t="s">
        <v>209</v>
      </c>
      <c r="G61" s="92" t="e">
        <f>(F$61/$F$5)*G$5</f>
        <v>#DIV/0!</v>
      </c>
      <c r="H61" s="92" t="e">
        <f t="shared" ref="H61:K61" si="50">(G$61/$F$5)*H$5</f>
        <v>#DIV/0!</v>
      </c>
      <c r="I61" s="92" t="e">
        <f t="shared" si="50"/>
        <v>#DIV/0!</v>
      </c>
      <c r="J61" s="92" t="e">
        <f t="shared" si="50"/>
        <v>#DIV/0!</v>
      </c>
      <c r="K61" s="92" t="e">
        <f t="shared" si="50"/>
        <v>#DIV/0!</v>
      </c>
    </row>
    <row r="62" spans="2:11" x14ac:dyDescent="0.6">
      <c r="B62" s="1" t="s">
        <v>208</v>
      </c>
      <c r="G62" s="92" t="e">
        <f>(F$62/$F$5)*G$5</f>
        <v>#DIV/0!</v>
      </c>
      <c r="H62" s="92" t="e">
        <f t="shared" ref="H62:K62" si="51">(G$62/$F$5)*H$5</f>
        <v>#DIV/0!</v>
      </c>
      <c r="I62" s="92" t="e">
        <f t="shared" si="51"/>
        <v>#DIV/0!</v>
      </c>
      <c r="J62" s="92" t="e">
        <f t="shared" si="51"/>
        <v>#DIV/0!</v>
      </c>
      <c r="K62" s="92" t="e">
        <f t="shared" si="51"/>
        <v>#DIV/0!</v>
      </c>
    </row>
    <row r="63" spans="2:11" x14ac:dyDescent="0.6">
      <c r="B63" s="1" t="s">
        <v>210</v>
      </c>
      <c r="G63" s="92" t="e">
        <f>(F$63/$F$5)*G$5</f>
        <v>#DIV/0!</v>
      </c>
      <c r="H63" s="92" t="e">
        <f t="shared" ref="H63:K63" si="52">(G$63/$F$5)*H$5</f>
        <v>#DIV/0!</v>
      </c>
      <c r="I63" s="92" t="e">
        <f t="shared" si="52"/>
        <v>#DIV/0!</v>
      </c>
      <c r="J63" s="92" t="e">
        <f t="shared" si="52"/>
        <v>#DIV/0!</v>
      </c>
      <c r="K63" s="92" t="e">
        <f t="shared" si="52"/>
        <v>#DIV/0!</v>
      </c>
    </row>
    <row r="64" spans="2:11" x14ac:dyDescent="0.6">
      <c r="B64" s="1" t="s">
        <v>211</v>
      </c>
      <c r="G64" s="92" t="e">
        <f>(F$64/$F$5)*G$5</f>
        <v>#DIV/0!</v>
      </c>
      <c r="H64" s="92" t="e">
        <f t="shared" ref="H64:K64" si="53">(G$64/$F$5)*H$5</f>
        <v>#DIV/0!</v>
      </c>
      <c r="I64" s="92" t="e">
        <f t="shared" si="53"/>
        <v>#DIV/0!</v>
      </c>
      <c r="J64" s="92" t="e">
        <f t="shared" si="53"/>
        <v>#DIV/0!</v>
      </c>
      <c r="K64" s="92" t="e">
        <f t="shared" si="53"/>
        <v>#DIV/0!</v>
      </c>
    </row>
    <row r="65" spans="2:19" x14ac:dyDescent="0.6">
      <c r="B65" s="1" t="s">
        <v>212</v>
      </c>
      <c r="G65" s="92" t="e">
        <f>(F$65/$F$5)*G$5</f>
        <v>#DIV/0!</v>
      </c>
      <c r="H65" s="92" t="e">
        <f t="shared" ref="H65:K65" si="54">(G$65/$F$5)*H$5</f>
        <v>#DIV/0!</v>
      </c>
      <c r="I65" s="92" t="e">
        <f t="shared" si="54"/>
        <v>#DIV/0!</v>
      </c>
      <c r="J65" s="92" t="e">
        <f t="shared" si="54"/>
        <v>#DIV/0!</v>
      </c>
      <c r="K65" s="92" t="e">
        <f t="shared" si="54"/>
        <v>#DIV/0!</v>
      </c>
    </row>
    <row r="66" spans="2:19" x14ac:dyDescent="0.6">
      <c r="B66" s="1" t="s">
        <v>213</v>
      </c>
      <c r="G66" s="92" t="e">
        <f>(F$66/$F$5)*G$5</f>
        <v>#DIV/0!</v>
      </c>
      <c r="H66" s="92" t="e">
        <f t="shared" ref="H66:K66" si="55">(G$66/$F$5)*H$5</f>
        <v>#DIV/0!</v>
      </c>
      <c r="I66" s="92" t="e">
        <f t="shared" si="55"/>
        <v>#DIV/0!</v>
      </c>
      <c r="J66" s="92" t="e">
        <f t="shared" si="55"/>
        <v>#DIV/0!</v>
      </c>
      <c r="K66" s="92" t="e">
        <f t="shared" si="55"/>
        <v>#DIV/0!</v>
      </c>
    </row>
    <row r="67" spans="2:19" ht="16.899999999999999" thickBot="1" x14ac:dyDescent="0.65">
      <c r="B67" s="1" t="s">
        <v>214</v>
      </c>
      <c r="D67" s="98"/>
      <c r="E67" s="98"/>
      <c r="F67" s="98"/>
      <c r="G67" s="99" t="e">
        <f>(F$67/$F$5)*G$5</f>
        <v>#DIV/0!</v>
      </c>
      <c r="H67" s="99" t="e">
        <f t="shared" ref="H67:K67" si="56">(G$67/$F$5)*H$5</f>
        <v>#DIV/0!</v>
      </c>
      <c r="I67" s="99" t="e">
        <f t="shared" si="56"/>
        <v>#DIV/0!</v>
      </c>
      <c r="J67" s="99" t="e">
        <f t="shared" si="56"/>
        <v>#DIV/0!</v>
      </c>
      <c r="K67" s="99" t="e">
        <f t="shared" si="56"/>
        <v>#DIV/0!</v>
      </c>
    </row>
    <row r="68" spans="2:19" ht="17.25" thickTop="1" thickBot="1" x14ac:dyDescent="0.65">
      <c r="B68" s="22" t="s">
        <v>215</v>
      </c>
      <c r="D68" s="98"/>
      <c r="E68" s="98"/>
      <c r="F68" s="98"/>
      <c r="G68" s="110" t="e">
        <f>SUM(G61:G67)</f>
        <v>#DIV/0!</v>
      </c>
      <c r="H68" s="110" t="e">
        <f t="shared" ref="H68:K68" si="57">SUM(H61:H67)</f>
        <v>#DIV/0!</v>
      </c>
      <c r="I68" s="110" t="e">
        <f t="shared" si="57"/>
        <v>#DIV/0!</v>
      </c>
      <c r="J68" s="110" t="e">
        <f t="shared" si="57"/>
        <v>#DIV/0!</v>
      </c>
      <c r="K68" s="110" t="e">
        <f t="shared" si="57"/>
        <v>#DIV/0!</v>
      </c>
    </row>
    <row r="69" spans="2:19" ht="16.899999999999999" thickTop="1" x14ac:dyDescent="0.6">
      <c r="B69" s="22" t="s">
        <v>216</v>
      </c>
      <c r="G69" s="96" t="e">
        <f>SUM(G68,G59)</f>
        <v>#DIV/0!</v>
      </c>
      <c r="H69" s="96" t="e">
        <f t="shared" ref="H69:K69" si="58">SUM(H68,H59)</f>
        <v>#DIV/0!</v>
      </c>
      <c r="I69" s="96" t="e">
        <f t="shared" si="58"/>
        <v>#DIV/0!</v>
      </c>
      <c r="J69" s="96" t="e">
        <f t="shared" si="58"/>
        <v>#DIV/0!</v>
      </c>
      <c r="K69" s="96" t="e">
        <f t="shared" si="58"/>
        <v>#DIV/0!</v>
      </c>
    </row>
    <row r="71" spans="2:19" ht="21" x14ac:dyDescent="0.75">
      <c r="B71" s="91" t="s">
        <v>98</v>
      </c>
      <c r="C71" s="90"/>
      <c r="D71" s="90" t="s">
        <v>22</v>
      </c>
      <c r="E71" s="90" t="s">
        <v>22</v>
      </c>
      <c r="F71" s="90" t="s">
        <v>22</v>
      </c>
      <c r="G71" s="90" t="s">
        <v>23</v>
      </c>
      <c r="H71" s="90" t="s">
        <v>23</v>
      </c>
      <c r="I71" s="90" t="s">
        <v>23</v>
      </c>
      <c r="J71" s="90" t="s">
        <v>23</v>
      </c>
      <c r="K71" s="90" t="s">
        <v>23</v>
      </c>
      <c r="M71" s="18" t="s">
        <v>130</v>
      </c>
      <c r="N71" s="19" t="s">
        <v>131</v>
      </c>
      <c r="O71" s="19" t="s">
        <v>132</v>
      </c>
      <c r="P71" s="19"/>
      <c r="Q71" s="19"/>
      <c r="R71" s="19"/>
      <c r="S71" s="19"/>
    </row>
    <row r="72" spans="2:19" x14ac:dyDescent="0.6">
      <c r="B72" s="1" t="s">
        <v>176</v>
      </c>
      <c r="G72" s="92" t="e">
        <f>G18</f>
        <v>#DIV/0!</v>
      </c>
      <c r="H72" s="92" t="e">
        <f t="shared" ref="H72:K72" si="59">H18</f>
        <v>#DIV/0!</v>
      </c>
      <c r="I72" s="92" t="e">
        <f t="shared" si="59"/>
        <v>#DIV/0!</v>
      </c>
      <c r="J72" s="92" t="e">
        <f t="shared" si="59"/>
        <v>#DIV/0!</v>
      </c>
      <c r="K72" s="92" t="e">
        <f t="shared" si="59"/>
        <v>#DIV/0!</v>
      </c>
      <c r="M72" s="1" t="s">
        <v>93</v>
      </c>
    </row>
    <row r="73" spans="2:19" x14ac:dyDescent="0.6">
      <c r="B73" s="1" t="s">
        <v>175</v>
      </c>
      <c r="G73" s="92" t="e">
        <f>O25*G32</f>
        <v>#DIV/0!</v>
      </c>
      <c r="H73" s="92" t="e">
        <f t="shared" ref="H73:K73" si="60">P25*H32</f>
        <v>#DIV/0!</v>
      </c>
      <c r="I73" s="92" t="e">
        <f t="shared" si="60"/>
        <v>#DIV/0!</v>
      </c>
      <c r="J73" s="92" t="e">
        <f t="shared" si="60"/>
        <v>#DIV/0!</v>
      </c>
      <c r="K73" s="92" t="e">
        <f t="shared" si="60"/>
        <v>#DIV/0!</v>
      </c>
      <c r="M73" s="1" t="s">
        <v>94</v>
      </c>
      <c r="O73" s="20"/>
      <c r="P73" s="20"/>
      <c r="Q73" s="70"/>
      <c r="R73" s="70"/>
      <c r="S73" s="70"/>
    </row>
    <row r="74" spans="2:19" x14ac:dyDescent="0.6">
      <c r="B74" s="1" t="s">
        <v>217</v>
      </c>
      <c r="G74" s="92" t="e">
        <f>(F$74/$F$5)*G$5</f>
        <v>#DIV/0!</v>
      </c>
      <c r="H74" s="92" t="e">
        <f t="shared" ref="H74:K74" si="61">(G$74/$F$5)*H$5</f>
        <v>#DIV/0!</v>
      </c>
      <c r="I74" s="92" t="e">
        <f t="shared" si="61"/>
        <v>#DIV/0!</v>
      </c>
      <c r="J74" s="92" t="e">
        <f t="shared" si="61"/>
        <v>#DIV/0!</v>
      </c>
      <c r="K74" s="92" t="e">
        <f t="shared" si="61"/>
        <v>#DIV/0!</v>
      </c>
      <c r="M74" s="1" t="s">
        <v>143</v>
      </c>
    </row>
    <row r="75" spans="2:19" x14ac:dyDescent="0.6">
      <c r="B75" s="1" t="s">
        <v>218</v>
      </c>
      <c r="G75" s="92" t="e">
        <f>(F$75/$F$5)*G$5</f>
        <v>#DIV/0!</v>
      </c>
      <c r="H75" s="92"/>
      <c r="I75" s="92"/>
      <c r="J75" s="92"/>
      <c r="K75" s="92"/>
    </row>
    <row r="76" spans="2:19" x14ac:dyDescent="0.6">
      <c r="B76" s="1" t="s">
        <v>219</v>
      </c>
      <c r="G76" s="106" t="e">
        <f>(G31-G52)-(F31-F52)</f>
        <v>#DIV/0!</v>
      </c>
      <c r="H76" s="106" t="e">
        <f t="shared" ref="H76:K76" si="62">(H31-H52)-(G31-G52)</f>
        <v>#DIV/0!</v>
      </c>
      <c r="I76" s="106" t="e">
        <f t="shared" si="62"/>
        <v>#DIV/0!</v>
      </c>
      <c r="J76" s="106" t="e">
        <f t="shared" si="62"/>
        <v>#DIV/0!</v>
      </c>
      <c r="K76" s="106" t="e">
        <f t="shared" si="62"/>
        <v>#DIV/0!</v>
      </c>
    </row>
    <row r="77" spans="2:19" x14ac:dyDescent="0.6">
      <c r="B77" s="1" t="s">
        <v>220</v>
      </c>
      <c r="G77" s="92" t="e">
        <f>G27-F27</f>
        <v>#DIV/0!</v>
      </c>
      <c r="H77" s="92" t="e">
        <f t="shared" ref="H77:K77" si="63">H27-G27</f>
        <v>#DIV/0!</v>
      </c>
      <c r="I77" s="92" t="e">
        <f t="shared" si="63"/>
        <v>#DIV/0!</v>
      </c>
      <c r="J77" s="92" t="e">
        <f t="shared" si="63"/>
        <v>#DIV/0!</v>
      </c>
      <c r="K77" s="92" t="e">
        <f t="shared" si="63"/>
        <v>#DIV/0!</v>
      </c>
    </row>
    <row r="78" spans="2:19" x14ac:dyDescent="0.6">
      <c r="B78" s="1" t="s">
        <v>221</v>
      </c>
      <c r="G78" s="106">
        <f>G28-F28</f>
        <v>0</v>
      </c>
      <c r="H78" s="106">
        <f t="shared" ref="H78:K78" si="64">H28-G28</f>
        <v>0</v>
      </c>
      <c r="I78" s="106">
        <f t="shared" si="64"/>
        <v>0</v>
      </c>
      <c r="J78" s="106">
        <f t="shared" si="64"/>
        <v>0</v>
      </c>
      <c r="K78" s="106">
        <f t="shared" si="64"/>
        <v>0</v>
      </c>
    </row>
    <row r="79" spans="2:19" x14ac:dyDescent="0.6">
      <c r="B79" s="1" t="s">
        <v>222</v>
      </c>
      <c r="G79" s="92" t="e">
        <f>G44-F44</f>
        <v>#DIV/0!</v>
      </c>
      <c r="H79" s="92" t="e">
        <f t="shared" ref="H79:K79" si="65">H44-G44</f>
        <v>#DIV/0!</v>
      </c>
      <c r="I79" s="92" t="e">
        <f t="shared" si="65"/>
        <v>#DIV/0!</v>
      </c>
      <c r="J79" s="92" t="e">
        <f t="shared" si="65"/>
        <v>#DIV/0!</v>
      </c>
      <c r="K79" s="92" t="e">
        <f t="shared" si="65"/>
        <v>#DIV/0!</v>
      </c>
    </row>
    <row r="80" spans="2:19" x14ac:dyDescent="0.6">
      <c r="B80" s="1" t="s">
        <v>223</v>
      </c>
      <c r="G80" s="92" t="e">
        <f>(F$80/$F$5)*G$5</f>
        <v>#DIV/0!</v>
      </c>
      <c r="H80" s="92" t="e">
        <f t="shared" ref="H80:K80" si="66">(G$80/$F$5)*H$5</f>
        <v>#DIV/0!</v>
      </c>
      <c r="I80" s="92" t="e">
        <f t="shared" si="66"/>
        <v>#DIV/0!</v>
      </c>
      <c r="J80" s="92" t="e">
        <f t="shared" si="66"/>
        <v>#DIV/0!</v>
      </c>
      <c r="K80" s="92" t="e">
        <f t="shared" si="66"/>
        <v>#DIV/0!</v>
      </c>
    </row>
    <row r="81" spans="2:11" ht="16.899999999999999" thickBot="1" x14ac:dyDescent="0.65">
      <c r="B81" s="1" t="s">
        <v>224</v>
      </c>
      <c r="D81" s="98"/>
      <c r="E81" s="98"/>
      <c r="F81" s="98"/>
      <c r="G81" s="99" t="e">
        <f>(F$81/$F$5)*G$5</f>
        <v>#DIV/0!</v>
      </c>
      <c r="H81" s="99" t="e">
        <f t="shared" ref="H81:K81" si="67">(G$81/$F$5)*H$5</f>
        <v>#DIV/0!</v>
      </c>
      <c r="I81" s="99" t="e">
        <f t="shared" si="67"/>
        <v>#DIV/0!</v>
      </c>
      <c r="J81" s="99" t="e">
        <f t="shared" si="67"/>
        <v>#DIV/0!</v>
      </c>
      <c r="K81" s="99" t="e">
        <f t="shared" si="67"/>
        <v>#DIV/0!</v>
      </c>
    </row>
    <row r="82" spans="2:11" ht="16.899999999999999" thickTop="1" x14ac:dyDescent="0.6">
      <c r="B82" s="22" t="s">
        <v>225</v>
      </c>
      <c r="G82" s="112" t="e">
        <f>SUM(G72:G81)</f>
        <v>#DIV/0!</v>
      </c>
      <c r="H82" s="112" t="e">
        <f t="shared" ref="H82:K82" si="68">SUM(H72:H81)</f>
        <v>#DIV/0!</v>
      </c>
      <c r="I82" s="112" t="e">
        <f t="shared" si="68"/>
        <v>#DIV/0!</v>
      </c>
      <c r="J82" s="112" t="e">
        <f t="shared" si="68"/>
        <v>#DIV/0!</v>
      </c>
      <c r="K82" s="112" t="e">
        <f t="shared" si="68"/>
        <v>#DIV/0!</v>
      </c>
    </row>
    <row r="83" spans="2:11" x14ac:dyDescent="0.6">
      <c r="G83" s="92"/>
      <c r="H83" s="92"/>
      <c r="I83" s="92"/>
      <c r="J83" s="92"/>
      <c r="K83" s="92"/>
    </row>
    <row r="84" spans="2:11" x14ac:dyDescent="0.6">
      <c r="B84" s="1" t="s">
        <v>226</v>
      </c>
      <c r="G84" s="92">
        <f>O74</f>
        <v>0</v>
      </c>
      <c r="H84" s="92">
        <f t="shared" ref="H84:K84" si="69">P74</f>
        <v>0</v>
      </c>
      <c r="I84" s="92">
        <f t="shared" si="69"/>
        <v>0</v>
      </c>
      <c r="J84" s="92">
        <f t="shared" si="69"/>
        <v>0</v>
      </c>
      <c r="K84" s="92">
        <f t="shared" si="69"/>
        <v>0</v>
      </c>
    </row>
    <row r="85" spans="2:11" x14ac:dyDescent="0.6">
      <c r="B85" s="1" t="s">
        <v>227</v>
      </c>
      <c r="G85" s="92" t="e">
        <f>(F$85/$F$5)*G$5</f>
        <v>#DIV/0!</v>
      </c>
      <c r="H85" s="92" t="e">
        <f t="shared" ref="H85:K85" si="70">(G$85/$F$5)*H$5</f>
        <v>#DIV/0!</v>
      </c>
      <c r="I85" s="92" t="e">
        <f t="shared" si="70"/>
        <v>#DIV/0!</v>
      </c>
      <c r="J85" s="92" t="e">
        <f t="shared" si="70"/>
        <v>#DIV/0!</v>
      </c>
      <c r="K85" s="92" t="e">
        <f t="shared" si="70"/>
        <v>#DIV/0!</v>
      </c>
    </row>
    <row r="86" spans="2:11" x14ac:dyDescent="0.6">
      <c r="B86" s="1" t="s">
        <v>228</v>
      </c>
      <c r="G86" s="92" t="e">
        <f>(F$86/$F$5)*G$5</f>
        <v>#DIV/0!</v>
      </c>
      <c r="H86" s="92" t="e">
        <f t="shared" ref="H86:K86" si="71">(G$86/$F$5)*H$5</f>
        <v>#DIV/0!</v>
      </c>
      <c r="I86" s="92" t="e">
        <f t="shared" si="71"/>
        <v>#DIV/0!</v>
      </c>
      <c r="J86" s="92" t="e">
        <f t="shared" si="71"/>
        <v>#DIV/0!</v>
      </c>
      <c r="K86" s="92" t="e">
        <f t="shared" si="71"/>
        <v>#DIV/0!</v>
      </c>
    </row>
    <row r="87" spans="2:11" x14ac:dyDescent="0.6">
      <c r="B87" s="1" t="s">
        <v>229</v>
      </c>
      <c r="G87" s="92" t="e">
        <f>(F$87/$F$5)*G$5</f>
        <v>#DIV/0!</v>
      </c>
      <c r="H87" s="92" t="e">
        <f t="shared" ref="H87:K87" si="72">(G$87/$F$5)*H$5</f>
        <v>#DIV/0!</v>
      </c>
      <c r="I87" s="92" t="e">
        <f t="shared" si="72"/>
        <v>#DIV/0!</v>
      </c>
      <c r="J87" s="92" t="e">
        <f t="shared" si="72"/>
        <v>#DIV/0!</v>
      </c>
      <c r="K87" s="92" t="e">
        <f t="shared" si="72"/>
        <v>#DIV/0!</v>
      </c>
    </row>
    <row r="88" spans="2:11" ht="16.899999999999999" thickBot="1" x14ac:dyDescent="0.65">
      <c r="B88" s="1" t="s">
        <v>230</v>
      </c>
      <c r="D88" s="98"/>
      <c r="E88" s="98"/>
      <c r="F88" s="98"/>
      <c r="G88" s="99" t="e">
        <f>(F$88/$F$5)*G$5</f>
        <v>#DIV/0!</v>
      </c>
      <c r="H88" s="99" t="e">
        <f t="shared" ref="H88:K88" si="73">(G$88/$F$5)*H$5</f>
        <v>#DIV/0!</v>
      </c>
      <c r="I88" s="99" t="e">
        <f t="shared" si="73"/>
        <v>#DIV/0!</v>
      </c>
      <c r="J88" s="99" t="e">
        <f t="shared" si="73"/>
        <v>#DIV/0!</v>
      </c>
      <c r="K88" s="99" t="e">
        <f t="shared" si="73"/>
        <v>#DIV/0!</v>
      </c>
    </row>
    <row r="89" spans="2:11" ht="16.899999999999999" thickTop="1" x14ac:dyDescent="0.6">
      <c r="B89" s="22" t="s">
        <v>231</v>
      </c>
      <c r="D89" s="22"/>
      <c r="E89" s="22"/>
      <c r="F89" s="22"/>
      <c r="G89" s="109" t="e">
        <f>SUM(G84:G88)</f>
        <v>#DIV/0!</v>
      </c>
      <c r="H89" s="109" t="e">
        <f t="shared" ref="H89:K89" si="74">SUM(H84:H88)</f>
        <v>#DIV/0!</v>
      </c>
      <c r="I89" s="109" t="e">
        <f t="shared" si="74"/>
        <v>#DIV/0!</v>
      </c>
      <c r="J89" s="109" t="e">
        <f t="shared" si="74"/>
        <v>#DIV/0!</v>
      </c>
      <c r="K89" s="109" t="e">
        <f t="shared" si="74"/>
        <v>#DIV/0!</v>
      </c>
    </row>
    <row r="90" spans="2:11" x14ac:dyDescent="0.6">
      <c r="G90" s="92"/>
      <c r="H90" s="92"/>
      <c r="I90" s="92"/>
      <c r="J90" s="92"/>
      <c r="K90" s="92"/>
    </row>
    <row r="91" spans="2:11" x14ac:dyDescent="0.6">
      <c r="B91" s="1" t="s">
        <v>227</v>
      </c>
      <c r="G91" s="92" t="e">
        <f>(F$91/$F$5)*G$5</f>
        <v>#DIV/0!</v>
      </c>
      <c r="H91" s="92" t="e">
        <f t="shared" ref="H91:K91" si="75">(G$91/$F$5)*H$5</f>
        <v>#DIV/0!</v>
      </c>
      <c r="I91" s="92" t="e">
        <f t="shared" si="75"/>
        <v>#DIV/0!</v>
      </c>
      <c r="J91" s="92" t="e">
        <f t="shared" si="75"/>
        <v>#DIV/0!</v>
      </c>
      <c r="K91" s="92" t="e">
        <f t="shared" si="75"/>
        <v>#DIV/0!</v>
      </c>
    </row>
    <row r="92" spans="2:11" x14ac:dyDescent="0.6">
      <c r="B92" s="1" t="s">
        <v>228</v>
      </c>
      <c r="G92" s="92" t="e">
        <f>(F$92/$F$5)*G$5</f>
        <v>#DIV/0!</v>
      </c>
      <c r="H92" s="92" t="e">
        <f t="shared" ref="H92:K92" si="76">(G$92/$F$5)*H$5</f>
        <v>#DIV/0!</v>
      </c>
      <c r="I92" s="92" t="e">
        <f t="shared" si="76"/>
        <v>#DIV/0!</v>
      </c>
      <c r="J92" s="92" t="e">
        <f t="shared" si="76"/>
        <v>#DIV/0!</v>
      </c>
      <c r="K92" s="92" t="e">
        <f t="shared" si="76"/>
        <v>#DIV/0!</v>
      </c>
    </row>
    <row r="93" spans="2:11" x14ac:dyDescent="0.6">
      <c r="B93" s="1" t="s">
        <v>229</v>
      </c>
      <c r="G93" s="92" t="e">
        <f>(F$87/$F$5)*G$5</f>
        <v>#DIV/0!</v>
      </c>
      <c r="H93" s="92" t="e">
        <f t="shared" ref="H93:K93" si="77">(G$87/$F$5)*H$5</f>
        <v>#DIV/0!</v>
      </c>
      <c r="I93" s="92" t="e">
        <f t="shared" si="77"/>
        <v>#DIV/0!</v>
      </c>
      <c r="J93" s="92" t="e">
        <f t="shared" si="77"/>
        <v>#DIV/0!</v>
      </c>
      <c r="K93" s="92" t="e">
        <f t="shared" si="77"/>
        <v>#DIV/0!</v>
      </c>
    </row>
    <row r="94" spans="2:11" x14ac:dyDescent="0.6">
      <c r="B94" s="1" t="s">
        <v>230</v>
      </c>
      <c r="G94" s="92" t="e">
        <f>(F$94/$F$5)*G$5</f>
        <v>#DIV/0!</v>
      </c>
      <c r="H94" s="92" t="e">
        <f t="shared" ref="H94:K94" si="78">(G$94/$F$5)*H$5</f>
        <v>#DIV/0!</v>
      </c>
      <c r="I94" s="92" t="e">
        <f t="shared" si="78"/>
        <v>#DIV/0!</v>
      </c>
      <c r="J94" s="92" t="e">
        <f t="shared" si="78"/>
        <v>#DIV/0!</v>
      </c>
      <c r="K94" s="92" t="e">
        <f t="shared" si="78"/>
        <v>#DIV/0!</v>
      </c>
    </row>
    <row r="95" spans="2:11" x14ac:dyDescent="0.6">
      <c r="B95" s="1" t="s">
        <v>231</v>
      </c>
      <c r="G95" s="92" t="e">
        <f>(F$95/$F$5)*G$5</f>
        <v>#DIV/0!</v>
      </c>
      <c r="H95" s="92" t="e">
        <f t="shared" ref="H95:K95" si="79">(G$95/$F$5)*H$5</f>
        <v>#DIV/0!</v>
      </c>
      <c r="I95" s="92" t="e">
        <f t="shared" si="79"/>
        <v>#DIV/0!</v>
      </c>
      <c r="J95" s="92" t="e">
        <f t="shared" si="79"/>
        <v>#DIV/0!</v>
      </c>
      <c r="K95" s="92" t="e">
        <f t="shared" si="79"/>
        <v>#DIV/0!</v>
      </c>
    </row>
    <row r="96" spans="2:11" x14ac:dyDescent="0.6">
      <c r="B96" s="1" t="s">
        <v>232</v>
      </c>
      <c r="G96" s="92" t="e">
        <f>(F$96/$F$5)*G$5</f>
        <v>#DIV/0!</v>
      </c>
      <c r="H96" s="92" t="e">
        <f t="shared" ref="H96:K96" si="80">(G$96/$F$5)*H$5</f>
        <v>#DIV/0!</v>
      </c>
      <c r="I96" s="92" t="e">
        <f t="shared" si="80"/>
        <v>#DIV/0!</v>
      </c>
      <c r="J96" s="92" t="e">
        <f t="shared" si="80"/>
        <v>#DIV/0!</v>
      </c>
      <c r="K96" s="92" t="e">
        <f t="shared" si="80"/>
        <v>#DIV/0!</v>
      </c>
    </row>
    <row r="97" spans="2:11" x14ac:dyDescent="0.6">
      <c r="B97" s="1" t="s">
        <v>233</v>
      </c>
      <c r="G97" s="92" t="e">
        <f>(F$97/$F$5)*G$5</f>
        <v>#DIV/0!</v>
      </c>
      <c r="H97" s="92" t="e">
        <f t="shared" ref="H97:K97" si="81">(G$97/$F$5)*H$5</f>
        <v>#DIV/0!</v>
      </c>
      <c r="I97" s="92" t="e">
        <f t="shared" si="81"/>
        <v>#DIV/0!</v>
      </c>
      <c r="J97" s="92" t="e">
        <f t="shared" si="81"/>
        <v>#DIV/0!</v>
      </c>
      <c r="K97" s="92" t="e">
        <f t="shared" si="81"/>
        <v>#DIV/0!</v>
      </c>
    </row>
    <row r="98" spans="2:11" x14ac:dyDescent="0.6">
      <c r="B98" s="1" t="s">
        <v>234</v>
      </c>
      <c r="G98" s="92" t="e">
        <f>(F$98/$F$5)*G$5</f>
        <v>#DIV/0!</v>
      </c>
      <c r="H98" s="92" t="e">
        <f t="shared" ref="H98:K98" si="82">(G$98/$F$5)*H$5</f>
        <v>#DIV/0!</v>
      </c>
      <c r="I98" s="92" t="e">
        <f t="shared" si="82"/>
        <v>#DIV/0!</v>
      </c>
      <c r="J98" s="92" t="e">
        <f t="shared" si="82"/>
        <v>#DIV/0!</v>
      </c>
      <c r="K98" s="92" t="e">
        <f t="shared" si="82"/>
        <v>#DIV/0!</v>
      </c>
    </row>
    <row r="99" spans="2:11" x14ac:dyDescent="0.6">
      <c r="B99" s="1" t="s">
        <v>235</v>
      </c>
      <c r="G99" s="92" t="e">
        <f>(F$99/$F$5)*G$5</f>
        <v>#DIV/0!</v>
      </c>
      <c r="H99" s="92" t="e">
        <f t="shared" ref="H99:K99" si="83">(G$99/$F$5)*H$5</f>
        <v>#DIV/0!</v>
      </c>
      <c r="I99" s="92" t="e">
        <f t="shared" si="83"/>
        <v>#DIV/0!</v>
      </c>
      <c r="J99" s="92" t="e">
        <f t="shared" si="83"/>
        <v>#DIV/0!</v>
      </c>
      <c r="K99" s="92" t="e">
        <f t="shared" si="83"/>
        <v>#DIV/0!</v>
      </c>
    </row>
    <row r="100" spans="2:11" x14ac:dyDescent="0.6">
      <c r="B100" s="1" t="s">
        <v>236</v>
      </c>
      <c r="G100" s="92" t="e">
        <f>(F$100/$F$5)*G$5</f>
        <v>#DIV/0!</v>
      </c>
      <c r="H100" s="92" t="e">
        <f t="shared" ref="H100:K100" si="84">(G$100/$F$5)*H$5</f>
        <v>#DIV/0!</v>
      </c>
      <c r="I100" s="92" t="e">
        <f t="shared" si="84"/>
        <v>#DIV/0!</v>
      </c>
      <c r="J100" s="92" t="e">
        <f t="shared" si="84"/>
        <v>#DIV/0!</v>
      </c>
      <c r="K100" s="92" t="e">
        <f t="shared" si="84"/>
        <v>#DIV/0!</v>
      </c>
    </row>
    <row r="101" spans="2:11" x14ac:dyDescent="0.6">
      <c r="B101" s="1" t="s">
        <v>237</v>
      </c>
      <c r="G101" s="92" t="e">
        <f>(F$101/$F$5)*G$5</f>
        <v>#DIV/0!</v>
      </c>
      <c r="H101" s="92" t="e">
        <f t="shared" ref="H101:K101" si="85">(G$101/$F$5)*H$5</f>
        <v>#DIV/0!</v>
      </c>
      <c r="I101" s="92" t="e">
        <f t="shared" si="85"/>
        <v>#DIV/0!</v>
      </c>
      <c r="J101" s="92" t="e">
        <f t="shared" si="85"/>
        <v>#DIV/0!</v>
      </c>
      <c r="K101" s="92" t="e">
        <f t="shared" si="85"/>
        <v>#DIV/0!</v>
      </c>
    </row>
    <row r="102" spans="2:11" x14ac:dyDescent="0.6">
      <c r="B102" s="1" t="s">
        <v>238</v>
      </c>
      <c r="G102" s="92" t="e">
        <f>(F$102/$F$5)*G$5</f>
        <v>#DIV/0!</v>
      </c>
      <c r="H102" s="92" t="e">
        <f t="shared" ref="H102:K102" si="86">(G$102/$F$5)*H$5</f>
        <v>#DIV/0!</v>
      </c>
      <c r="I102" s="92" t="e">
        <f t="shared" si="86"/>
        <v>#DIV/0!</v>
      </c>
      <c r="J102" s="92" t="e">
        <f t="shared" si="86"/>
        <v>#DIV/0!</v>
      </c>
      <c r="K102" s="92" t="e">
        <f t="shared" si="86"/>
        <v>#DIV/0!</v>
      </c>
    </row>
    <row r="103" spans="2:11" x14ac:dyDescent="0.6">
      <c r="B103" s="1" t="s">
        <v>239</v>
      </c>
      <c r="G103" s="92" t="e">
        <f>(F$103/$F$5)*G$5</f>
        <v>#DIV/0!</v>
      </c>
      <c r="H103" s="92" t="e">
        <f t="shared" ref="H103:K103" si="87">(G$103/$F$5)*H$5</f>
        <v>#DIV/0!</v>
      </c>
      <c r="I103" s="92" t="e">
        <f t="shared" si="87"/>
        <v>#DIV/0!</v>
      </c>
      <c r="J103" s="92" t="e">
        <f t="shared" si="87"/>
        <v>#DIV/0!</v>
      </c>
      <c r="K103" s="92" t="e">
        <f t="shared" si="87"/>
        <v>#DIV/0!</v>
      </c>
    </row>
    <row r="104" spans="2:11" x14ac:dyDescent="0.6">
      <c r="B104" s="1" t="s">
        <v>240</v>
      </c>
      <c r="G104" s="92" t="e">
        <f>(F$104/$F$5)*G$5</f>
        <v>#DIV/0!</v>
      </c>
      <c r="H104" s="92" t="e">
        <f t="shared" ref="H104:K104" si="88">(G$104/$F$5)*H$5</f>
        <v>#DIV/0!</v>
      </c>
      <c r="I104" s="92" t="e">
        <f t="shared" si="88"/>
        <v>#DIV/0!</v>
      </c>
      <c r="J104" s="92" t="e">
        <f t="shared" si="88"/>
        <v>#DIV/0!</v>
      </c>
      <c r="K104" s="92" t="e">
        <f t="shared" si="88"/>
        <v>#DIV/0!</v>
      </c>
    </row>
    <row r="105" spans="2:11" x14ac:dyDescent="0.6">
      <c r="B105" s="1" t="s">
        <v>241</v>
      </c>
      <c r="G105" s="92" t="e">
        <f>(F$105/$F$5)*G$5</f>
        <v>#DIV/0!</v>
      </c>
      <c r="H105" s="92" t="e">
        <f t="shared" ref="H105:K105" si="89">(G$105/$F$5)*H$5</f>
        <v>#DIV/0!</v>
      </c>
      <c r="I105" s="92" t="e">
        <f t="shared" si="89"/>
        <v>#DIV/0!</v>
      </c>
      <c r="J105" s="92" t="e">
        <f t="shared" si="89"/>
        <v>#DIV/0!</v>
      </c>
      <c r="K105" s="92" t="e">
        <f t="shared" si="89"/>
        <v>#DIV/0!</v>
      </c>
    </row>
    <row r="106" spans="2:11" x14ac:dyDescent="0.6">
      <c r="B106" s="1" t="s">
        <v>242</v>
      </c>
      <c r="G106" s="92" t="e">
        <f>(F$106/$F$5)*G$5</f>
        <v>#DIV/0!</v>
      </c>
      <c r="H106" s="92" t="e">
        <f t="shared" ref="H106:K106" si="90">(G$106/$F$5)*H$5</f>
        <v>#DIV/0!</v>
      </c>
      <c r="I106" s="92" t="e">
        <f t="shared" si="90"/>
        <v>#DIV/0!</v>
      </c>
      <c r="J106" s="92" t="e">
        <f t="shared" si="90"/>
        <v>#DIV/0!</v>
      </c>
      <c r="K106" s="92" t="e">
        <f t="shared" si="90"/>
        <v>#DIV/0!</v>
      </c>
    </row>
    <row r="107" spans="2:11" ht="16.899999999999999" thickBot="1" x14ac:dyDescent="0.65">
      <c r="B107" s="1" t="s">
        <v>243</v>
      </c>
      <c r="D107" s="98"/>
      <c r="E107" s="98"/>
      <c r="F107" s="98"/>
      <c r="G107" s="99" t="e">
        <f>(F$106/$F$5)*G$5</f>
        <v>#DIV/0!</v>
      </c>
      <c r="H107" s="99" t="e">
        <f t="shared" ref="H107:K107" si="91">(G$106/$F$5)*H$5</f>
        <v>#DIV/0!</v>
      </c>
      <c r="I107" s="99" t="e">
        <f t="shared" si="91"/>
        <v>#DIV/0!</v>
      </c>
      <c r="J107" s="99" t="e">
        <f t="shared" si="91"/>
        <v>#DIV/0!</v>
      </c>
      <c r="K107" s="99" t="e">
        <f t="shared" si="91"/>
        <v>#DIV/0!</v>
      </c>
    </row>
    <row r="108" spans="2:11" ht="16.899999999999999" thickTop="1" x14ac:dyDescent="0.6">
      <c r="B108" s="22" t="s">
        <v>244</v>
      </c>
      <c r="D108" s="22"/>
      <c r="E108" s="22"/>
      <c r="F108" s="22"/>
      <c r="G108" s="109" t="e">
        <f>SUM(G91:G107)</f>
        <v>#DIV/0!</v>
      </c>
      <c r="H108" s="109" t="e">
        <f t="shared" ref="H108:K108" si="92">SUM(H91:H107)</f>
        <v>#DIV/0!</v>
      </c>
      <c r="I108" s="109" t="e">
        <f t="shared" si="92"/>
        <v>#DIV/0!</v>
      </c>
      <c r="J108" s="109" t="e">
        <f t="shared" si="92"/>
        <v>#DIV/0!</v>
      </c>
      <c r="K108" s="109" t="e">
        <f t="shared" si="92"/>
        <v>#DIV/0!</v>
      </c>
    </row>
    <row r="109" spans="2:11" x14ac:dyDescent="0.6">
      <c r="G109" s="92"/>
      <c r="H109" s="92"/>
      <c r="I109" s="92"/>
      <c r="J109" s="92"/>
      <c r="K109" s="92"/>
    </row>
    <row r="110" spans="2:11" x14ac:dyDescent="0.6">
      <c r="B110" s="1" t="s">
        <v>245</v>
      </c>
      <c r="G110" s="92">
        <v>0</v>
      </c>
      <c r="H110" s="92">
        <v>0</v>
      </c>
      <c r="I110" s="92">
        <v>0</v>
      </c>
      <c r="J110" s="92">
        <v>0</v>
      </c>
      <c r="K110" s="92">
        <v>0</v>
      </c>
    </row>
    <row r="111" spans="2:11" x14ac:dyDescent="0.6">
      <c r="G111" s="106"/>
      <c r="H111" s="92"/>
      <c r="I111" s="92"/>
      <c r="J111" s="92"/>
      <c r="K111" s="92"/>
    </row>
    <row r="112" spans="2:11" x14ac:dyDescent="0.6">
      <c r="B112" s="22" t="s">
        <v>248</v>
      </c>
      <c r="C112" s="22"/>
      <c r="D112" s="22"/>
      <c r="E112" s="22"/>
      <c r="F112" s="22"/>
      <c r="G112" s="109"/>
      <c r="H112" s="109"/>
      <c r="I112" s="109"/>
      <c r="J112" s="109"/>
      <c r="K112" s="109"/>
    </row>
    <row r="113" spans="2:11" x14ac:dyDescent="0.6">
      <c r="B113" s="1" t="s">
        <v>246</v>
      </c>
      <c r="G113" s="106" t="e" cm="1">
        <f t="array" ref="G113">SUM(G72:G81)+SUM(G84:G88+SUM(G91:G107)+G110)</f>
        <v>#DIV/0!</v>
      </c>
      <c r="H113" s="106" t="e" cm="1">
        <f t="array" ref="H113">SUM(H72:H81)+SUM(H84:H88+SUM(H91:H107)+H110)</f>
        <v>#DIV/0!</v>
      </c>
      <c r="I113" s="106" t="e" cm="1">
        <f t="array" ref="I113">SUM(I72:I81)+SUM(I84:I88+SUM(I91:I107)+I110)</f>
        <v>#DIV/0!</v>
      </c>
      <c r="J113" s="106" t="e" cm="1">
        <f t="array" ref="J113">SUM(J72:J81)+SUM(J84:J88+SUM(J91:J107)+J110)</f>
        <v>#DIV/0!</v>
      </c>
      <c r="K113" s="106" t="e" cm="1">
        <f t="array" ref="K113">SUM(K72:K81)+SUM(K84:K88+SUM(K91:K107)+K110)</f>
        <v>#DIV/0!</v>
      </c>
    </row>
    <row r="114" spans="2:11" x14ac:dyDescent="0.6">
      <c r="B114" s="22" t="s">
        <v>247</v>
      </c>
      <c r="C114" s="22"/>
      <c r="D114" s="22"/>
      <c r="E114" s="22"/>
      <c r="F114" s="22"/>
      <c r="G114" s="112"/>
      <c r="H114" s="109"/>
      <c r="I114" s="109"/>
      <c r="J114" s="109"/>
      <c r="K114" s="109"/>
    </row>
    <row r="116" spans="2:11" x14ac:dyDescent="0.6">
      <c r="B116" s="22" t="s">
        <v>249</v>
      </c>
      <c r="C116" s="22"/>
      <c r="D116" s="115"/>
      <c r="E116" s="115"/>
      <c r="F116" s="115"/>
      <c r="G116" s="116" t="e">
        <f>G12*(1-O9)+G73-G84-G76</f>
        <v>#DIV/0!</v>
      </c>
      <c r="H116" s="116" t="e">
        <f t="shared" ref="H116:K116" si="93">H12*(1-P9)+H73-H84-H76</f>
        <v>#DIV/0!</v>
      </c>
      <c r="I116" s="116" t="e">
        <f t="shared" si="93"/>
        <v>#DIV/0!</v>
      </c>
      <c r="J116" s="116" t="e">
        <f t="shared" si="93"/>
        <v>#DIV/0!</v>
      </c>
      <c r="K116" s="116" t="e">
        <f t="shared" si="93"/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9F05-BBA1-49F8-9475-0E8526F385AD}">
  <sheetPr>
    <tabColor rgb="FFFF0000"/>
  </sheetPr>
  <dimension ref="A1:M20"/>
  <sheetViews>
    <sheetView showGridLines="0" workbookViewId="0">
      <selection activeCell="H20" sqref="H20"/>
    </sheetView>
  </sheetViews>
  <sheetFormatPr defaultColWidth="8.86328125" defaultRowHeight="16.5" x14ac:dyDescent="0.6"/>
  <cols>
    <col min="1" max="1" width="2.86328125" style="1" customWidth="1"/>
    <col min="2" max="2" width="21.1328125" style="1" bestFit="1" customWidth="1"/>
    <col min="3" max="3" width="2.86328125" style="1" customWidth="1"/>
    <col min="4" max="5" width="12.86328125" style="1" customWidth="1"/>
    <col min="6" max="6" width="15.86328125" style="1" bestFit="1" customWidth="1"/>
    <col min="7" max="7" width="18.33203125" style="1" bestFit="1" customWidth="1"/>
    <col min="8" max="8" width="12.86328125" style="1" customWidth="1"/>
    <col min="9" max="9" width="27.1328125" style="1" bestFit="1" customWidth="1"/>
    <col min="10" max="13" width="12.86328125" style="1" customWidth="1"/>
    <col min="14" max="16384" width="8.86328125" style="1"/>
  </cols>
  <sheetData>
    <row r="1" spans="1:13" x14ac:dyDescent="0.6">
      <c r="A1" s="2"/>
      <c r="K1" s="2"/>
    </row>
    <row r="2" spans="1:13" ht="21.6" customHeight="1" x14ac:dyDescent="0.6">
      <c r="B2" s="15" t="s">
        <v>109</v>
      </c>
      <c r="C2" s="14"/>
      <c r="D2" s="14"/>
      <c r="E2" s="14"/>
      <c r="F2" s="14"/>
      <c r="G2" s="14"/>
      <c r="H2" s="14"/>
      <c r="I2" s="14"/>
      <c r="J2" s="14"/>
      <c r="K2" s="19"/>
      <c r="M2" s="2"/>
    </row>
    <row r="3" spans="1:13" x14ac:dyDescent="0.6">
      <c r="G3" s="2"/>
    </row>
    <row r="4" spans="1:13" x14ac:dyDescent="0.6">
      <c r="B4" s="19"/>
      <c r="C4" s="19"/>
      <c r="D4" s="18" t="s">
        <v>113</v>
      </c>
      <c r="E4" s="18" t="s">
        <v>114</v>
      </c>
      <c r="F4" s="18" t="s">
        <v>115</v>
      </c>
      <c r="G4" s="18" t="s">
        <v>116</v>
      </c>
      <c r="I4" s="18" t="s">
        <v>118</v>
      </c>
      <c r="J4" s="19"/>
    </row>
    <row r="5" spans="1:13" x14ac:dyDescent="0.6">
      <c r="B5" s="1" t="s">
        <v>63</v>
      </c>
      <c r="D5" s="65" t="e">
        <f>G16/F16</f>
        <v>#DIV/0!</v>
      </c>
      <c r="E5" s="65" t="e">
        <f>E16/(F16/K16)</f>
        <v>#DIV/0!</v>
      </c>
      <c r="F5" s="65" t="e">
        <f>E16/I16</f>
        <v>#DIV/0!</v>
      </c>
      <c r="G5" s="65" t="e">
        <f>E16/(J16/K16)</f>
        <v>#DIV/0!</v>
      </c>
      <c r="I5" s="1" t="s">
        <v>113</v>
      </c>
      <c r="J5" s="53">
        <v>0.25</v>
      </c>
    </row>
    <row r="6" spans="1:13" x14ac:dyDescent="0.6">
      <c r="B6" s="1" t="s">
        <v>112</v>
      </c>
      <c r="D6" s="65" t="e">
        <f>G17/F17</f>
        <v>#DIV/0!</v>
      </c>
      <c r="E6" s="65" t="e">
        <f>E17/(F17/K17)</f>
        <v>#DIV/0!</v>
      </c>
      <c r="F6" s="65" t="e">
        <f>E17/I17</f>
        <v>#DIV/0!</v>
      </c>
      <c r="G6" s="65" t="e">
        <f>E17/(J17/K17)</f>
        <v>#DIV/0!</v>
      </c>
      <c r="I6" s="1" t="s">
        <v>114</v>
      </c>
      <c r="J6" s="53">
        <v>0.25</v>
      </c>
    </row>
    <row r="7" spans="1:13" x14ac:dyDescent="0.6">
      <c r="B7" s="1" t="s">
        <v>112</v>
      </c>
      <c r="D7" s="65" t="e">
        <f>G18/F18</f>
        <v>#DIV/0!</v>
      </c>
      <c r="E7" s="65" t="e">
        <f t="shared" ref="E7:E9" si="0">E18/(F18/J18)</f>
        <v>#DIV/0!</v>
      </c>
      <c r="F7" s="65" t="e">
        <f t="shared" ref="F7:F9" si="1">E18/H18</f>
        <v>#DIV/0!</v>
      </c>
      <c r="G7" s="65" t="e">
        <f t="shared" ref="G7:G9" si="2">E18/(I18/J18)</f>
        <v>#DIV/0!</v>
      </c>
      <c r="I7" s="1" t="s">
        <v>115</v>
      </c>
      <c r="J7" s="53">
        <v>0.25</v>
      </c>
    </row>
    <row r="8" spans="1:13" x14ac:dyDescent="0.6">
      <c r="B8" s="1" t="s">
        <v>112</v>
      </c>
      <c r="D8" s="65" t="e">
        <f>G19/F19</f>
        <v>#DIV/0!</v>
      </c>
      <c r="E8" s="65" t="e">
        <f t="shared" si="0"/>
        <v>#DIV/0!</v>
      </c>
      <c r="F8" s="65" t="e">
        <f t="shared" si="1"/>
        <v>#DIV/0!</v>
      </c>
      <c r="G8" s="65" t="e">
        <f t="shared" si="2"/>
        <v>#DIV/0!</v>
      </c>
      <c r="I8" s="1" t="s">
        <v>116</v>
      </c>
      <c r="J8" s="53">
        <v>0.25</v>
      </c>
    </row>
    <row r="9" spans="1:13" x14ac:dyDescent="0.6">
      <c r="B9" s="1" t="s">
        <v>112</v>
      </c>
      <c r="D9" s="65" t="e">
        <f>G20/F20</f>
        <v>#DIV/0!</v>
      </c>
      <c r="E9" s="65" t="e">
        <f t="shared" si="0"/>
        <v>#DIV/0!</v>
      </c>
      <c r="F9" s="65" t="e">
        <f t="shared" si="1"/>
        <v>#DIV/0!</v>
      </c>
      <c r="G9" s="65" t="e">
        <f t="shared" si="2"/>
        <v>#DIV/0!</v>
      </c>
    </row>
    <row r="10" spans="1:13" x14ac:dyDescent="0.6">
      <c r="B10" s="23" t="s">
        <v>117</v>
      </c>
      <c r="C10" s="23"/>
      <c r="D10" s="89" t="e">
        <f>MIN(D5:D9)</f>
        <v>#DIV/0!</v>
      </c>
      <c r="E10" s="89" t="e">
        <f t="shared" ref="E10:G10" si="3">MIN(E5:E9)</f>
        <v>#DIV/0!</v>
      </c>
      <c r="F10" s="89" t="e">
        <f t="shared" si="3"/>
        <v>#DIV/0!</v>
      </c>
      <c r="G10" s="89" t="e">
        <f t="shared" si="3"/>
        <v>#DIV/0!</v>
      </c>
      <c r="I10" s="22" t="s">
        <v>129</v>
      </c>
      <c r="J10" s="118" t="e">
        <f>(D13*J5)+(E13*J6)+(F13*J7)+(G13*J8)</f>
        <v>#DIV/0!</v>
      </c>
    </row>
    <row r="11" spans="1:13" x14ac:dyDescent="0.6">
      <c r="B11" s="1" t="s">
        <v>120</v>
      </c>
      <c r="D11" s="65" t="e">
        <f>AVERAGE(D5:D9)</f>
        <v>#DIV/0!</v>
      </c>
      <c r="E11" s="65" t="e">
        <f t="shared" ref="E11:G11" si="4">AVERAGE(E5:E9)</f>
        <v>#DIV/0!</v>
      </c>
      <c r="F11" s="65" t="e">
        <f t="shared" si="4"/>
        <v>#DIV/0!</v>
      </c>
      <c r="G11" s="65" t="e">
        <f t="shared" si="4"/>
        <v>#DIV/0!</v>
      </c>
      <c r="I11" s="1" t="s">
        <v>51</v>
      </c>
      <c r="J11" s="119" t="e">
        <f>(J10/E16)-1</f>
        <v>#DIV/0!</v>
      </c>
    </row>
    <row r="12" spans="1:13" x14ac:dyDescent="0.6">
      <c r="B12" s="1" t="s">
        <v>121</v>
      </c>
      <c r="D12" s="65" t="e">
        <f>MAX(D5:D9)</f>
        <v>#DIV/0!</v>
      </c>
      <c r="E12" s="65" t="e">
        <f t="shared" ref="E12:G12" si="5">MAX(E5:E9)</f>
        <v>#DIV/0!</v>
      </c>
      <c r="F12" s="65" t="e">
        <f t="shared" si="5"/>
        <v>#DIV/0!</v>
      </c>
      <c r="G12" s="65" t="e">
        <f t="shared" si="5"/>
        <v>#DIV/0!</v>
      </c>
    </row>
    <row r="13" spans="1:13" x14ac:dyDescent="0.6">
      <c r="B13" s="23" t="s">
        <v>111</v>
      </c>
      <c r="C13" s="23"/>
      <c r="D13" s="89" t="e">
        <f>(D11*(F16-H16))/K16</f>
        <v>#DIV/0!</v>
      </c>
      <c r="E13" s="89" t="e">
        <f>E11*(F16/K16)</f>
        <v>#DIV/0!</v>
      </c>
      <c r="F13" s="89" t="e">
        <f>F11*(I16)</f>
        <v>#DIV/0!</v>
      </c>
      <c r="G13" s="89" t="e">
        <f>G11*(J16/K16)</f>
        <v>#DIV/0!</v>
      </c>
    </row>
    <row r="15" spans="1:13" x14ac:dyDescent="0.6">
      <c r="B15" s="64" t="s">
        <v>119</v>
      </c>
      <c r="C15" s="64"/>
      <c r="D15" s="64" t="s">
        <v>122</v>
      </c>
      <c r="E15" s="64" t="s">
        <v>123</v>
      </c>
      <c r="F15" s="64" t="s">
        <v>124</v>
      </c>
      <c r="G15" s="64" t="s">
        <v>125</v>
      </c>
      <c r="H15" s="64" t="s">
        <v>168</v>
      </c>
      <c r="I15" s="64" t="s">
        <v>126</v>
      </c>
      <c r="J15" s="64" t="s">
        <v>127</v>
      </c>
      <c r="K15" s="64" t="s">
        <v>128</v>
      </c>
    </row>
    <row r="16" spans="1:13" x14ac:dyDescent="0.6">
      <c r="B16" s="65" t="s">
        <v>111</v>
      </c>
    </row>
    <row r="17" spans="2:11" x14ac:dyDescent="0.6">
      <c r="B17" s="65" t="s">
        <v>112</v>
      </c>
      <c r="D17" s="66"/>
      <c r="F17" s="66"/>
      <c r="G17" s="66"/>
      <c r="I17" s="66"/>
      <c r="J17" s="66"/>
      <c r="K17" s="66"/>
    </row>
    <row r="18" spans="2:11" x14ac:dyDescent="0.6">
      <c r="B18" s="65" t="s">
        <v>112</v>
      </c>
    </row>
    <row r="19" spans="2:11" x14ac:dyDescent="0.6">
      <c r="B19" s="65" t="s">
        <v>112</v>
      </c>
    </row>
    <row r="20" spans="2:11" x14ac:dyDescent="0.6">
      <c r="B20" s="65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A645E-D203-4CBF-911F-416EC1F64A03}">
  <sheetPr>
    <tabColor rgb="FFFF0000"/>
  </sheetPr>
  <dimension ref="B2:F1261"/>
  <sheetViews>
    <sheetView showGridLines="0" workbookViewId="0">
      <pane ySplit="6" topLeftCell="A35" activePane="bottomLeft" state="frozen"/>
      <selection pane="bottomLeft" activeCell="C3" sqref="C3"/>
    </sheetView>
  </sheetViews>
  <sheetFormatPr defaultRowHeight="14.25" x14ac:dyDescent="0.45"/>
  <cols>
    <col min="1" max="1" width="2.86328125" customWidth="1"/>
    <col min="2" max="2" width="14.6640625" customWidth="1"/>
    <col min="3" max="3" width="14.33203125" bestFit="1" customWidth="1"/>
    <col min="4" max="4" width="18.796875" bestFit="1" customWidth="1"/>
    <col min="5" max="5" width="12.796875" bestFit="1" customWidth="1"/>
    <col min="6" max="6" width="17.33203125" bestFit="1" customWidth="1"/>
  </cols>
  <sheetData>
    <row r="2" spans="2:6" x14ac:dyDescent="0.45">
      <c r="B2" s="58" t="s">
        <v>64</v>
      </c>
      <c r="C2" s="75"/>
    </row>
    <row r="3" spans="2:6" x14ac:dyDescent="0.45">
      <c r="B3" s="58" t="s">
        <v>146</v>
      </c>
      <c r="C3" s="75" t="s">
        <v>147</v>
      </c>
    </row>
    <row r="4" spans="2:6" x14ac:dyDescent="0.45">
      <c r="B4" s="58" t="s">
        <v>148</v>
      </c>
      <c r="C4" s="75">
        <v>5</v>
      </c>
    </row>
    <row r="5" spans="2:6" x14ac:dyDescent="0.45">
      <c r="B5" s="58" t="s">
        <v>149</v>
      </c>
      <c r="C5" s="76">
        <f>SLOPE(E8:E1261,F8:F1261)</f>
        <v>1.2513680748810367</v>
      </c>
    </row>
    <row r="6" spans="2:6" x14ac:dyDescent="0.45">
      <c r="B6" s="85" t="s">
        <v>65</v>
      </c>
      <c r="C6" s="85" t="s">
        <v>150</v>
      </c>
      <c r="D6" s="85" t="s">
        <v>151</v>
      </c>
      <c r="E6" s="85" t="s">
        <v>152</v>
      </c>
      <c r="F6" s="85" t="s">
        <v>153</v>
      </c>
    </row>
    <row r="7" spans="2:6" x14ac:dyDescent="0.45">
      <c r="B7" s="72">
        <v>44168</v>
      </c>
      <c r="C7" s="73">
        <v>119.6762237548828</v>
      </c>
      <c r="D7" s="73">
        <v>3666.719970703125</v>
      </c>
      <c r="E7" s="74"/>
      <c r="F7" s="74"/>
    </row>
    <row r="8" spans="2:6" x14ac:dyDescent="0.45">
      <c r="B8" s="72">
        <v>44169</v>
      </c>
      <c r="C8" s="73">
        <v>119.0045471191406</v>
      </c>
      <c r="D8" s="73">
        <v>3699.1201171875</v>
      </c>
      <c r="E8" s="73">
        <f t="array" ref="E8:E1261">((C8:C1261/C7:C1260)-1)*100</f>
        <v>-0.56124484435430277</v>
      </c>
      <c r="F8" s="73">
        <f t="array" ref="F8:F1261">((D8:D1261/D7:D1260)-1)*100</f>
        <v>0.88362751296118258</v>
      </c>
    </row>
    <row r="9" spans="2:6" x14ac:dyDescent="0.45">
      <c r="B9" s="72">
        <v>44172</v>
      </c>
      <c r="C9" s="73">
        <v>120.46473693847661</v>
      </c>
      <c r="D9" s="73">
        <v>3691.9599609375</v>
      </c>
      <c r="E9" s="73">
        <v>1.2270033832187499</v>
      </c>
      <c r="F9" s="73">
        <v>-0.19356376714373402</v>
      </c>
    </row>
    <row r="10" spans="2:6" x14ac:dyDescent="0.45">
      <c r="B10" s="72">
        <v>44173</v>
      </c>
      <c r="C10" s="73">
        <v>121.07798004150391</v>
      </c>
      <c r="D10" s="73">
        <v>3702.25</v>
      </c>
      <c r="E10" s="73">
        <v>0.50906441055900142</v>
      </c>
      <c r="F10" s="73">
        <v>0.2787148065356293</v>
      </c>
    </row>
    <row r="11" spans="2:6" x14ac:dyDescent="0.45">
      <c r="B11" s="72">
        <v>44174</v>
      </c>
      <c r="C11" s="73">
        <v>118.5470275878906</v>
      </c>
      <c r="D11" s="73">
        <v>3672.820068359375</v>
      </c>
      <c r="E11" s="73">
        <v>-2.0903490896905685</v>
      </c>
      <c r="F11" s="73">
        <v>-0.79492016045985547</v>
      </c>
    </row>
    <row r="12" spans="2:6" x14ac:dyDescent="0.45">
      <c r="B12" s="72">
        <v>44175</v>
      </c>
      <c r="C12" s="73">
        <v>119.96826171875</v>
      </c>
      <c r="D12" s="73">
        <v>3668.10009765625</v>
      </c>
      <c r="E12" s="73">
        <v>1.1988779134978422</v>
      </c>
      <c r="F12" s="73">
        <v>-0.12851080682624305</v>
      </c>
    </row>
    <row r="13" spans="2:6" x14ac:dyDescent="0.45">
      <c r="B13" s="72">
        <v>44176</v>
      </c>
      <c r="C13" s="73">
        <v>119.1603088378906</v>
      </c>
      <c r="D13" s="73">
        <v>3663.4599609375</v>
      </c>
      <c r="E13" s="73">
        <v>-0.67347219113130796</v>
      </c>
      <c r="F13" s="73">
        <v>-0.12649972997506032</v>
      </c>
    </row>
    <row r="14" spans="2:6" x14ac:dyDescent="0.45">
      <c r="B14" s="72">
        <v>44179</v>
      </c>
      <c r="C14" s="73">
        <v>118.5470275878906</v>
      </c>
      <c r="D14" s="73">
        <v>3647.489990234375</v>
      </c>
      <c r="E14" s="73">
        <v>-0.51466906722633654</v>
      </c>
      <c r="F14" s="73">
        <v>-0.4359258971957769</v>
      </c>
    </row>
    <row r="15" spans="2:6" x14ac:dyDescent="0.45">
      <c r="B15" s="72">
        <v>44180</v>
      </c>
      <c r="C15" s="73">
        <v>124.4850769042969</v>
      </c>
      <c r="D15" s="73">
        <v>3694.6201171875</v>
      </c>
      <c r="E15" s="73">
        <v>5.0090242136217489</v>
      </c>
      <c r="F15" s="73">
        <v>1.2921249154708825</v>
      </c>
    </row>
    <row r="16" spans="2:6" x14ac:dyDescent="0.45">
      <c r="B16" s="72">
        <v>44181</v>
      </c>
      <c r="C16" s="73">
        <v>124.4169235229492</v>
      </c>
      <c r="D16" s="73">
        <v>3701.169921875</v>
      </c>
      <c r="E16" s="73">
        <v>-5.474823411973917E-2</v>
      </c>
      <c r="F16" s="73">
        <v>0.17727951669590514</v>
      </c>
    </row>
    <row r="17" spans="2:6" x14ac:dyDescent="0.45">
      <c r="B17" s="72">
        <v>44182</v>
      </c>
      <c r="C17" s="73">
        <v>125.28330993652339</v>
      </c>
      <c r="D17" s="73">
        <v>3722.47998046875</v>
      </c>
      <c r="E17" s="73">
        <v>0.69635736766500145</v>
      </c>
      <c r="F17" s="73">
        <v>0.57576547533797484</v>
      </c>
    </row>
    <row r="18" spans="2:6" x14ac:dyDescent="0.45">
      <c r="B18" s="72">
        <v>44183</v>
      </c>
      <c r="C18" s="73">
        <v>123.29747009277339</v>
      </c>
      <c r="D18" s="73">
        <v>3709.409912109375</v>
      </c>
      <c r="E18" s="73">
        <v>-1.5850793252159101</v>
      </c>
      <c r="F18" s="73">
        <v>-0.35111185091528663</v>
      </c>
    </row>
    <row r="19" spans="2:6" x14ac:dyDescent="0.45">
      <c r="B19" s="72">
        <v>44186</v>
      </c>
      <c r="C19" s="73">
        <v>124.825798034668</v>
      </c>
      <c r="D19" s="73">
        <v>3694.919921875</v>
      </c>
      <c r="E19" s="73">
        <v>1.2395452564798237</v>
      </c>
      <c r="F19" s="73">
        <v>-0.39062790518439305</v>
      </c>
    </row>
    <row r="20" spans="2:6" x14ac:dyDescent="0.45">
      <c r="B20" s="72">
        <v>44187</v>
      </c>
      <c r="C20" s="73">
        <v>128.3788757324219</v>
      </c>
      <c r="D20" s="73">
        <v>3687.260009765625</v>
      </c>
      <c r="E20" s="73">
        <v>2.8464289863919801</v>
      </c>
      <c r="F20" s="73">
        <v>-0.20730928602880061</v>
      </c>
    </row>
    <row r="21" spans="2:6" x14ac:dyDescent="0.45">
      <c r="B21" s="72">
        <v>44188</v>
      </c>
      <c r="C21" s="73">
        <v>127.4833145141602</v>
      </c>
      <c r="D21" s="73">
        <v>3690.010009765625</v>
      </c>
      <c r="E21" s="73">
        <v>-0.69759235166407807</v>
      </c>
      <c r="F21" s="73">
        <v>7.4581125082495703E-2</v>
      </c>
    </row>
    <row r="22" spans="2:6" x14ac:dyDescent="0.45">
      <c r="B22" s="72">
        <v>44189</v>
      </c>
      <c r="C22" s="73">
        <v>128.4665222167969</v>
      </c>
      <c r="D22" s="73">
        <v>3703.06005859375</v>
      </c>
      <c r="E22" s="73">
        <v>0.7712442262610697</v>
      </c>
      <c r="F22" s="73">
        <v>0.35365890047962534</v>
      </c>
    </row>
    <row r="23" spans="2:6" x14ac:dyDescent="0.45">
      <c r="B23" s="72">
        <v>44193</v>
      </c>
      <c r="C23" s="73">
        <v>133.06117248535159</v>
      </c>
      <c r="D23" s="73">
        <v>3735.360107421875</v>
      </c>
      <c r="E23" s="73">
        <v>3.5765351075674578</v>
      </c>
      <c r="F23" s="73">
        <v>0.8722529021144565</v>
      </c>
    </row>
    <row r="24" spans="2:6" x14ac:dyDescent="0.45">
      <c r="B24" s="72">
        <v>44194</v>
      </c>
      <c r="C24" s="73">
        <v>131.2895202636719</v>
      </c>
      <c r="D24" s="73">
        <v>3727.0400390625</v>
      </c>
      <c r="E24" s="73">
        <v>-1.3314569446430502</v>
      </c>
      <c r="F24" s="73">
        <v>-0.222738052560012</v>
      </c>
    </row>
    <row r="25" spans="2:6" x14ac:dyDescent="0.45">
      <c r="B25" s="72">
        <v>44195</v>
      </c>
      <c r="C25" s="73">
        <v>130.17005920410159</v>
      </c>
      <c r="D25" s="73">
        <v>3732.0400390625</v>
      </c>
      <c r="E25" s="73">
        <v>-0.8526659685571758</v>
      </c>
      <c r="F25" s="73">
        <v>0.13415471654707467</v>
      </c>
    </row>
    <row r="26" spans="2:6" x14ac:dyDescent="0.45">
      <c r="B26" s="72">
        <v>44196</v>
      </c>
      <c r="C26" s="73">
        <v>129.16741943359381</v>
      </c>
      <c r="D26" s="73">
        <v>3756.070068359375</v>
      </c>
      <c r="E26" s="73">
        <v>-0.77025375623105408</v>
      </c>
      <c r="F26" s="73">
        <v>0.64388455229198449</v>
      </c>
    </row>
    <row r="27" spans="2:6" x14ac:dyDescent="0.45">
      <c r="B27" s="72">
        <v>44200</v>
      </c>
      <c r="C27" s="73">
        <v>125.9744567871094</v>
      </c>
      <c r="D27" s="73">
        <v>3700.64990234375</v>
      </c>
      <c r="E27" s="73">
        <v>-2.4719566748996891</v>
      </c>
      <c r="F27" s="73">
        <v>-1.4754827521051062</v>
      </c>
    </row>
    <row r="28" spans="2:6" x14ac:dyDescent="0.45">
      <c r="B28" s="72">
        <v>44201</v>
      </c>
      <c r="C28" s="73">
        <v>127.53200531005859</v>
      </c>
      <c r="D28" s="73">
        <v>3726.860107421875</v>
      </c>
      <c r="E28" s="73">
        <v>1.2364002692874188</v>
      </c>
      <c r="F28" s="73">
        <v>0.70825951575492763</v>
      </c>
    </row>
    <row r="29" spans="2:6" x14ac:dyDescent="0.45">
      <c r="B29" s="72">
        <v>44202</v>
      </c>
      <c r="C29" s="73">
        <v>123.2390670776367</v>
      </c>
      <c r="D29" s="73">
        <v>3748.139892578125</v>
      </c>
      <c r="E29" s="73">
        <v>-3.3661653966663541</v>
      </c>
      <c r="F29" s="73">
        <v>0.5709842747752214</v>
      </c>
    </row>
    <row r="30" spans="2:6" x14ac:dyDescent="0.45">
      <c r="B30" s="72">
        <v>44203</v>
      </c>
      <c r="C30" s="73">
        <v>127.4443817138672</v>
      </c>
      <c r="D30" s="73">
        <v>3803.7900390625</v>
      </c>
      <c r="E30" s="73">
        <v>3.4123226797727169</v>
      </c>
      <c r="F30" s="73">
        <v>1.4847403800101189</v>
      </c>
    </row>
    <row r="31" spans="2:6" x14ac:dyDescent="0.45">
      <c r="B31" s="72">
        <v>44204</v>
      </c>
      <c r="C31" s="73">
        <v>128.54437255859381</v>
      </c>
      <c r="D31" s="73">
        <v>3824.679931640625</v>
      </c>
      <c r="E31" s="73">
        <v>0.86311442680639949</v>
      </c>
      <c r="F31" s="73">
        <v>0.54918626852689112</v>
      </c>
    </row>
    <row r="32" spans="2:6" x14ac:dyDescent="0.45">
      <c r="B32" s="72">
        <v>44207</v>
      </c>
      <c r="C32" s="73">
        <v>125.5558624267578</v>
      </c>
      <c r="D32" s="73">
        <v>3799.610107421875</v>
      </c>
      <c r="E32" s="73">
        <v>-2.324886008116589</v>
      </c>
      <c r="F32" s="73">
        <v>-0.65547508985924763</v>
      </c>
    </row>
    <row r="33" spans="2:6" x14ac:dyDescent="0.45">
      <c r="B33" s="72">
        <v>44208</v>
      </c>
      <c r="C33" s="73">
        <v>125.3806838989258</v>
      </c>
      <c r="D33" s="73">
        <v>3801.18994140625</v>
      </c>
      <c r="E33" s="73">
        <v>-0.13952238027451491</v>
      </c>
      <c r="F33" s="73">
        <v>4.1578844663270331E-2</v>
      </c>
    </row>
    <row r="34" spans="2:6" x14ac:dyDescent="0.45">
      <c r="B34" s="72">
        <v>44209</v>
      </c>
      <c r="C34" s="73">
        <v>127.415168762207</v>
      </c>
      <c r="D34" s="73">
        <v>3809.840087890625</v>
      </c>
      <c r="E34" s="73">
        <v>1.6226461684650584</v>
      </c>
      <c r="F34" s="73">
        <v>0.22756417379066196</v>
      </c>
    </row>
    <row r="35" spans="2:6" x14ac:dyDescent="0.45">
      <c r="B35" s="72">
        <v>44210</v>
      </c>
      <c r="C35" s="73">
        <v>125.4877395629883</v>
      </c>
      <c r="D35" s="73">
        <v>3795.5400390625</v>
      </c>
      <c r="E35" s="73">
        <v>-1.5127156506897887</v>
      </c>
      <c r="F35" s="73">
        <v>-0.37534511943366766</v>
      </c>
    </row>
    <row r="36" spans="2:6" x14ac:dyDescent="0.45">
      <c r="B36" s="72">
        <v>44211</v>
      </c>
      <c r="C36" s="73">
        <v>123.7647323608398</v>
      </c>
      <c r="D36" s="73">
        <v>3768.25</v>
      </c>
      <c r="E36" s="73">
        <v>-1.373048242122199</v>
      </c>
      <c r="F36" s="73">
        <v>-0.71900279753709384</v>
      </c>
    </row>
    <row r="37" spans="2:6" x14ac:dyDescent="0.45">
      <c r="B37" s="72">
        <v>44215</v>
      </c>
      <c r="C37" s="73">
        <v>124.436408996582</v>
      </c>
      <c r="D37" s="73">
        <v>3798.909912109375</v>
      </c>
      <c r="E37" s="73">
        <v>0.54270438995811521</v>
      </c>
      <c r="F37" s="73">
        <v>0.81363795155244834</v>
      </c>
    </row>
    <row r="38" spans="2:6" x14ac:dyDescent="0.45">
      <c r="B38" s="72">
        <v>44216</v>
      </c>
      <c r="C38" s="73">
        <v>128.52490234375</v>
      </c>
      <c r="D38" s="73">
        <v>3851.85009765625</v>
      </c>
      <c r="E38" s="73">
        <v>3.2856085932858381</v>
      </c>
      <c r="F38" s="73">
        <v>1.3935625421946263</v>
      </c>
    </row>
    <row r="39" spans="2:6" x14ac:dyDescent="0.45">
      <c r="B39" s="72">
        <v>44217</v>
      </c>
      <c r="C39" s="73">
        <v>133.23638916015619</v>
      </c>
      <c r="D39" s="73">
        <v>3853.070068359375</v>
      </c>
      <c r="E39" s="73">
        <v>3.6658162974556818</v>
      </c>
      <c r="F39" s="73">
        <v>3.1672330755228018E-2</v>
      </c>
    </row>
    <row r="40" spans="2:6" x14ac:dyDescent="0.45">
      <c r="B40" s="72">
        <v>44218</v>
      </c>
      <c r="C40" s="73">
        <v>135.37800598144531</v>
      </c>
      <c r="D40" s="73">
        <v>3841.469970703125</v>
      </c>
      <c r="E40" s="73">
        <v>1.6073813128595127</v>
      </c>
      <c r="F40" s="73">
        <v>-0.30106116552376383</v>
      </c>
    </row>
    <row r="41" spans="2:6" x14ac:dyDescent="0.45">
      <c r="B41" s="72">
        <v>44221</v>
      </c>
      <c r="C41" s="73">
        <v>139.1258239746094</v>
      </c>
      <c r="D41" s="73">
        <v>3855.360107421875</v>
      </c>
      <c r="E41" s="73">
        <v>2.7684098063002649</v>
      </c>
      <c r="F41" s="73">
        <v>0.36158389430824833</v>
      </c>
    </row>
    <row r="42" spans="2:6" x14ac:dyDescent="0.45">
      <c r="B42" s="72">
        <v>44222</v>
      </c>
      <c r="C42" s="73">
        <v>139.35942077636719</v>
      </c>
      <c r="D42" s="73">
        <v>3849.6201171875</v>
      </c>
      <c r="E42" s="73">
        <v>0.16790326560827129</v>
      </c>
      <c r="F42" s="73">
        <v>-0.14888337468982327</v>
      </c>
    </row>
    <row r="43" spans="2:6" x14ac:dyDescent="0.45">
      <c r="B43" s="72">
        <v>44223</v>
      </c>
      <c r="C43" s="73">
        <v>138.28868103027341</v>
      </c>
      <c r="D43" s="73">
        <v>3750.77001953125</v>
      </c>
      <c r="E43" s="73">
        <v>-0.76832964727373554</v>
      </c>
      <c r="F43" s="73">
        <v>-2.5677883699462001</v>
      </c>
    </row>
    <row r="44" spans="2:6" x14ac:dyDescent="0.45">
      <c r="B44" s="72">
        <v>44224</v>
      </c>
      <c r="C44" s="73">
        <v>133.45060729980469</v>
      </c>
      <c r="D44" s="73">
        <v>3787.3798828125</v>
      </c>
      <c r="E44" s="73">
        <v>-3.4985319799308745</v>
      </c>
      <c r="F44" s="73">
        <v>0.97606259756297664</v>
      </c>
    </row>
    <row r="45" spans="2:6" x14ac:dyDescent="0.45">
      <c r="B45" s="72">
        <v>44225</v>
      </c>
      <c r="C45" s="73">
        <v>128.456787109375</v>
      </c>
      <c r="D45" s="73">
        <v>3714.239990234375</v>
      </c>
      <c r="E45" s="73">
        <v>-3.7420737840561324</v>
      </c>
      <c r="F45" s="73">
        <v>-1.9311475173124593</v>
      </c>
    </row>
    <row r="46" spans="2:6" x14ac:dyDescent="0.45">
      <c r="B46" s="72">
        <v>44228</v>
      </c>
      <c r="C46" s="73">
        <v>130.5788879394531</v>
      </c>
      <c r="D46" s="73">
        <v>3773.860107421875</v>
      </c>
      <c r="E46" s="73">
        <v>1.6519958795724987</v>
      </c>
      <c r="F46" s="73">
        <v>1.6051767614439383</v>
      </c>
    </row>
    <row r="47" spans="2:6" x14ac:dyDescent="0.45">
      <c r="B47" s="72">
        <v>44229</v>
      </c>
      <c r="C47" s="73">
        <v>131.40631103515619</v>
      </c>
      <c r="D47" s="73">
        <v>3826.31005859375</v>
      </c>
      <c r="E47" s="73">
        <v>0.6336576369732505</v>
      </c>
      <c r="F47" s="73">
        <v>1.3898223484416938</v>
      </c>
    </row>
    <row r="48" spans="2:6" x14ac:dyDescent="0.45">
      <c r="B48" s="72">
        <v>44230</v>
      </c>
      <c r="C48" s="73">
        <v>130.38421630859381</v>
      </c>
      <c r="D48" s="73">
        <v>3830.169921875</v>
      </c>
      <c r="E48" s="73">
        <v>-0.7778125103054867</v>
      </c>
      <c r="F48" s="73">
        <v>0.10087690809532646</v>
      </c>
    </row>
    <row r="49" spans="2:6" x14ac:dyDescent="0.45">
      <c r="B49" s="72">
        <v>44231</v>
      </c>
      <c r="C49" s="73">
        <v>133.74263000488281</v>
      </c>
      <c r="D49" s="73">
        <v>3871.739990234375</v>
      </c>
      <c r="E49" s="73">
        <v>2.5757824001797047</v>
      </c>
      <c r="F49" s="73">
        <v>1.0853322230420792</v>
      </c>
    </row>
    <row r="50" spans="2:6" x14ac:dyDescent="0.45">
      <c r="B50" s="72">
        <v>44232</v>
      </c>
      <c r="C50" s="73">
        <v>133.32826232910159</v>
      </c>
      <c r="D50" s="73">
        <v>3886.830078125</v>
      </c>
      <c r="E50" s="73">
        <v>-0.30982468025796406</v>
      </c>
      <c r="F50" s="73">
        <v>0.3897495164625342</v>
      </c>
    </row>
    <row r="51" spans="2:6" x14ac:dyDescent="0.45">
      <c r="B51" s="72">
        <v>44235</v>
      </c>
      <c r="C51" s="73">
        <v>133.47453308105469</v>
      </c>
      <c r="D51" s="73">
        <v>3915.590087890625</v>
      </c>
      <c r="E51" s="73">
        <v>0.10970723640877367</v>
      </c>
      <c r="F51" s="73">
        <v>0.73993483603735921</v>
      </c>
    </row>
    <row r="52" spans="2:6" x14ac:dyDescent="0.45">
      <c r="B52" s="72">
        <v>44236</v>
      </c>
      <c r="C52" s="73">
        <v>132.59710693359381</v>
      </c>
      <c r="D52" s="73">
        <v>3911.22998046875</v>
      </c>
      <c r="E52" s="73">
        <v>-0.65737345335237229</v>
      </c>
      <c r="F52" s="73">
        <v>-0.11135249921484514</v>
      </c>
    </row>
    <row r="53" spans="2:6" x14ac:dyDescent="0.45">
      <c r="B53" s="72">
        <v>44237</v>
      </c>
      <c r="C53" s="73">
        <v>131.99266052246091</v>
      </c>
      <c r="D53" s="73">
        <v>3909.8798828125</v>
      </c>
      <c r="E53" s="73">
        <v>-0.4558518847893156</v>
      </c>
      <c r="F53" s="73">
        <v>-3.4518493235935477E-2</v>
      </c>
    </row>
    <row r="54" spans="2:6" x14ac:dyDescent="0.45">
      <c r="B54" s="72">
        <v>44238</v>
      </c>
      <c r="C54" s="73">
        <v>131.73918151855469</v>
      </c>
      <c r="D54" s="73">
        <v>3916.3798828125</v>
      </c>
      <c r="E54" s="73">
        <v>-0.19204022625416428</v>
      </c>
      <c r="F54" s="73">
        <v>0.16624551635393559</v>
      </c>
    </row>
    <row r="55" spans="2:6" x14ac:dyDescent="0.45">
      <c r="B55" s="72">
        <v>44239</v>
      </c>
      <c r="C55" s="73">
        <v>131.9731140136719</v>
      </c>
      <c r="D55" s="73">
        <v>3934.830078125</v>
      </c>
      <c r="E55" s="73">
        <v>0.17757245218976703</v>
      </c>
      <c r="F55" s="73">
        <v>0.47110331133788375</v>
      </c>
    </row>
    <row r="56" spans="2:6" x14ac:dyDescent="0.45">
      <c r="B56" s="72">
        <v>44243</v>
      </c>
      <c r="C56" s="73">
        <v>129.84785461425781</v>
      </c>
      <c r="D56" s="73">
        <v>3932.590087890625</v>
      </c>
      <c r="E56" s="73">
        <v>-1.6103730030905594</v>
      </c>
      <c r="F56" s="73">
        <v>-5.6927241835114106E-2</v>
      </c>
    </row>
    <row r="57" spans="2:6" x14ac:dyDescent="0.45">
      <c r="B57" s="72">
        <v>44244</v>
      </c>
      <c r="C57" s="73">
        <v>127.5568389892578</v>
      </c>
      <c r="D57" s="73">
        <v>3931.330078125</v>
      </c>
      <c r="E57" s="73">
        <v>-1.7643846575717381</v>
      </c>
      <c r="F57" s="73">
        <v>-3.2040200922667239E-2</v>
      </c>
    </row>
    <row r="58" spans="2:6" x14ac:dyDescent="0.45">
      <c r="B58" s="72">
        <v>44245</v>
      </c>
      <c r="C58" s="73">
        <v>126.4551696777344</v>
      </c>
      <c r="D58" s="73">
        <v>3913.969970703125</v>
      </c>
      <c r="E58" s="73">
        <v>-0.86366934164633369</v>
      </c>
      <c r="F58" s="73">
        <v>-0.44158356273545918</v>
      </c>
    </row>
    <row r="59" spans="2:6" x14ac:dyDescent="0.45">
      <c r="B59" s="72">
        <v>44246</v>
      </c>
      <c r="C59" s="73">
        <v>126.61118316650391</v>
      </c>
      <c r="D59" s="73">
        <v>3906.7099609375</v>
      </c>
      <c r="E59" s="73">
        <v>0.12337454385384916</v>
      </c>
      <c r="F59" s="73">
        <v>-0.18548966445751658</v>
      </c>
    </row>
    <row r="60" spans="2:6" x14ac:dyDescent="0.45">
      <c r="B60" s="72">
        <v>44249</v>
      </c>
      <c r="C60" s="73">
        <v>122.8382873535156</v>
      </c>
      <c r="D60" s="73">
        <v>3876.5</v>
      </c>
      <c r="E60" s="73">
        <v>-2.9799072393365544</v>
      </c>
      <c r="F60" s="73">
        <v>-0.77328394581538396</v>
      </c>
    </row>
    <row r="61" spans="2:6" x14ac:dyDescent="0.45">
      <c r="B61" s="72">
        <v>44250</v>
      </c>
      <c r="C61" s="73">
        <v>122.7017822265625</v>
      </c>
      <c r="D61" s="73">
        <v>3881.3701171875</v>
      </c>
      <c r="E61" s="73">
        <v>-0.11112587931175755</v>
      </c>
      <c r="F61" s="73">
        <v>0.12563181187927874</v>
      </c>
    </row>
    <row r="62" spans="2:6" x14ac:dyDescent="0.45">
      <c r="B62" s="72">
        <v>44251</v>
      </c>
      <c r="C62" s="73">
        <v>122.20457458496089</v>
      </c>
      <c r="D62" s="73">
        <v>3925.429931640625</v>
      </c>
      <c r="E62" s="73">
        <v>-0.40521631599738095</v>
      </c>
      <c r="F62" s="73">
        <v>1.1351613765979041</v>
      </c>
    </row>
    <row r="63" spans="2:6" x14ac:dyDescent="0.45">
      <c r="B63" s="72">
        <v>44252</v>
      </c>
      <c r="C63" s="73">
        <v>117.953987121582</v>
      </c>
      <c r="D63" s="73">
        <v>3829.340087890625</v>
      </c>
      <c r="E63" s="73">
        <v>-3.4782556036179635</v>
      </c>
      <c r="F63" s="73">
        <v>-2.4478807525126212</v>
      </c>
    </row>
    <row r="64" spans="2:6" x14ac:dyDescent="0.45">
      <c r="B64" s="72">
        <v>44253</v>
      </c>
      <c r="C64" s="73">
        <v>118.2172317504883</v>
      </c>
      <c r="D64" s="73">
        <v>3811.14990234375</v>
      </c>
      <c r="E64" s="73">
        <v>0.22317569361598455</v>
      </c>
      <c r="F64" s="73">
        <v>-0.47502141699028444</v>
      </c>
    </row>
    <row r="65" spans="2:6" x14ac:dyDescent="0.45">
      <c r="B65" s="72">
        <v>44256</v>
      </c>
      <c r="C65" s="73">
        <v>124.5833435058594</v>
      </c>
      <c r="D65" s="73">
        <v>3901.820068359375</v>
      </c>
      <c r="E65" s="73">
        <v>5.3850962851232698</v>
      </c>
      <c r="F65" s="73">
        <v>2.3790763506800205</v>
      </c>
    </row>
    <row r="66" spans="2:6" x14ac:dyDescent="0.45">
      <c r="B66" s="72">
        <v>44257</v>
      </c>
      <c r="C66" s="73">
        <v>121.98036956787109</v>
      </c>
      <c r="D66" s="73">
        <v>3870.2900390625</v>
      </c>
      <c r="E66" s="73">
        <v>-2.0893434585546267</v>
      </c>
      <c r="F66" s="73">
        <v>-0.8080851690870694</v>
      </c>
    </row>
    <row r="67" spans="2:6" x14ac:dyDescent="0.45">
      <c r="B67" s="72">
        <v>44258</v>
      </c>
      <c r="C67" s="73">
        <v>118.9971389770508</v>
      </c>
      <c r="D67" s="73">
        <v>3819.719970703125</v>
      </c>
      <c r="E67" s="73">
        <v>-2.4456644961715734</v>
      </c>
      <c r="F67" s="73">
        <v>-1.3066221871998129</v>
      </c>
    </row>
    <row r="68" spans="2:6" x14ac:dyDescent="0.45">
      <c r="B68" s="72">
        <v>44259</v>
      </c>
      <c r="C68" s="73">
        <v>117.1155700683594</v>
      </c>
      <c r="D68" s="73">
        <v>3768.469970703125</v>
      </c>
      <c r="E68" s="73">
        <v>-1.5811883587001696</v>
      </c>
      <c r="F68" s="73">
        <v>-1.3417213930100202</v>
      </c>
    </row>
    <row r="69" spans="2:6" x14ac:dyDescent="0.45">
      <c r="B69" s="72">
        <v>44260</v>
      </c>
      <c r="C69" s="73">
        <v>118.3731994628906</v>
      </c>
      <c r="D69" s="73">
        <v>3841.93994140625</v>
      </c>
      <c r="E69" s="73">
        <v>1.0738362062338247</v>
      </c>
      <c r="F69" s="73">
        <v>1.949596819778221</v>
      </c>
    </row>
    <row r="70" spans="2:6" x14ac:dyDescent="0.45">
      <c r="B70" s="72">
        <v>44263</v>
      </c>
      <c r="C70" s="73">
        <v>113.4401931762695</v>
      </c>
      <c r="D70" s="73">
        <v>3821.35009765625</v>
      </c>
      <c r="E70" s="73">
        <v>-4.1673337453107973</v>
      </c>
      <c r="F70" s="73">
        <v>-0.53592310301612267</v>
      </c>
    </row>
    <row r="71" spans="2:6" x14ac:dyDescent="0.45">
      <c r="B71" s="72">
        <v>44264</v>
      </c>
      <c r="C71" s="73">
        <v>118.0515060424805</v>
      </c>
      <c r="D71" s="73">
        <v>3875.43994140625</v>
      </c>
      <c r="E71" s="73">
        <v>4.0649726848099421</v>
      </c>
      <c r="F71" s="73">
        <v>1.4154642303822129</v>
      </c>
    </row>
    <row r="72" spans="2:6" x14ac:dyDescent="0.45">
      <c r="B72" s="72">
        <v>44265</v>
      </c>
      <c r="C72" s="73">
        <v>116.969352722168</v>
      </c>
      <c r="D72" s="73">
        <v>3898.81005859375</v>
      </c>
      <c r="E72" s="73">
        <v>-0.91667896208210697</v>
      </c>
      <c r="F72" s="73">
        <v>0.60303133427013211</v>
      </c>
    </row>
    <row r="73" spans="2:6" x14ac:dyDescent="0.45">
      <c r="B73" s="72">
        <v>44266</v>
      </c>
      <c r="C73" s="73">
        <v>118.8996505737305</v>
      </c>
      <c r="D73" s="73">
        <v>3939.340087890625</v>
      </c>
      <c r="E73" s="73">
        <v>1.6502594967311213</v>
      </c>
      <c r="F73" s="73">
        <v>1.0395487004435822</v>
      </c>
    </row>
    <row r="74" spans="2:6" x14ac:dyDescent="0.45">
      <c r="B74" s="72">
        <v>44267</v>
      </c>
      <c r="C74" s="73">
        <v>117.9929885864258</v>
      </c>
      <c r="D74" s="73">
        <v>3943.340087890625</v>
      </c>
      <c r="E74" s="73">
        <v>-0.7625438619287439</v>
      </c>
      <c r="F74" s="73">
        <v>0.10153984958789497</v>
      </c>
    </row>
    <row r="75" spans="2:6" x14ac:dyDescent="0.45">
      <c r="B75" s="72">
        <v>44270</v>
      </c>
      <c r="C75" s="73">
        <v>120.8787078857422</v>
      </c>
      <c r="D75" s="73">
        <v>3968.93994140625</v>
      </c>
      <c r="E75" s="73">
        <v>2.4456701486145649</v>
      </c>
      <c r="F75" s="73">
        <v>0.64919213014971167</v>
      </c>
    </row>
    <row r="76" spans="2:6" x14ac:dyDescent="0.45">
      <c r="B76" s="72">
        <v>44271</v>
      </c>
      <c r="C76" s="73">
        <v>122.41905212402339</v>
      </c>
      <c r="D76" s="73">
        <v>3962.7099609375</v>
      </c>
      <c r="E76" s="73">
        <v>1.2742891326545047</v>
      </c>
      <c r="F76" s="73">
        <v>-0.15696837343783798</v>
      </c>
    </row>
    <row r="77" spans="2:6" x14ac:dyDescent="0.45">
      <c r="B77" s="72">
        <v>44272</v>
      </c>
      <c r="C77" s="73">
        <v>121.62939453125</v>
      </c>
      <c r="D77" s="73">
        <v>3974.1201171875</v>
      </c>
      <c r="E77" s="73">
        <v>-0.64504468795705261</v>
      </c>
      <c r="F77" s="73">
        <v>0.28793821305308498</v>
      </c>
    </row>
    <row r="78" spans="2:6" x14ac:dyDescent="0.45">
      <c r="B78" s="72">
        <v>44273</v>
      </c>
      <c r="C78" s="73">
        <v>117.5055313110352</v>
      </c>
      <c r="D78" s="73">
        <v>3915.4599609375</v>
      </c>
      <c r="E78" s="73">
        <v>-3.3905152912318992</v>
      </c>
      <c r="F78" s="73">
        <v>-1.4760539319459198</v>
      </c>
    </row>
    <row r="79" spans="2:6" x14ac:dyDescent="0.45">
      <c r="B79" s="72">
        <v>44274</v>
      </c>
      <c r="C79" s="73">
        <v>116.9790725708008</v>
      </c>
      <c r="D79" s="73">
        <v>3913.10009765625</v>
      </c>
      <c r="E79" s="73">
        <v>-0.4480289007339322</v>
      </c>
      <c r="F79" s="73">
        <v>-6.0270397470363335E-2</v>
      </c>
    </row>
    <row r="80" spans="2:6" x14ac:dyDescent="0.45">
      <c r="B80" s="72">
        <v>44277</v>
      </c>
      <c r="C80" s="73">
        <v>120.29376220703119</v>
      </c>
      <c r="D80" s="73">
        <v>3940.590087890625</v>
      </c>
      <c r="E80" s="73">
        <v>2.8335748979581021</v>
      </c>
      <c r="F80" s="73">
        <v>0.7025118077311765</v>
      </c>
    </row>
    <row r="81" spans="2:6" x14ac:dyDescent="0.45">
      <c r="B81" s="72">
        <v>44278</v>
      </c>
      <c r="C81" s="73">
        <v>119.46510314941411</v>
      </c>
      <c r="D81" s="73">
        <v>3910.52001953125</v>
      </c>
      <c r="E81" s="73">
        <v>-0.68886286571612221</v>
      </c>
      <c r="F81" s="73">
        <v>-0.76308541839406052</v>
      </c>
    </row>
    <row r="82" spans="2:6" x14ac:dyDescent="0.45">
      <c r="B82" s="72">
        <v>44279</v>
      </c>
      <c r="C82" s="73">
        <v>117.0765762329102</v>
      </c>
      <c r="D82" s="73">
        <v>3889.139892578125</v>
      </c>
      <c r="E82" s="73">
        <v>-1.9993511523750951</v>
      </c>
      <c r="F82" s="73">
        <v>-0.546733601831495</v>
      </c>
    </row>
    <row r="83" spans="2:6" x14ac:dyDescent="0.45">
      <c r="B83" s="72">
        <v>44280</v>
      </c>
      <c r="C83" s="73">
        <v>117.5640182495117</v>
      </c>
      <c r="D83" s="73">
        <v>3909.52001953125</v>
      </c>
      <c r="E83" s="73">
        <v>0.41634461160855452</v>
      </c>
      <c r="F83" s="73">
        <v>0.52402658469594687</v>
      </c>
    </row>
    <row r="84" spans="2:6" x14ac:dyDescent="0.45">
      <c r="B84" s="72">
        <v>44281</v>
      </c>
      <c r="C84" s="73">
        <v>118.16847229003911</v>
      </c>
      <c r="D84" s="73">
        <v>3974.5400390625</v>
      </c>
      <c r="E84" s="73">
        <v>0.51414884377678494</v>
      </c>
      <c r="F84" s="73">
        <v>1.6631202604519668</v>
      </c>
    </row>
    <row r="85" spans="2:6" x14ac:dyDescent="0.45">
      <c r="B85" s="72">
        <v>44284</v>
      </c>
      <c r="C85" s="73">
        <v>118.3439559936523</v>
      </c>
      <c r="D85" s="73">
        <v>3971.090087890625</v>
      </c>
      <c r="E85" s="73">
        <v>0.14850298071256152</v>
      </c>
      <c r="F85" s="73">
        <v>-8.6801268523362118E-2</v>
      </c>
    </row>
    <row r="86" spans="2:6" x14ac:dyDescent="0.45">
      <c r="B86" s="72">
        <v>44285</v>
      </c>
      <c r="C86" s="73">
        <v>116.89134216308589</v>
      </c>
      <c r="D86" s="73">
        <v>3958.550048828125</v>
      </c>
      <c r="E86" s="73">
        <v>-1.2274507965952419</v>
      </c>
      <c r="F86" s="73">
        <v>-0.31578329337678124</v>
      </c>
    </row>
    <row r="87" spans="2:6" x14ac:dyDescent="0.45">
      <c r="B87" s="72">
        <v>44286</v>
      </c>
      <c r="C87" s="73">
        <v>119.0848770141602</v>
      </c>
      <c r="D87" s="73">
        <v>3972.889892578125</v>
      </c>
      <c r="E87" s="73">
        <v>1.8765588712412073</v>
      </c>
      <c r="F87" s="73">
        <v>0.36224990395776757</v>
      </c>
    </row>
    <row r="88" spans="2:6" x14ac:dyDescent="0.45">
      <c r="B88" s="72">
        <v>44287</v>
      </c>
      <c r="C88" s="73">
        <v>119.91355133056641</v>
      </c>
      <c r="D88" s="73">
        <v>4019.8701171875</v>
      </c>
      <c r="E88" s="73">
        <v>0.69586864191635289</v>
      </c>
      <c r="F88" s="73">
        <v>1.1825201774944727</v>
      </c>
    </row>
    <row r="89" spans="2:6" x14ac:dyDescent="0.45">
      <c r="B89" s="72">
        <v>44291</v>
      </c>
      <c r="C89" s="73">
        <v>122.7407760620117</v>
      </c>
      <c r="D89" s="73">
        <v>4077.909912109375</v>
      </c>
      <c r="E89" s="73">
        <v>2.357719123547164</v>
      </c>
      <c r="F89" s="73">
        <v>1.4438226417743616</v>
      </c>
    </row>
    <row r="90" spans="2:6" x14ac:dyDescent="0.45">
      <c r="B90" s="72">
        <v>44292</v>
      </c>
      <c r="C90" s="73">
        <v>123.0430221557617</v>
      </c>
      <c r="D90" s="73">
        <v>4073.93994140625</v>
      </c>
      <c r="E90" s="73">
        <v>0.24624750099127013</v>
      </c>
      <c r="F90" s="73">
        <v>-9.7353075195116823E-2</v>
      </c>
    </row>
    <row r="91" spans="2:6" x14ac:dyDescent="0.45">
      <c r="B91" s="72">
        <v>44293</v>
      </c>
      <c r="C91" s="73">
        <v>124.6905899047852</v>
      </c>
      <c r="D91" s="73">
        <v>4079.949951171875</v>
      </c>
      <c r="E91" s="73">
        <v>1.3390176217695782</v>
      </c>
      <c r="F91" s="73">
        <v>0.1475232784985625</v>
      </c>
    </row>
    <row r="92" spans="2:6" x14ac:dyDescent="0.45">
      <c r="B92" s="72">
        <v>44294</v>
      </c>
      <c r="C92" s="73">
        <v>127.08889007568359</v>
      </c>
      <c r="D92" s="73">
        <v>4097.169921875</v>
      </c>
      <c r="E92" s="73">
        <v>1.9234010944448654</v>
      </c>
      <c r="F92" s="73">
        <v>0.42206328286402695</v>
      </c>
    </row>
    <row r="93" spans="2:6" x14ac:dyDescent="0.45">
      <c r="B93" s="72">
        <v>44295</v>
      </c>
      <c r="C93" s="73">
        <v>129.66258239746091</v>
      </c>
      <c r="D93" s="73">
        <v>4128.7998046875</v>
      </c>
      <c r="E93" s="73">
        <v>2.0251119671000684</v>
      </c>
      <c r="F93" s="73">
        <v>0.77199343487381888</v>
      </c>
    </row>
    <row r="94" spans="2:6" x14ac:dyDescent="0.45">
      <c r="B94" s="72">
        <v>44298</v>
      </c>
      <c r="C94" s="73">
        <v>127.94680023193359</v>
      </c>
      <c r="D94" s="73">
        <v>4127.990234375</v>
      </c>
      <c r="E94" s="73">
        <v>-1.3232670010133285</v>
      </c>
      <c r="F94" s="73">
        <v>-1.9607884876882142E-2</v>
      </c>
    </row>
    <row r="95" spans="2:6" x14ac:dyDescent="0.45">
      <c r="B95" s="72">
        <v>44299</v>
      </c>
      <c r="C95" s="73">
        <v>131.0567321777344</v>
      </c>
      <c r="D95" s="73">
        <v>4141.58984375</v>
      </c>
      <c r="E95" s="73">
        <v>2.4306445648998976</v>
      </c>
      <c r="F95" s="73">
        <v>0.32944868090414303</v>
      </c>
    </row>
    <row r="96" spans="2:6" x14ac:dyDescent="0.45">
      <c r="B96" s="72">
        <v>44300</v>
      </c>
      <c r="C96" s="73">
        <v>128.71696472167969</v>
      </c>
      <c r="D96" s="73">
        <v>4124.66015625</v>
      </c>
      <c r="E96" s="73">
        <v>-1.7853088637076686</v>
      </c>
      <c r="F96" s="73">
        <v>-0.40877267278285334</v>
      </c>
    </row>
    <row r="97" spans="2:6" x14ac:dyDescent="0.45">
      <c r="B97" s="72">
        <v>44301</v>
      </c>
      <c r="C97" s="73">
        <v>131.12498474121091</v>
      </c>
      <c r="D97" s="73">
        <v>4170.419921875</v>
      </c>
      <c r="E97" s="73">
        <v>1.8707868265368077</v>
      </c>
      <c r="F97" s="73">
        <v>1.109419052516647</v>
      </c>
    </row>
    <row r="98" spans="2:6" x14ac:dyDescent="0.45">
      <c r="B98" s="72">
        <v>44302</v>
      </c>
      <c r="C98" s="73">
        <v>130.79350280761719</v>
      </c>
      <c r="D98" s="73">
        <v>4185.47021484375</v>
      </c>
      <c r="E98" s="73">
        <v>-0.25279845351207086</v>
      </c>
      <c r="F98" s="73">
        <v>0.36088195555097347</v>
      </c>
    </row>
    <row r="99" spans="2:6" x14ac:dyDescent="0.45">
      <c r="B99" s="72">
        <v>44305</v>
      </c>
      <c r="C99" s="73">
        <v>131.45646667480469</v>
      </c>
      <c r="D99" s="73">
        <v>4163.259765625</v>
      </c>
      <c r="E99" s="73">
        <v>0.50687828749615971</v>
      </c>
      <c r="F99" s="73">
        <v>-0.53065600944860458</v>
      </c>
    </row>
    <row r="100" spans="2:6" x14ac:dyDescent="0.45">
      <c r="B100" s="72">
        <v>44306</v>
      </c>
      <c r="C100" s="73">
        <v>129.76985168457031</v>
      </c>
      <c r="D100" s="73">
        <v>4134.93994140625</v>
      </c>
      <c r="E100" s="73">
        <v>-1.2830216975226461</v>
      </c>
      <c r="F100" s="73">
        <v>-0.68023197717759221</v>
      </c>
    </row>
    <row r="101" spans="2:6" x14ac:dyDescent="0.45">
      <c r="B101" s="72">
        <v>44307</v>
      </c>
      <c r="C101" s="73">
        <v>130.1500549316406</v>
      </c>
      <c r="D101" s="73">
        <v>4173.419921875</v>
      </c>
      <c r="E101" s="73">
        <v>0.29298272451943053</v>
      </c>
      <c r="F101" s="73">
        <v>0.93060554721535738</v>
      </c>
    </row>
    <row r="102" spans="2:6" x14ac:dyDescent="0.45">
      <c r="B102" s="72">
        <v>44308</v>
      </c>
      <c r="C102" s="73">
        <v>128.62921142578119</v>
      </c>
      <c r="D102" s="73">
        <v>4134.97998046875</v>
      </c>
      <c r="E102" s="73">
        <v>-1.1685308213340351</v>
      </c>
      <c r="F102" s="73">
        <v>-0.9210657476561801</v>
      </c>
    </row>
    <row r="103" spans="2:6" x14ac:dyDescent="0.45">
      <c r="B103" s="72">
        <v>44309</v>
      </c>
      <c r="C103" s="73">
        <v>130.949462890625</v>
      </c>
      <c r="D103" s="73">
        <v>4180.169921875</v>
      </c>
      <c r="E103" s="73">
        <v>1.8038293472572464</v>
      </c>
      <c r="F103" s="73">
        <v>1.0928696540176919</v>
      </c>
    </row>
    <row r="104" spans="2:6" x14ac:dyDescent="0.45">
      <c r="B104" s="72">
        <v>44312</v>
      </c>
      <c r="C104" s="73">
        <v>131.33946228027341</v>
      </c>
      <c r="D104" s="73">
        <v>4187.6201171875</v>
      </c>
      <c r="E104" s="73">
        <v>0.29782435226493043</v>
      </c>
      <c r="F104" s="73">
        <v>0.1782270924804541</v>
      </c>
    </row>
    <row r="105" spans="2:6" x14ac:dyDescent="0.45">
      <c r="B105" s="72">
        <v>44313</v>
      </c>
      <c r="C105" s="73">
        <v>131.01774597167969</v>
      </c>
      <c r="D105" s="73">
        <v>4186.72021484375</v>
      </c>
      <c r="E105" s="73">
        <v>-0.24495022517085907</v>
      </c>
      <c r="F105" s="73">
        <v>-2.1489588801437698E-2</v>
      </c>
    </row>
    <row r="106" spans="2:6" x14ac:dyDescent="0.45">
      <c r="B106" s="72">
        <v>44314</v>
      </c>
      <c r="C106" s="73">
        <v>130.22807312011719</v>
      </c>
      <c r="D106" s="73">
        <v>4183.18017578125</v>
      </c>
      <c r="E106" s="73">
        <v>-0.60272205547879931</v>
      </c>
      <c r="F106" s="73">
        <v>-8.4553991688984809E-2</v>
      </c>
    </row>
    <row r="107" spans="2:6" x14ac:dyDescent="0.45">
      <c r="B107" s="72">
        <v>44315</v>
      </c>
      <c r="C107" s="73">
        <v>130.1305847167969</v>
      </c>
      <c r="D107" s="73">
        <v>4211.47021484375</v>
      </c>
      <c r="E107" s="73">
        <v>-7.4859744895683367E-2</v>
      </c>
      <c r="F107" s="73">
        <v>0.67628067340457232</v>
      </c>
    </row>
    <row r="108" spans="2:6" x14ac:dyDescent="0.45">
      <c r="B108" s="72">
        <v>44316</v>
      </c>
      <c r="C108" s="73">
        <v>128.16130065917969</v>
      </c>
      <c r="D108" s="73">
        <v>4181.169921875</v>
      </c>
      <c r="E108" s="73">
        <v>-1.5133137700894639</v>
      </c>
      <c r="F108" s="73">
        <v>-0.71947066993264253</v>
      </c>
    </row>
    <row r="109" spans="2:6" x14ac:dyDescent="0.45">
      <c r="B109" s="72">
        <v>44319</v>
      </c>
      <c r="C109" s="73">
        <v>129.21415710449219</v>
      </c>
      <c r="D109" s="73">
        <v>4192.66015625</v>
      </c>
      <c r="E109" s="73">
        <v>0.82150886414016355</v>
      </c>
      <c r="F109" s="73">
        <v>0.27480907472536842</v>
      </c>
    </row>
    <row r="110" spans="2:6" x14ac:dyDescent="0.45">
      <c r="B110" s="72">
        <v>44320</v>
      </c>
      <c r="C110" s="73">
        <v>124.641845703125</v>
      </c>
      <c r="D110" s="73">
        <v>4164.66015625</v>
      </c>
      <c r="E110" s="73">
        <v>-3.5385529757932632</v>
      </c>
      <c r="F110" s="73">
        <v>-0.6678337608227225</v>
      </c>
    </row>
    <row r="111" spans="2:6" x14ac:dyDescent="0.45">
      <c r="B111" s="72">
        <v>44321</v>
      </c>
      <c r="C111" s="73">
        <v>124.8855819702148</v>
      </c>
      <c r="D111" s="73">
        <v>4167.58984375</v>
      </c>
      <c r="E111" s="73">
        <v>0.19554930827190287</v>
      </c>
      <c r="F111" s="73">
        <v>7.0346376176777525E-2</v>
      </c>
    </row>
    <row r="112" spans="2:6" x14ac:dyDescent="0.45">
      <c r="B112" s="72">
        <v>44322</v>
      </c>
      <c r="C112" s="73">
        <v>126.4844284057617</v>
      </c>
      <c r="D112" s="73">
        <v>4201.6201171875</v>
      </c>
      <c r="E112" s="73">
        <v>1.2802490169987912</v>
      </c>
      <c r="F112" s="73">
        <v>0.81654564660518236</v>
      </c>
    </row>
    <row r="113" spans="2:6" x14ac:dyDescent="0.45">
      <c r="B113" s="72">
        <v>44323</v>
      </c>
      <c r="C113" s="73">
        <v>127.1582565307617</v>
      </c>
      <c r="D113" s="73">
        <v>4232.60009765625</v>
      </c>
      <c r="E113" s="73">
        <v>0.53273603201049458</v>
      </c>
      <c r="F113" s="73">
        <v>0.7373341616968343</v>
      </c>
    </row>
    <row r="114" spans="2:6" x14ac:dyDescent="0.45">
      <c r="B114" s="72">
        <v>44326</v>
      </c>
      <c r="C114" s="73">
        <v>123.8769989013672</v>
      </c>
      <c r="D114" s="73">
        <v>4188.43017578125</v>
      </c>
      <c r="E114" s="73">
        <v>-2.5804518864260384</v>
      </c>
      <c r="F114" s="73">
        <v>-1.0435647322188157</v>
      </c>
    </row>
    <row r="115" spans="2:6" x14ac:dyDescent="0.45">
      <c r="B115" s="72">
        <v>44327</v>
      </c>
      <c r="C115" s="73">
        <v>122.9590377807617</v>
      </c>
      <c r="D115" s="73">
        <v>4152.10009765625</v>
      </c>
      <c r="E115" s="73">
        <v>-0.74102628312492369</v>
      </c>
      <c r="F115" s="73">
        <v>-0.867391280271812</v>
      </c>
    </row>
    <row r="116" spans="2:6" x14ac:dyDescent="0.45">
      <c r="B116" s="72">
        <v>44328</v>
      </c>
      <c r="C116" s="73">
        <v>119.8926315307617</v>
      </c>
      <c r="D116" s="73">
        <v>4063.0400390625</v>
      </c>
      <c r="E116" s="73">
        <v>-2.4938437266136204</v>
      </c>
      <c r="F116" s="73">
        <v>-2.1449400664502738</v>
      </c>
    </row>
    <row r="117" spans="2:6" x14ac:dyDescent="0.45">
      <c r="B117" s="72">
        <v>44329</v>
      </c>
      <c r="C117" s="73">
        <v>122.0410690307617</v>
      </c>
      <c r="D117" s="73">
        <v>4112.5</v>
      </c>
      <c r="E117" s="73">
        <v>1.7919679237741626</v>
      </c>
      <c r="F117" s="73">
        <v>1.2173141406923493</v>
      </c>
    </row>
    <row r="118" spans="2:6" x14ac:dyDescent="0.45">
      <c r="B118" s="72">
        <v>44330</v>
      </c>
      <c r="C118" s="73">
        <v>124.4629364013672</v>
      </c>
      <c r="D118" s="73">
        <v>4173.85009765625</v>
      </c>
      <c r="E118" s="73">
        <v>1.9844691543918325</v>
      </c>
      <c r="F118" s="73">
        <v>1.4917956876899785</v>
      </c>
    </row>
    <row r="119" spans="2:6" x14ac:dyDescent="0.45">
      <c r="B119" s="72">
        <v>44333</v>
      </c>
      <c r="C119" s="73">
        <v>123.3105926513672</v>
      </c>
      <c r="D119" s="73">
        <v>4163.2900390625</v>
      </c>
      <c r="E119" s="73">
        <v>-0.92585293527378543</v>
      </c>
      <c r="F119" s="73">
        <v>-0.25300521932207776</v>
      </c>
    </row>
    <row r="120" spans="2:6" x14ac:dyDescent="0.45">
      <c r="B120" s="72">
        <v>44334</v>
      </c>
      <c r="C120" s="73">
        <v>121.92388916015619</v>
      </c>
      <c r="D120" s="73">
        <v>4127.830078125</v>
      </c>
      <c r="E120" s="73">
        <v>-1.1245615331130554</v>
      </c>
      <c r="F120" s="73">
        <v>-0.85172929593646529</v>
      </c>
    </row>
    <row r="121" spans="2:6" x14ac:dyDescent="0.45">
      <c r="B121" s="72">
        <v>44335</v>
      </c>
      <c r="C121" s="73">
        <v>121.7676162719727</v>
      </c>
      <c r="D121" s="73">
        <v>4115.68017578125</v>
      </c>
      <c r="E121" s="73">
        <v>-0.1281724929051542</v>
      </c>
      <c r="F121" s="73">
        <v>-0.29434114568177572</v>
      </c>
    </row>
    <row r="122" spans="2:6" x14ac:dyDescent="0.45">
      <c r="B122" s="72">
        <v>44336</v>
      </c>
      <c r="C122" s="73">
        <v>124.32623291015619</v>
      </c>
      <c r="D122" s="73">
        <v>4159.1201171875</v>
      </c>
      <c r="E122" s="73">
        <v>2.1012291416370621</v>
      </c>
      <c r="F122" s="73">
        <v>1.0554741756143349</v>
      </c>
    </row>
    <row r="123" spans="2:6" x14ac:dyDescent="0.45">
      <c r="B123" s="72">
        <v>44337</v>
      </c>
      <c r="C123" s="73">
        <v>122.4902801513672</v>
      </c>
      <c r="D123" s="73">
        <v>4155.85986328125</v>
      </c>
      <c r="E123" s="73">
        <v>-1.4767219401843668</v>
      </c>
      <c r="F123" s="73">
        <v>-7.8388068014123569E-2</v>
      </c>
    </row>
    <row r="124" spans="2:6" x14ac:dyDescent="0.45">
      <c r="B124" s="72">
        <v>44340</v>
      </c>
      <c r="C124" s="73">
        <v>124.12115478515619</v>
      </c>
      <c r="D124" s="73">
        <v>4197.0498046875</v>
      </c>
      <c r="E124" s="73">
        <v>1.3314318750627718</v>
      </c>
      <c r="F124" s="73">
        <v>0.9911292190138532</v>
      </c>
    </row>
    <row r="125" spans="2:6" x14ac:dyDescent="0.45">
      <c r="B125" s="72">
        <v>44341</v>
      </c>
      <c r="C125" s="73">
        <v>123.9258193969727</v>
      </c>
      <c r="D125" s="73">
        <v>4188.1298828125</v>
      </c>
      <c r="E125" s="73">
        <v>-0.15737477509100151</v>
      </c>
      <c r="F125" s="73">
        <v>-0.21252837802967495</v>
      </c>
    </row>
    <row r="126" spans="2:6" x14ac:dyDescent="0.45">
      <c r="B126" s="72">
        <v>44342</v>
      </c>
      <c r="C126" s="73">
        <v>123.8769989013672</v>
      </c>
      <c r="D126" s="73">
        <v>4195.990234375</v>
      </c>
      <c r="E126" s="73">
        <v>-3.9394934681935556E-2</v>
      </c>
      <c r="F126" s="73">
        <v>0.18768165702687245</v>
      </c>
    </row>
    <row r="127" spans="2:6" x14ac:dyDescent="0.45">
      <c r="B127" s="72">
        <v>44343</v>
      </c>
      <c r="C127" s="73">
        <v>122.34381103515619</v>
      </c>
      <c r="D127" s="73">
        <v>4200.8798828125</v>
      </c>
      <c r="E127" s="73">
        <v>-1.2376695268762172</v>
      </c>
      <c r="F127" s="73">
        <v>0.11653145418315525</v>
      </c>
    </row>
    <row r="128" spans="2:6" x14ac:dyDescent="0.45">
      <c r="B128" s="72">
        <v>44344</v>
      </c>
      <c r="C128" s="73">
        <v>121.6895065307617</v>
      </c>
      <c r="D128" s="73">
        <v>4204.10986328125</v>
      </c>
      <c r="E128" s="73">
        <v>-0.53480801264762512</v>
      </c>
      <c r="F128" s="73">
        <v>7.6888189114021621E-2</v>
      </c>
    </row>
    <row r="129" spans="2:6" x14ac:dyDescent="0.45">
      <c r="B129" s="72">
        <v>44348</v>
      </c>
      <c r="C129" s="73">
        <v>121.36724853515619</v>
      </c>
      <c r="D129" s="73">
        <v>4202.0400390625</v>
      </c>
      <c r="E129" s="73">
        <v>-0.26481987214242997</v>
      </c>
      <c r="F129" s="73">
        <v>-4.9233352268640562E-2</v>
      </c>
    </row>
    <row r="130" spans="2:6" x14ac:dyDescent="0.45">
      <c r="B130" s="72">
        <v>44349</v>
      </c>
      <c r="C130" s="73">
        <v>122.1289520263672</v>
      </c>
      <c r="D130" s="73">
        <v>4208.1201171875</v>
      </c>
      <c r="E130" s="73">
        <v>0.62760217472539459</v>
      </c>
      <c r="F130" s="73">
        <v>0.14469348384307246</v>
      </c>
    </row>
    <row r="131" spans="2:6" x14ac:dyDescent="0.45">
      <c r="B131" s="72">
        <v>44350</v>
      </c>
      <c r="C131" s="73">
        <v>120.6445770263672</v>
      </c>
      <c r="D131" s="73">
        <v>4192.85009765625</v>
      </c>
      <c r="E131" s="73">
        <v>-1.2154161444696054</v>
      </c>
      <c r="F131" s="73">
        <v>-0.36287033416374515</v>
      </c>
    </row>
    <row r="132" spans="2:6" x14ac:dyDescent="0.45">
      <c r="B132" s="72">
        <v>44351</v>
      </c>
      <c r="C132" s="73">
        <v>122.9394989013672</v>
      </c>
      <c r="D132" s="73">
        <v>4229.89013671875</v>
      </c>
      <c r="E132" s="73">
        <v>1.9022171833703139</v>
      </c>
      <c r="F132" s="73">
        <v>0.88340957105059736</v>
      </c>
    </row>
    <row r="133" spans="2:6" x14ac:dyDescent="0.45">
      <c r="B133" s="72">
        <v>44354</v>
      </c>
      <c r="C133" s="73">
        <v>122.9492568969727</v>
      </c>
      <c r="D133" s="73">
        <v>4226.52001953125</v>
      </c>
      <c r="E133" s="73">
        <v>7.9372339180538987E-3</v>
      </c>
      <c r="F133" s="73">
        <v>-7.9673870445118311E-2</v>
      </c>
    </row>
    <row r="134" spans="2:6" x14ac:dyDescent="0.45">
      <c r="B134" s="72">
        <v>44355</v>
      </c>
      <c r="C134" s="73">
        <v>123.7695846557617</v>
      </c>
      <c r="D134" s="73">
        <v>4227.259765625</v>
      </c>
      <c r="E134" s="73">
        <v>0.66720839108154184</v>
      </c>
      <c r="F134" s="73">
        <v>1.7502486450582388E-2</v>
      </c>
    </row>
    <row r="135" spans="2:6" x14ac:dyDescent="0.45">
      <c r="B135" s="72">
        <v>44356</v>
      </c>
      <c r="C135" s="73">
        <v>124.15041351318359</v>
      </c>
      <c r="D135" s="73">
        <v>4219.5498046875</v>
      </c>
      <c r="E135" s="73">
        <v>0.30769179559022586</v>
      </c>
      <c r="F135" s="73">
        <v>-0.18238673194856947</v>
      </c>
    </row>
    <row r="136" spans="2:6" x14ac:dyDescent="0.45">
      <c r="B136" s="72">
        <v>44357</v>
      </c>
      <c r="C136" s="73">
        <v>123.1543426513672</v>
      </c>
      <c r="D136" s="73">
        <v>4239.18017578125</v>
      </c>
      <c r="E136" s="73">
        <v>-0.80230974157055046</v>
      </c>
      <c r="F136" s="73">
        <v>0.46522430122621916</v>
      </c>
    </row>
    <row r="137" spans="2:6" x14ac:dyDescent="0.45">
      <c r="B137" s="72">
        <v>44358</v>
      </c>
      <c r="C137" s="73">
        <v>124.3653030395508</v>
      </c>
      <c r="D137" s="73">
        <v>4247.43994140625</v>
      </c>
      <c r="E137" s="73">
        <v>0.98328679453201229</v>
      </c>
      <c r="F137" s="73">
        <v>0.19484346695590737</v>
      </c>
    </row>
    <row r="138" spans="2:6" x14ac:dyDescent="0.45">
      <c r="B138" s="72">
        <v>44361</v>
      </c>
      <c r="C138" s="73">
        <v>127.42193603515619</v>
      </c>
      <c r="D138" s="73">
        <v>4255.14990234375</v>
      </c>
      <c r="E138" s="73">
        <v>2.4577859908670119</v>
      </c>
      <c r="F138" s="73">
        <v>0.18152018730952513</v>
      </c>
    </row>
    <row r="139" spans="2:6" x14ac:dyDescent="0.45">
      <c r="B139" s="72">
        <v>44362</v>
      </c>
      <c r="C139" s="73">
        <v>126.6016082763672</v>
      </c>
      <c r="D139" s="73">
        <v>4246.58984375</v>
      </c>
      <c r="E139" s="73">
        <v>-0.64378849067452393</v>
      </c>
      <c r="F139" s="73">
        <v>-0.20116937805257917</v>
      </c>
    </row>
    <row r="140" spans="2:6" x14ac:dyDescent="0.45">
      <c r="B140" s="72">
        <v>44363</v>
      </c>
      <c r="C140" s="73">
        <v>127.0996780395508</v>
      </c>
      <c r="D140" s="73">
        <v>4223.7001953125</v>
      </c>
      <c r="E140" s="73">
        <v>0.39341503632113195</v>
      </c>
      <c r="F140" s="73">
        <v>-0.53901246128557068</v>
      </c>
    </row>
    <row r="141" spans="2:6" x14ac:dyDescent="0.45">
      <c r="B141" s="72">
        <v>44364</v>
      </c>
      <c r="C141" s="73">
        <v>128.70121765136719</v>
      </c>
      <c r="D141" s="73">
        <v>4221.85986328125</v>
      </c>
      <c r="E141" s="73">
        <v>1.2600658290558675</v>
      </c>
      <c r="F141" s="73">
        <v>-4.3571559205179966E-2</v>
      </c>
    </row>
    <row r="142" spans="2:6" x14ac:dyDescent="0.45">
      <c r="B142" s="72">
        <v>44365</v>
      </c>
      <c r="C142" s="73">
        <v>127.4023895263672</v>
      </c>
      <c r="D142" s="73">
        <v>4166.4501953125</v>
      </c>
      <c r="E142" s="73">
        <v>-1.0091809142927621</v>
      </c>
      <c r="F142" s="73">
        <v>-1.3124468779900589</v>
      </c>
    </row>
    <row r="143" spans="2:6" x14ac:dyDescent="0.45">
      <c r="B143" s="72">
        <v>44368</v>
      </c>
      <c r="C143" s="73">
        <v>129.19927978515619</v>
      </c>
      <c r="D143" s="73">
        <v>4224.7900390625</v>
      </c>
      <c r="E143" s="73">
        <v>1.4104054605797778</v>
      </c>
      <c r="F143" s="73">
        <v>1.4002289962720793</v>
      </c>
    </row>
    <row r="144" spans="2:6" x14ac:dyDescent="0.45">
      <c r="B144" s="72">
        <v>44369</v>
      </c>
      <c r="C144" s="73">
        <v>130.83988952636719</v>
      </c>
      <c r="D144" s="73">
        <v>4246.43994140625</v>
      </c>
      <c r="E144" s="73">
        <v>1.2698288596802776</v>
      </c>
      <c r="F144" s="73">
        <v>0.51244919022186419</v>
      </c>
    </row>
    <row r="145" spans="2:6" x14ac:dyDescent="0.45">
      <c r="B145" s="72">
        <v>44370</v>
      </c>
      <c r="C145" s="73">
        <v>130.56645202636719</v>
      </c>
      <c r="D145" s="73">
        <v>4241.83984375</v>
      </c>
      <c r="E145" s="73">
        <v>-0.20898634276582673</v>
      </c>
      <c r="F145" s="73">
        <v>-0.10832833431588806</v>
      </c>
    </row>
    <row r="146" spans="2:6" x14ac:dyDescent="0.45">
      <c r="B146" s="72">
        <v>44371</v>
      </c>
      <c r="C146" s="73">
        <v>130.28324890136719</v>
      </c>
      <c r="D146" s="73">
        <v>4266.490234375</v>
      </c>
      <c r="E146" s="73">
        <v>-0.21690343928684186</v>
      </c>
      <c r="F146" s="73">
        <v>0.58112497248854478</v>
      </c>
    </row>
    <row r="147" spans="2:6" x14ac:dyDescent="0.45">
      <c r="B147" s="72">
        <v>44372</v>
      </c>
      <c r="C147" s="73">
        <v>129.99028015136719</v>
      </c>
      <c r="D147" s="73">
        <v>4280.7001953125</v>
      </c>
      <c r="E147" s="73">
        <v>-0.22487062033722527</v>
      </c>
      <c r="F147" s="73">
        <v>0.33305973193167304</v>
      </c>
    </row>
    <row r="148" spans="2:6" x14ac:dyDescent="0.45">
      <c r="B148" s="72">
        <v>44375</v>
      </c>
      <c r="C148" s="73">
        <v>131.62115478515619</v>
      </c>
      <c r="D148" s="73">
        <v>4290.60986328125</v>
      </c>
      <c r="E148" s="73">
        <v>1.2546127540381757</v>
      </c>
      <c r="F148" s="73">
        <v>0.23149642620619026</v>
      </c>
    </row>
    <row r="149" spans="2:6" x14ac:dyDescent="0.45">
      <c r="B149" s="72">
        <v>44376</v>
      </c>
      <c r="C149" s="73">
        <v>133.13481140136719</v>
      </c>
      <c r="D149" s="73">
        <v>4291.7998046875</v>
      </c>
      <c r="E149" s="73">
        <v>1.1500101322479139</v>
      </c>
      <c r="F149" s="73">
        <v>2.7733619326086867E-2</v>
      </c>
    </row>
    <row r="150" spans="2:6" x14ac:dyDescent="0.45">
      <c r="B150" s="72">
        <v>44377</v>
      </c>
      <c r="C150" s="73">
        <v>133.7500305175781</v>
      </c>
      <c r="D150" s="73">
        <v>4297.5</v>
      </c>
      <c r="E150" s="73">
        <v>0.46210236806973892</v>
      </c>
      <c r="F150" s="73">
        <v>0.13281596467464851</v>
      </c>
    </row>
    <row r="151" spans="2:6" x14ac:dyDescent="0.45">
      <c r="B151" s="72">
        <v>44378</v>
      </c>
      <c r="C151" s="73">
        <v>134.05278015136719</v>
      </c>
      <c r="D151" s="73">
        <v>4319.93994140625</v>
      </c>
      <c r="E151" s="73">
        <v>0.22635481473725072</v>
      </c>
      <c r="F151" s="73">
        <v>0.52216268542757405</v>
      </c>
    </row>
    <row r="152" spans="2:6" x14ac:dyDescent="0.45">
      <c r="B152" s="72">
        <v>44379</v>
      </c>
      <c r="C152" s="73">
        <v>136.67974853515619</v>
      </c>
      <c r="D152" s="73">
        <v>4352.33984375</v>
      </c>
      <c r="E152" s="73">
        <v>1.9596522957768814</v>
      </c>
      <c r="F152" s="73">
        <v>0.75000816639139156</v>
      </c>
    </row>
    <row r="153" spans="2:6" x14ac:dyDescent="0.45">
      <c r="B153" s="72">
        <v>44383</v>
      </c>
      <c r="C153" s="73">
        <v>138.69146728515619</v>
      </c>
      <c r="D153" s="73">
        <v>4343.5400390625</v>
      </c>
      <c r="E153" s="73">
        <v>1.4718484424798062</v>
      </c>
      <c r="F153" s="73">
        <v>-0.20218560598241897</v>
      </c>
    </row>
    <row r="154" spans="2:6" x14ac:dyDescent="0.45">
      <c r="B154" s="72">
        <v>44384</v>
      </c>
      <c r="C154" s="73">
        <v>141.18170166015619</v>
      </c>
      <c r="D154" s="73">
        <v>4358.1298828125</v>
      </c>
      <c r="E154" s="73">
        <v>1.7955209673281125</v>
      </c>
      <c r="F154" s="73">
        <v>0.33589753101825881</v>
      </c>
    </row>
    <row r="155" spans="2:6" x14ac:dyDescent="0.45">
      <c r="B155" s="72">
        <v>44385</v>
      </c>
      <c r="C155" s="73">
        <v>139.88285827636719</v>
      </c>
      <c r="D155" s="73">
        <v>4320.81982421875</v>
      </c>
      <c r="E155" s="73">
        <v>-0.91997997510718799</v>
      </c>
      <c r="F155" s="73">
        <v>-0.85610249343169853</v>
      </c>
    </row>
    <row r="156" spans="2:6" x14ac:dyDescent="0.45">
      <c r="B156" s="72">
        <v>44386</v>
      </c>
      <c r="C156" s="73">
        <v>141.70906066894531</v>
      </c>
      <c r="D156" s="73">
        <v>4369.5498046875</v>
      </c>
      <c r="E156" s="73">
        <v>1.3055226459342872</v>
      </c>
      <c r="F156" s="73">
        <v>1.1277947808795874</v>
      </c>
    </row>
    <row r="157" spans="2:6" x14ac:dyDescent="0.45">
      <c r="B157" s="72">
        <v>44389</v>
      </c>
      <c r="C157" s="73">
        <v>141.11332702636719</v>
      </c>
      <c r="D157" s="73">
        <v>4384.6298828125</v>
      </c>
      <c r="E157" s="73">
        <v>-0.42039206227599824</v>
      </c>
      <c r="F157" s="73">
        <v>0.34511743312370946</v>
      </c>
    </row>
    <row r="158" spans="2:6" x14ac:dyDescent="0.45">
      <c r="B158" s="72">
        <v>44390</v>
      </c>
      <c r="C158" s="73">
        <v>142.22660827636719</v>
      </c>
      <c r="D158" s="73">
        <v>4369.2099609375</v>
      </c>
      <c r="E158" s="73">
        <v>0.78892707971656151</v>
      </c>
      <c r="F158" s="73">
        <v>-0.35168126585656267</v>
      </c>
    </row>
    <row r="159" spans="2:6" x14ac:dyDescent="0.45">
      <c r="B159" s="72">
        <v>44391</v>
      </c>
      <c r="C159" s="73">
        <v>145.65434265136719</v>
      </c>
      <c r="D159" s="73">
        <v>4374.2998046875</v>
      </c>
      <c r="E159" s="73">
        <v>2.4100514077783686</v>
      </c>
      <c r="F159" s="73">
        <v>0.11649345752446916</v>
      </c>
    </row>
    <row r="160" spans="2:6" x14ac:dyDescent="0.45">
      <c r="B160" s="72">
        <v>44392</v>
      </c>
      <c r="C160" s="73">
        <v>145.00004577636719</v>
      </c>
      <c r="D160" s="73">
        <v>4360.02978515625</v>
      </c>
      <c r="E160" s="73">
        <v>-0.44921206130194014</v>
      </c>
      <c r="F160" s="73">
        <v>-0.32622408541723713</v>
      </c>
    </row>
    <row r="161" spans="2:6" x14ac:dyDescent="0.45">
      <c r="B161" s="72">
        <v>44393</v>
      </c>
      <c r="C161" s="73">
        <v>142.9590759277344</v>
      </c>
      <c r="D161" s="73">
        <v>4327.16015625</v>
      </c>
      <c r="E161" s="73">
        <v>-1.4075649684832214</v>
      </c>
      <c r="F161" s="73">
        <v>-0.75388542110778056</v>
      </c>
    </row>
    <row r="162" spans="2:6" x14ac:dyDescent="0.45">
      <c r="B162" s="72">
        <v>44396</v>
      </c>
      <c r="C162" s="73">
        <v>139.11137390136719</v>
      </c>
      <c r="D162" s="73">
        <v>4258.490234375</v>
      </c>
      <c r="E162" s="73">
        <v>-2.6914709691549965</v>
      </c>
      <c r="F162" s="73">
        <v>-1.5869512427409305</v>
      </c>
    </row>
    <row r="163" spans="2:6" x14ac:dyDescent="0.45">
      <c r="B163" s="72">
        <v>44397</v>
      </c>
      <c r="C163" s="73">
        <v>142.7247009277344</v>
      </c>
      <c r="D163" s="73">
        <v>4323.06005859375</v>
      </c>
      <c r="E163" s="73">
        <v>2.5974346489663347</v>
      </c>
      <c r="F163" s="73">
        <v>1.5162609437855634</v>
      </c>
    </row>
    <row r="164" spans="2:6" x14ac:dyDescent="0.45">
      <c r="B164" s="72">
        <v>44398</v>
      </c>
      <c r="C164" s="73">
        <v>141.9922180175781</v>
      </c>
      <c r="D164" s="73">
        <v>4358.68994140625</v>
      </c>
      <c r="E164" s="73">
        <v>-0.51321383432233469</v>
      </c>
      <c r="F164" s="73">
        <v>0.82418199908353973</v>
      </c>
    </row>
    <row r="165" spans="2:6" x14ac:dyDescent="0.45">
      <c r="B165" s="72">
        <v>44399</v>
      </c>
      <c r="C165" s="73">
        <v>143.35942077636719</v>
      </c>
      <c r="D165" s="73">
        <v>4367.47998046875</v>
      </c>
      <c r="E165" s="73">
        <v>0.96287161217514239</v>
      </c>
      <c r="F165" s="73">
        <v>0.20166699583279435</v>
      </c>
    </row>
    <row r="166" spans="2:6" x14ac:dyDescent="0.45">
      <c r="B166" s="72">
        <v>44400</v>
      </c>
      <c r="C166" s="73">
        <v>145.07814025878909</v>
      </c>
      <c r="D166" s="73">
        <v>4411.7900390625</v>
      </c>
      <c r="E166" s="73">
        <v>1.1988884114584986</v>
      </c>
      <c r="F166" s="73">
        <v>1.0145452020822843</v>
      </c>
    </row>
    <row r="167" spans="2:6" x14ac:dyDescent="0.45">
      <c r="B167" s="72">
        <v>44403</v>
      </c>
      <c r="C167" s="73">
        <v>145.49810791015619</v>
      </c>
      <c r="D167" s="73">
        <v>4422.2998046875</v>
      </c>
      <c r="E167" s="73">
        <v>0.28947686441112008</v>
      </c>
      <c r="F167" s="73">
        <v>0.23821998626283314</v>
      </c>
    </row>
    <row r="168" spans="2:6" x14ac:dyDescent="0.45">
      <c r="B168" s="72">
        <v>44404</v>
      </c>
      <c r="C168" s="73">
        <v>143.3301696777344</v>
      </c>
      <c r="D168" s="73">
        <v>4401.4599609375</v>
      </c>
      <c r="E168" s="73">
        <v>-1.4900112885045003</v>
      </c>
      <c r="F168" s="73">
        <v>-0.47124448070912095</v>
      </c>
    </row>
    <row r="169" spans="2:6" x14ac:dyDescent="0.45">
      <c r="B169" s="72">
        <v>44405</v>
      </c>
      <c r="C169" s="73">
        <v>141.58210754394531</v>
      </c>
      <c r="D169" s="73">
        <v>4400.64013671875</v>
      </c>
      <c r="E169" s="73">
        <v>-1.2196051520202977</v>
      </c>
      <c r="F169" s="73">
        <v>-1.862618826539153E-2</v>
      </c>
    </row>
    <row r="170" spans="2:6" x14ac:dyDescent="0.45">
      <c r="B170" s="72">
        <v>44406</v>
      </c>
      <c r="C170" s="73">
        <v>142.22660827636719</v>
      </c>
      <c r="D170" s="73">
        <v>4419.14990234375</v>
      </c>
      <c r="E170" s="73">
        <v>0.45521340485896733</v>
      </c>
      <c r="F170" s="73">
        <v>0.42061529800074826</v>
      </c>
    </row>
    <row r="171" spans="2:6" x14ac:dyDescent="0.45">
      <c r="B171" s="72">
        <v>44407</v>
      </c>
      <c r="C171" s="73">
        <v>142.44145202636719</v>
      </c>
      <c r="D171" s="73">
        <v>4395.259765625</v>
      </c>
      <c r="E171" s="73">
        <v>0.15105735319409508</v>
      </c>
      <c r="F171" s="73">
        <v>-0.54060480514769305</v>
      </c>
    </row>
    <row r="172" spans="2:6" x14ac:dyDescent="0.45">
      <c r="B172" s="72">
        <v>44410</v>
      </c>
      <c r="C172" s="73">
        <v>142.10945129394531</v>
      </c>
      <c r="D172" s="73">
        <v>4387.16015625</v>
      </c>
      <c r="E172" s="73">
        <v>-0.23307873354199149</v>
      </c>
      <c r="F172" s="73">
        <v>-0.1842805614891363</v>
      </c>
    </row>
    <row r="173" spans="2:6" x14ac:dyDescent="0.45">
      <c r="B173" s="72">
        <v>44411</v>
      </c>
      <c r="C173" s="73">
        <v>143.9063415527344</v>
      </c>
      <c r="D173" s="73">
        <v>4423.14990234375</v>
      </c>
      <c r="E173" s="73">
        <v>1.2644410645653137</v>
      </c>
      <c r="F173" s="73">
        <v>0.82034265474622003</v>
      </c>
    </row>
    <row r="174" spans="2:6" x14ac:dyDescent="0.45">
      <c r="B174" s="72">
        <v>44412</v>
      </c>
      <c r="C174" s="73">
        <v>143.50590515136719</v>
      </c>
      <c r="D174" s="73">
        <v>4402.66015625</v>
      </c>
      <c r="E174" s="73">
        <v>-0.27826181740606692</v>
      </c>
      <c r="F174" s="73">
        <v>-0.46323879014122937</v>
      </c>
    </row>
    <row r="175" spans="2:6" x14ac:dyDescent="0.45">
      <c r="B175" s="72">
        <v>44413</v>
      </c>
      <c r="C175" s="73">
        <v>143.61332702636719</v>
      </c>
      <c r="D175" s="73">
        <v>4429.10009765625</v>
      </c>
      <c r="E175" s="73">
        <v>7.4855369113002723E-2</v>
      </c>
      <c r="F175" s="73">
        <v>0.60054468134942418</v>
      </c>
    </row>
    <row r="176" spans="2:6" x14ac:dyDescent="0.45">
      <c r="B176" s="72">
        <v>44414</v>
      </c>
      <c r="C176" s="73">
        <v>142.92872619628909</v>
      </c>
      <c r="D176" s="73">
        <v>4436.52001953125</v>
      </c>
      <c r="E176" s="73">
        <v>-0.4766972844744477</v>
      </c>
      <c r="F176" s="73">
        <v>0.16752662417647279</v>
      </c>
    </row>
    <row r="177" spans="2:6" x14ac:dyDescent="0.45">
      <c r="B177" s="72">
        <v>44417</v>
      </c>
      <c r="C177" s="73">
        <v>142.87982177734381</v>
      </c>
      <c r="D177" s="73">
        <v>4432.35009765625</v>
      </c>
      <c r="E177" s="73">
        <v>-3.4215948218918601E-2</v>
      </c>
      <c r="F177" s="73">
        <v>-9.3990827419743184E-2</v>
      </c>
    </row>
    <row r="178" spans="2:6" x14ac:dyDescent="0.45">
      <c r="B178" s="72">
        <v>44418</v>
      </c>
      <c r="C178" s="73">
        <v>142.40055847167969</v>
      </c>
      <c r="D178" s="73">
        <v>4436.75</v>
      </c>
      <c r="E178" s="73">
        <v>-0.3354310634646307</v>
      </c>
      <c r="F178" s="73">
        <v>9.9267933417013232E-2</v>
      </c>
    </row>
    <row r="179" spans="2:6" x14ac:dyDescent="0.45">
      <c r="B179" s="72">
        <v>44419</v>
      </c>
      <c r="C179" s="73">
        <v>142.65486145019531</v>
      </c>
      <c r="D179" s="73">
        <v>4442.41015625</v>
      </c>
      <c r="E179" s="73">
        <v>0.17858285195293533</v>
      </c>
      <c r="F179" s="73">
        <v>0.12757437876824707</v>
      </c>
    </row>
    <row r="180" spans="2:6" x14ac:dyDescent="0.45">
      <c r="B180" s="72">
        <v>44420</v>
      </c>
      <c r="C180" s="73">
        <v>145.6182861328125</v>
      </c>
      <c r="D180" s="73">
        <v>4460.830078125</v>
      </c>
      <c r="E180" s="73">
        <v>2.0773387268346211</v>
      </c>
      <c r="F180" s="73">
        <v>0.41463802816776862</v>
      </c>
    </row>
    <row r="181" spans="2:6" x14ac:dyDescent="0.45">
      <c r="B181" s="72">
        <v>44421</v>
      </c>
      <c r="C181" s="73">
        <v>145.82371520996091</v>
      </c>
      <c r="D181" s="73">
        <v>4468</v>
      </c>
      <c r="E181" s="73">
        <v>0.14107368147504573</v>
      </c>
      <c r="F181" s="73">
        <v>0.16073066558082161</v>
      </c>
    </row>
    <row r="182" spans="2:6" x14ac:dyDescent="0.45">
      <c r="B182" s="72">
        <v>44424</v>
      </c>
      <c r="C182" s="73">
        <v>147.79927062988281</v>
      </c>
      <c r="D182" s="73">
        <v>4479.7099609375</v>
      </c>
      <c r="E182" s="73">
        <v>1.354755923669515</v>
      </c>
      <c r="F182" s="73">
        <v>0.26208507022158489</v>
      </c>
    </row>
    <row r="183" spans="2:6" x14ac:dyDescent="0.45">
      <c r="B183" s="72">
        <v>44425</v>
      </c>
      <c r="C183" s="73">
        <v>146.88975524902341</v>
      </c>
      <c r="D183" s="73">
        <v>4448.080078125</v>
      </c>
      <c r="E183" s="73">
        <v>-0.61537203599401069</v>
      </c>
      <c r="F183" s="73">
        <v>-0.70606988149475303</v>
      </c>
    </row>
    <row r="184" spans="2:6" x14ac:dyDescent="0.45">
      <c r="B184" s="72">
        <v>44426</v>
      </c>
      <c r="C184" s="73">
        <v>143.14387512207031</v>
      </c>
      <c r="D184" s="73">
        <v>4400.27001953125</v>
      </c>
      <c r="E184" s="73">
        <v>-2.5501302800884029</v>
      </c>
      <c r="F184" s="73">
        <v>-1.0748470745585936</v>
      </c>
    </row>
    <row r="185" spans="2:6" x14ac:dyDescent="0.45">
      <c r="B185" s="72">
        <v>44427</v>
      </c>
      <c r="C185" s="73">
        <v>143.4764404296875</v>
      </c>
      <c r="D185" s="73">
        <v>4405.7998046875</v>
      </c>
      <c r="E185" s="73">
        <v>0.23232940098456556</v>
      </c>
      <c r="F185" s="73">
        <v>0.12566922329095842</v>
      </c>
    </row>
    <row r="186" spans="2:6" x14ac:dyDescent="0.45">
      <c r="B186" s="72">
        <v>44428</v>
      </c>
      <c r="C186" s="73">
        <v>144.93370056152341</v>
      </c>
      <c r="D186" s="73">
        <v>4441.669921875</v>
      </c>
      <c r="E186" s="73">
        <v>1.0156790393403003</v>
      </c>
      <c r="F186" s="73">
        <v>0.81415676557379246</v>
      </c>
    </row>
    <row r="187" spans="2:6" x14ac:dyDescent="0.45">
      <c r="B187" s="72">
        <v>44431</v>
      </c>
      <c r="C187" s="73">
        <v>146.42030334472659</v>
      </c>
      <c r="D187" s="73">
        <v>4479.52978515625</v>
      </c>
      <c r="E187" s="73">
        <v>1.0257122928922557</v>
      </c>
      <c r="F187" s="73">
        <v>0.85237903642483293</v>
      </c>
    </row>
    <row r="188" spans="2:6" x14ac:dyDescent="0.45">
      <c r="B188" s="72">
        <v>44432</v>
      </c>
      <c r="C188" s="73">
        <v>146.33222961425781</v>
      </c>
      <c r="D188" s="73">
        <v>4486.22998046875</v>
      </c>
      <c r="E188" s="73">
        <v>-6.0151309932354735E-2</v>
      </c>
      <c r="F188" s="73">
        <v>0.14957363013194946</v>
      </c>
    </row>
    <row r="189" spans="2:6" x14ac:dyDescent="0.45">
      <c r="B189" s="72">
        <v>44433</v>
      </c>
      <c r="C189" s="73">
        <v>145.09992980957031</v>
      </c>
      <c r="D189" s="73">
        <v>4496.18994140625</v>
      </c>
      <c r="E189" s="73">
        <v>-0.84212466927889862</v>
      </c>
      <c r="F189" s="73">
        <v>0.2220118224179668</v>
      </c>
    </row>
    <row r="190" spans="2:6" x14ac:dyDescent="0.45">
      <c r="B190" s="72">
        <v>44434</v>
      </c>
      <c r="C190" s="73">
        <v>144.29792785644531</v>
      </c>
      <c r="D190" s="73">
        <v>4470</v>
      </c>
      <c r="E190" s="73">
        <v>-0.55272387393815459</v>
      </c>
      <c r="F190" s="73">
        <v>-0.58249188196125568</v>
      </c>
    </row>
    <row r="191" spans="2:6" x14ac:dyDescent="0.45">
      <c r="B191" s="72">
        <v>44435</v>
      </c>
      <c r="C191" s="73">
        <v>145.33470153808591</v>
      </c>
      <c r="D191" s="73">
        <v>4509.3701171875</v>
      </c>
      <c r="E191" s="73">
        <v>0.7184951974307241</v>
      </c>
      <c r="F191" s="73">
        <v>0.88076324804251538</v>
      </c>
    </row>
    <row r="192" spans="2:6" x14ac:dyDescent="0.45">
      <c r="B192" s="72">
        <v>44438</v>
      </c>
      <c r="C192" s="73">
        <v>149.75535583496091</v>
      </c>
      <c r="D192" s="73">
        <v>4528.7900390625</v>
      </c>
      <c r="E192" s="73">
        <v>3.0417059725522888</v>
      </c>
      <c r="F192" s="73">
        <v>0.43065708447795892</v>
      </c>
    </row>
    <row r="193" spans="2:6" x14ac:dyDescent="0.45">
      <c r="B193" s="72">
        <v>44439</v>
      </c>
      <c r="C193" s="73">
        <v>148.49369812011719</v>
      </c>
      <c r="D193" s="73">
        <v>4522.68017578125</v>
      </c>
      <c r="E193" s="73">
        <v>-0.84247919402237192</v>
      </c>
      <c r="F193" s="73">
        <v>-0.13491160395050494</v>
      </c>
    </row>
    <row r="194" spans="2:6" x14ac:dyDescent="0.45">
      <c r="B194" s="72">
        <v>44440</v>
      </c>
      <c r="C194" s="73">
        <v>149.1587219238281</v>
      </c>
      <c r="D194" s="73">
        <v>4524.08984375</v>
      </c>
      <c r="E194" s="73">
        <v>0.44784648246349867</v>
      </c>
      <c r="F194" s="73">
        <v>3.1168862576191891E-2</v>
      </c>
    </row>
    <row r="195" spans="2:6" x14ac:dyDescent="0.45">
      <c r="B195" s="72">
        <v>44441</v>
      </c>
      <c r="C195" s="73">
        <v>150.2737121582031</v>
      </c>
      <c r="D195" s="73">
        <v>4536.9501953125</v>
      </c>
      <c r="E195" s="73">
        <v>0.74751930024206104</v>
      </c>
      <c r="F195" s="73">
        <v>0.28426384105229019</v>
      </c>
    </row>
    <row r="196" spans="2:6" x14ac:dyDescent="0.45">
      <c r="B196" s="72">
        <v>44442</v>
      </c>
      <c r="C196" s="73">
        <v>150.9094543457031</v>
      </c>
      <c r="D196" s="73">
        <v>4535.43017578125</v>
      </c>
      <c r="E196" s="73">
        <v>0.4230561542465372</v>
      </c>
      <c r="F196" s="73">
        <v>-3.3503112571531268E-2</v>
      </c>
    </row>
    <row r="197" spans="2:6" x14ac:dyDescent="0.45">
      <c r="B197" s="72">
        <v>44446</v>
      </c>
      <c r="C197" s="73">
        <v>153.2469177246094</v>
      </c>
      <c r="D197" s="73">
        <v>4520.02978515625</v>
      </c>
      <c r="E197" s="73">
        <v>1.5489177858609482</v>
      </c>
      <c r="F197" s="73">
        <v>-0.3395574405981705</v>
      </c>
    </row>
    <row r="198" spans="2:6" x14ac:dyDescent="0.45">
      <c r="B198" s="72">
        <v>44447</v>
      </c>
      <c r="C198" s="73">
        <v>151.70161437988281</v>
      </c>
      <c r="D198" s="73">
        <v>4514.06982421875</v>
      </c>
      <c r="E198" s="73">
        <v>-1.008374829113079</v>
      </c>
      <c r="F198" s="73">
        <v>-0.1318566739775151</v>
      </c>
    </row>
    <row r="199" spans="2:6" x14ac:dyDescent="0.45">
      <c r="B199" s="72">
        <v>44448</v>
      </c>
      <c r="C199" s="73">
        <v>150.6844787597656</v>
      </c>
      <c r="D199" s="73">
        <v>4493.27978515625</v>
      </c>
      <c r="E199" s="73">
        <v>-0.67048437439179986</v>
      </c>
      <c r="F199" s="73">
        <v>-0.46056086573933452</v>
      </c>
    </row>
    <row r="200" spans="2:6" x14ac:dyDescent="0.45">
      <c r="B200" s="72">
        <v>44449</v>
      </c>
      <c r="C200" s="73">
        <v>145.69654846191409</v>
      </c>
      <c r="D200" s="73">
        <v>4458.580078125</v>
      </c>
      <c r="E200" s="73">
        <v>-3.3101818706913422</v>
      </c>
      <c r="F200" s="73">
        <v>-0.77225787599254359</v>
      </c>
    </row>
    <row r="201" spans="2:6" x14ac:dyDescent="0.45">
      <c r="B201" s="72">
        <v>44452</v>
      </c>
      <c r="C201" s="73">
        <v>146.26380920410159</v>
      </c>
      <c r="D201" s="73">
        <v>4468.72998046875</v>
      </c>
      <c r="E201" s="73">
        <v>0.3893439811553101</v>
      </c>
      <c r="F201" s="73">
        <v>0.22764876184568905</v>
      </c>
    </row>
    <row r="202" spans="2:6" x14ac:dyDescent="0.45">
      <c r="B202" s="72">
        <v>44453</v>
      </c>
      <c r="C202" s="73">
        <v>144.8652038574219</v>
      </c>
      <c r="D202" s="73">
        <v>4443.0498046875</v>
      </c>
      <c r="E202" s="73">
        <v>-0.9562210599397325</v>
      </c>
      <c r="F202" s="73">
        <v>-0.57466385065755299</v>
      </c>
    </row>
    <row r="203" spans="2:6" x14ac:dyDescent="0.45">
      <c r="B203" s="72">
        <v>44454</v>
      </c>
      <c r="C203" s="73">
        <v>145.7552490234375</v>
      </c>
      <c r="D203" s="73">
        <v>4480.7001953125</v>
      </c>
      <c r="E203" s="73">
        <v>0.61439541195247305</v>
      </c>
      <c r="F203" s="73">
        <v>0.84739969795697423</v>
      </c>
    </row>
    <row r="204" spans="2:6" x14ac:dyDescent="0.45">
      <c r="B204" s="72">
        <v>44455</v>
      </c>
      <c r="C204" s="73">
        <v>145.52049255371091</v>
      </c>
      <c r="D204" s="73">
        <v>4473.75</v>
      </c>
      <c r="E204" s="73">
        <v>-0.16106210328579174</v>
      </c>
      <c r="F204" s="73">
        <v>-0.15511404489350067</v>
      </c>
    </row>
    <row r="205" spans="2:6" x14ac:dyDescent="0.45">
      <c r="B205" s="72">
        <v>44456</v>
      </c>
      <c r="C205" s="73">
        <v>142.8504943847656</v>
      </c>
      <c r="D205" s="73">
        <v>4432.990234375</v>
      </c>
      <c r="E205" s="73">
        <v>-1.8347918716395406</v>
      </c>
      <c r="F205" s="73">
        <v>-0.91108724504050942</v>
      </c>
    </row>
    <row r="206" spans="2:6" x14ac:dyDescent="0.45">
      <c r="B206" s="72">
        <v>44459</v>
      </c>
      <c r="C206" s="73">
        <v>139.79905700683591</v>
      </c>
      <c r="D206" s="73">
        <v>4357.72998046875</v>
      </c>
      <c r="E206" s="73">
        <v>-2.136105577423264</v>
      </c>
      <c r="F206" s="73">
        <v>-1.6977311008414819</v>
      </c>
    </row>
    <row r="207" spans="2:6" x14ac:dyDescent="0.45">
      <c r="B207" s="72">
        <v>44460</v>
      </c>
      <c r="C207" s="73">
        <v>140.2782287597656</v>
      </c>
      <c r="D207" s="73">
        <v>4354.18994140625</v>
      </c>
      <c r="E207" s="73">
        <v>0.34275750007830563</v>
      </c>
      <c r="F207" s="73">
        <v>-8.1235851655936386E-2</v>
      </c>
    </row>
    <row r="208" spans="2:6" x14ac:dyDescent="0.45">
      <c r="B208" s="72">
        <v>44461</v>
      </c>
      <c r="C208" s="73">
        <v>142.64508056640619</v>
      </c>
      <c r="D208" s="73">
        <v>4395.64013671875</v>
      </c>
      <c r="E208" s="73">
        <v>1.6872552694502385</v>
      </c>
      <c r="F208" s="73">
        <v>0.95196111952602358</v>
      </c>
    </row>
    <row r="209" spans="2:6" x14ac:dyDescent="0.45">
      <c r="B209" s="72">
        <v>44462</v>
      </c>
      <c r="C209" s="73">
        <v>143.60359191894531</v>
      </c>
      <c r="D209" s="73">
        <v>4448.97998046875</v>
      </c>
      <c r="E209" s="73">
        <v>0.67195542161926358</v>
      </c>
      <c r="F209" s="73">
        <v>1.2134715784494876</v>
      </c>
    </row>
    <row r="210" spans="2:6" x14ac:dyDescent="0.45">
      <c r="B210" s="72">
        <v>44463</v>
      </c>
      <c r="C210" s="73">
        <v>143.69157409667969</v>
      </c>
      <c r="D210" s="73">
        <v>4455.47998046875</v>
      </c>
      <c r="E210" s="73">
        <v>6.1267393495301192E-2</v>
      </c>
      <c r="F210" s="73">
        <v>0.1461009046688222</v>
      </c>
    </row>
    <row r="211" spans="2:6" x14ac:dyDescent="0.45">
      <c r="B211" s="72">
        <v>44466</v>
      </c>
      <c r="C211" s="73">
        <v>142.17564392089841</v>
      </c>
      <c r="D211" s="73">
        <v>4443.10986328125</v>
      </c>
      <c r="E211" s="73">
        <v>-1.0549889131016954</v>
      </c>
      <c r="F211" s="73">
        <v>-0.27763826213396126</v>
      </c>
    </row>
    <row r="212" spans="2:6" x14ac:dyDescent="0.45">
      <c r="B212" s="72">
        <v>44467</v>
      </c>
      <c r="C212" s="73">
        <v>138.79167175292969</v>
      </c>
      <c r="D212" s="73">
        <v>4352.6298828125</v>
      </c>
      <c r="E212" s="73">
        <v>-2.3801349335554556</v>
      </c>
      <c r="F212" s="73">
        <v>-2.0364110556098214</v>
      </c>
    </row>
    <row r="213" spans="2:6" x14ac:dyDescent="0.45">
      <c r="B213" s="72">
        <v>44468</v>
      </c>
      <c r="C213" s="73">
        <v>139.69145202636719</v>
      </c>
      <c r="D213" s="73">
        <v>4359.4599609375</v>
      </c>
      <c r="E213" s="73">
        <v>0.6482955800397372</v>
      </c>
      <c r="F213" s="73">
        <v>0.15691842194003325</v>
      </c>
    </row>
    <row r="214" spans="2:6" x14ac:dyDescent="0.45">
      <c r="B214" s="72">
        <v>44469</v>
      </c>
      <c r="C214" s="73">
        <v>138.39068603515619</v>
      </c>
      <c r="D214" s="73">
        <v>4307.5400390625</v>
      </c>
      <c r="E214" s="73">
        <v>-0.93117078557209965</v>
      </c>
      <c r="F214" s="73">
        <v>-1.1909714125195148</v>
      </c>
    </row>
    <row r="215" spans="2:6" x14ac:dyDescent="0.45">
      <c r="B215" s="72">
        <v>44470</v>
      </c>
      <c r="C215" s="73">
        <v>139.515380859375</v>
      </c>
      <c r="D215" s="73">
        <v>4357.0400390625</v>
      </c>
      <c r="E215" s="73">
        <v>0.81269546126325753</v>
      </c>
      <c r="F215" s="73">
        <v>1.149147763018199</v>
      </c>
    </row>
    <row r="216" spans="2:6" x14ac:dyDescent="0.45">
      <c r="B216" s="72">
        <v>44473</v>
      </c>
      <c r="C216" s="73">
        <v>136.08251953125</v>
      </c>
      <c r="D216" s="73">
        <v>4300.4599609375</v>
      </c>
      <c r="E216" s="73">
        <v>-2.460561199044542</v>
      </c>
      <c r="F216" s="73">
        <v>-1.2985898136748442</v>
      </c>
    </row>
    <row r="217" spans="2:6" x14ac:dyDescent="0.45">
      <c r="B217" s="72">
        <v>44474</v>
      </c>
      <c r="C217" s="73">
        <v>138.00926208496091</v>
      </c>
      <c r="D217" s="73">
        <v>4345.72021484375</v>
      </c>
      <c r="E217" s="73">
        <v>1.4158633749197014</v>
      </c>
      <c r="F217" s="73">
        <v>1.0524514660609219</v>
      </c>
    </row>
    <row r="218" spans="2:6" x14ac:dyDescent="0.45">
      <c r="B218" s="72">
        <v>44475</v>
      </c>
      <c r="C218" s="73">
        <v>138.87971496582031</v>
      </c>
      <c r="D218" s="73">
        <v>4363.5498046875</v>
      </c>
      <c r="E218" s="73">
        <v>0.63072062534725859</v>
      </c>
      <c r="F218" s="73">
        <v>0.41027928541854664</v>
      </c>
    </row>
    <row r="219" spans="2:6" x14ac:dyDescent="0.45">
      <c r="B219" s="72">
        <v>44476</v>
      </c>
      <c r="C219" s="73">
        <v>140.14134216308591</v>
      </c>
      <c r="D219" s="73">
        <v>4399.759765625</v>
      </c>
      <c r="E219" s="73">
        <v>0.90843158597790907</v>
      </c>
      <c r="F219" s="73">
        <v>0.82982806564053657</v>
      </c>
    </row>
    <row r="220" spans="2:6" x14ac:dyDescent="0.45">
      <c r="B220" s="72">
        <v>44477</v>
      </c>
      <c r="C220" s="73">
        <v>139.75990295410159</v>
      </c>
      <c r="D220" s="73">
        <v>4391.33984375</v>
      </c>
      <c r="E220" s="73">
        <v>-0.27218178668535487</v>
      </c>
      <c r="F220" s="73">
        <v>-0.19137230947889883</v>
      </c>
    </row>
    <row r="221" spans="2:6" x14ac:dyDescent="0.45">
      <c r="B221" s="72">
        <v>44480</v>
      </c>
      <c r="C221" s="73">
        <v>139.6719055175781</v>
      </c>
      <c r="D221" s="73">
        <v>4361.18994140625</v>
      </c>
      <c r="E221" s="73">
        <v>-6.2963292520601399E-2</v>
      </c>
      <c r="F221" s="73">
        <v>-0.68657638480568162</v>
      </c>
    </row>
    <row r="222" spans="2:6" x14ac:dyDescent="0.45">
      <c r="B222" s="72">
        <v>44481</v>
      </c>
      <c r="C222" s="73">
        <v>138.40045166015619</v>
      </c>
      <c r="D222" s="73">
        <v>4350.64990234375</v>
      </c>
      <c r="E222" s="73">
        <v>-0.91031467832439761</v>
      </c>
      <c r="F222" s="73">
        <v>-0.24167805585421087</v>
      </c>
    </row>
    <row r="223" spans="2:6" x14ac:dyDescent="0.45">
      <c r="B223" s="72">
        <v>44482</v>
      </c>
      <c r="C223" s="73">
        <v>137.81365966796881</v>
      </c>
      <c r="D223" s="73">
        <v>4363.7998046875</v>
      </c>
      <c r="E223" s="73">
        <v>-0.42398126967696514</v>
      </c>
      <c r="F223" s="73">
        <v>0.302251448379387</v>
      </c>
    </row>
    <row r="224" spans="2:6" x14ac:dyDescent="0.45">
      <c r="B224" s="72">
        <v>44483</v>
      </c>
      <c r="C224" s="73">
        <v>140.60102844238281</v>
      </c>
      <c r="D224" s="73">
        <v>4438.259765625</v>
      </c>
      <c r="E224" s="73">
        <v>2.0225634970651996</v>
      </c>
      <c r="F224" s="73">
        <v>1.7063101945583359</v>
      </c>
    </row>
    <row r="225" spans="2:6" x14ac:dyDescent="0.45">
      <c r="B225" s="72">
        <v>44484</v>
      </c>
      <c r="C225" s="73">
        <v>141.65730285644531</v>
      </c>
      <c r="D225" s="73">
        <v>4471.3701171875</v>
      </c>
      <c r="E225" s="73">
        <v>0.75125653472396525</v>
      </c>
      <c r="F225" s="73">
        <v>0.74602103777126061</v>
      </c>
    </row>
    <row r="226" spans="2:6" x14ac:dyDescent="0.45">
      <c r="B226" s="72">
        <v>44487</v>
      </c>
      <c r="C226" s="73">
        <v>143.32975769042969</v>
      </c>
      <c r="D226" s="73">
        <v>4486.4599609375</v>
      </c>
      <c r="E226" s="73">
        <v>1.1806343903633554</v>
      </c>
      <c r="F226" s="73">
        <v>0.337476955709759</v>
      </c>
    </row>
    <row r="227" spans="2:6" x14ac:dyDescent="0.45">
      <c r="B227" s="72">
        <v>44488</v>
      </c>
      <c r="C227" s="73">
        <v>145.49114990234381</v>
      </c>
      <c r="D227" s="73">
        <v>4519.6298828125</v>
      </c>
      <c r="E227" s="73">
        <v>1.5079856735559449</v>
      </c>
      <c r="F227" s="73">
        <v>0.73933395514063083</v>
      </c>
    </row>
    <row r="228" spans="2:6" x14ac:dyDescent="0.45">
      <c r="B228" s="72">
        <v>44489</v>
      </c>
      <c r="C228" s="73">
        <v>145.98017883300781</v>
      </c>
      <c r="D228" s="73">
        <v>4536.18994140625</v>
      </c>
      <c r="E228" s="73">
        <v>0.336122802653116</v>
      </c>
      <c r="F228" s="73">
        <v>0.36640298040166996</v>
      </c>
    </row>
    <row r="229" spans="2:6" x14ac:dyDescent="0.45">
      <c r="B229" s="72">
        <v>44490</v>
      </c>
      <c r="C229" s="73">
        <v>146.19532775878909</v>
      </c>
      <c r="D229" s="73">
        <v>4549.77978515625</v>
      </c>
      <c r="E229" s="73">
        <v>0.14738228676058895</v>
      </c>
      <c r="F229" s="73">
        <v>0.29958718496225778</v>
      </c>
    </row>
    <row r="230" spans="2:6" x14ac:dyDescent="0.45">
      <c r="B230" s="72">
        <v>44491</v>
      </c>
      <c r="C230" s="73">
        <v>145.42271423339841</v>
      </c>
      <c r="D230" s="73">
        <v>4544.89990234375</v>
      </c>
      <c r="E230" s="73">
        <v>-0.52848031276719887</v>
      </c>
      <c r="F230" s="73">
        <v>-0.10725536274130976</v>
      </c>
    </row>
    <row r="231" spans="2:6" x14ac:dyDescent="0.45">
      <c r="B231" s="72">
        <v>44494</v>
      </c>
      <c r="C231" s="73">
        <v>145.3738098144531</v>
      </c>
      <c r="D231" s="73">
        <v>4566.47998046875</v>
      </c>
      <c r="E231" s="73">
        <v>-3.3629147415592531E-2</v>
      </c>
      <c r="F231" s="73">
        <v>0.47481965694935457</v>
      </c>
    </row>
    <row r="232" spans="2:6" x14ac:dyDescent="0.45">
      <c r="B232" s="72">
        <v>44495</v>
      </c>
      <c r="C232" s="73">
        <v>146.03883361816409</v>
      </c>
      <c r="D232" s="73">
        <v>4574.7900390625</v>
      </c>
      <c r="E232" s="73">
        <v>0.45745778043499996</v>
      </c>
      <c r="F232" s="73">
        <v>0.18197952535197182</v>
      </c>
    </row>
    <row r="233" spans="2:6" x14ac:dyDescent="0.45">
      <c r="B233" s="72">
        <v>44496</v>
      </c>
      <c r="C233" s="73">
        <v>145.5791931152344</v>
      </c>
      <c r="D233" s="73">
        <v>4551.68017578125</v>
      </c>
      <c r="E233" s="73">
        <v>-0.31473854696174586</v>
      </c>
      <c r="F233" s="73">
        <v>-0.50515680684628528</v>
      </c>
    </row>
    <row r="234" spans="2:6" x14ac:dyDescent="0.45">
      <c r="B234" s="72">
        <v>44497</v>
      </c>
      <c r="C234" s="73">
        <v>149.21742248535159</v>
      </c>
      <c r="D234" s="73">
        <v>4596.419921875</v>
      </c>
      <c r="E234" s="73">
        <v>2.4991410463700792</v>
      </c>
      <c r="F234" s="73">
        <v>0.98292815764611241</v>
      </c>
    </row>
    <row r="235" spans="2:6" x14ac:dyDescent="0.45">
      <c r="B235" s="72">
        <v>44498</v>
      </c>
      <c r="C235" s="73">
        <v>146.50831604003909</v>
      </c>
      <c r="D235" s="73">
        <v>4605.3798828125</v>
      </c>
      <c r="E235" s="73">
        <v>-1.8155429843176973</v>
      </c>
      <c r="F235" s="73">
        <v>0.19493347191492649</v>
      </c>
    </row>
    <row r="236" spans="2:6" x14ac:dyDescent="0.45">
      <c r="B236" s="72">
        <v>44501</v>
      </c>
      <c r="C236" s="73">
        <v>145.68678283691409</v>
      </c>
      <c r="D236" s="73">
        <v>4613.669921875</v>
      </c>
      <c r="E236" s="73">
        <v>-0.56074168711384154</v>
      </c>
      <c r="F236" s="73">
        <v>0.18000771431341267</v>
      </c>
    </row>
    <row r="237" spans="2:6" x14ac:dyDescent="0.45">
      <c r="B237" s="72">
        <v>44502</v>
      </c>
      <c r="C237" s="73">
        <v>146.72344970703119</v>
      </c>
      <c r="D237" s="73">
        <v>4630.64990234375</v>
      </c>
      <c r="E237" s="73">
        <v>0.71157235401209107</v>
      </c>
      <c r="F237" s="73">
        <v>0.36803630854131963</v>
      </c>
    </row>
    <row r="238" spans="2:6" x14ac:dyDescent="0.45">
      <c r="B238" s="72">
        <v>44503</v>
      </c>
      <c r="C238" s="73">
        <v>148.16119384765619</v>
      </c>
      <c r="D238" s="73">
        <v>4660.56982421875</v>
      </c>
      <c r="E238" s="73">
        <v>0.9799007203659782</v>
      </c>
      <c r="F238" s="73">
        <v>0.6461279195357994</v>
      </c>
    </row>
    <row r="239" spans="2:6" x14ac:dyDescent="0.45">
      <c r="B239" s="72">
        <v>44504</v>
      </c>
      <c r="C239" s="73">
        <v>147.64280700683591</v>
      </c>
      <c r="D239" s="73">
        <v>4680.06005859375</v>
      </c>
      <c r="E239" s="73">
        <v>-0.34988030762853617</v>
      </c>
      <c r="F239" s="73">
        <v>0.41819423611504369</v>
      </c>
    </row>
    <row r="240" spans="2:6" x14ac:dyDescent="0.45">
      <c r="B240" s="72">
        <v>44505</v>
      </c>
      <c r="C240" s="73">
        <v>148.1717224121094</v>
      </c>
      <c r="D240" s="73">
        <v>4697.52978515625</v>
      </c>
      <c r="E240" s="73">
        <v>0.35823987364924648</v>
      </c>
      <c r="F240" s="73">
        <v>0.37327996529492591</v>
      </c>
    </row>
    <row r="241" spans="2:6" x14ac:dyDescent="0.45">
      <c r="B241" s="72">
        <v>44508</v>
      </c>
      <c r="C241" s="73">
        <v>147.34901428222659</v>
      </c>
      <c r="D241" s="73">
        <v>4701.7001953125</v>
      </c>
      <c r="E241" s="73">
        <v>-0.55523963445239799</v>
      </c>
      <c r="F241" s="73">
        <v>8.8778791130361689E-2</v>
      </c>
    </row>
    <row r="242" spans="2:6" x14ac:dyDescent="0.45">
      <c r="B242" s="72">
        <v>44509</v>
      </c>
      <c r="C242" s="73">
        <v>147.71136474609381</v>
      </c>
      <c r="D242" s="73">
        <v>4685.25</v>
      </c>
      <c r="E242" s="73">
        <v>0.24591305590493384</v>
      </c>
      <c r="F242" s="73">
        <v>-0.34987758957707449</v>
      </c>
    </row>
    <row r="243" spans="2:6" x14ac:dyDescent="0.45">
      <c r="B243" s="72">
        <v>44510</v>
      </c>
      <c r="C243" s="73">
        <v>144.8807678222656</v>
      </c>
      <c r="D243" s="73">
        <v>4646.7099609375</v>
      </c>
      <c r="E243" s="73">
        <v>-1.9163027358753526</v>
      </c>
      <c r="F243" s="73">
        <v>-0.82258233952297033</v>
      </c>
    </row>
    <row r="244" spans="2:6" x14ac:dyDescent="0.45">
      <c r="B244" s="72">
        <v>44511</v>
      </c>
      <c r="C244" s="73">
        <v>144.831787109375</v>
      </c>
      <c r="D244" s="73">
        <v>4649.27001953125</v>
      </c>
      <c r="E244" s="73">
        <v>-3.3807601676083543E-2</v>
      </c>
      <c r="F244" s="73">
        <v>5.509400447352153E-2</v>
      </c>
    </row>
    <row r="245" spans="2:6" x14ac:dyDescent="0.45">
      <c r="B245" s="72">
        <v>44512</v>
      </c>
      <c r="C245" s="73">
        <v>146.9082336425781</v>
      </c>
      <c r="D245" s="73">
        <v>4682.85009765625</v>
      </c>
      <c r="E245" s="73">
        <v>1.4336953058757596</v>
      </c>
      <c r="F245" s="73">
        <v>0.72226560264154749</v>
      </c>
    </row>
    <row r="246" spans="2:6" x14ac:dyDescent="0.45">
      <c r="B246" s="72">
        <v>44515</v>
      </c>
      <c r="C246" s="73">
        <v>146.91796875</v>
      </c>
      <c r="D246" s="73">
        <v>4682.7998046875</v>
      </c>
      <c r="E246" s="73">
        <v>6.6266588199415111E-3</v>
      </c>
      <c r="F246" s="73">
        <v>-1.0739820344718431E-3</v>
      </c>
    </row>
    <row r="247" spans="2:6" x14ac:dyDescent="0.45">
      <c r="B247" s="72">
        <v>44516</v>
      </c>
      <c r="C247" s="73">
        <v>147.89747619628909</v>
      </c>
      <c r="D247" s="73">
        <v>4700.89990234375</v>
      </c>
      <c r="E247" s="73">
        <v>0.66670364055729792</v>
      </c>
      <c r="F247" s="73">
        <v>0.3865229864862485</v>
      </c>
    </row>
    <row r="248" spans="2:6" x14ac:dyDescent="0.45">
      <c r="B248" s="72">
        <v>44517</v>
      </c>
      <c r="C248" s="73">
        <v>150.33631896972659</v>
      </c>
      <c r="D248" s="73">
        <v>4688.669921875</v>
      </c>
      <c r="E248" s="73">
        <v>1.6490090542185198</v>
      </c>
      <c r="F248" s="73">
        <v>-0.2601625374463401</v>
      </c>
    </row>
    <row r="249" spans="2:6" x14ac:dyDescent="0.45">
      <c r="B249" s="72">
        <v>44518</v>
      </c>
      <c r="C249" s="73">
        <v>154.6263427734375</v>
      </c>
      <c r="D249" s="73">
        <v>4704.5400390625</v>
      </c>
      <c r="E249" s="73">
        <v>2.8536176973807725</v>
      </c>
      <c r="F249" s="73">
        <v>0.33847802152713324</v>
      </c>
    </row>
    <row r="250" spans="2:6" x14ac:dyDescent="0.45">
      <c r="B250" s="72">
        <v>44519</v>
      </c>
      <c r="C250" s="73">
        <v>157.25126647949219</v>
      </c>
      <c r="D250" s="73">
        <v>4697.9599609375</v>
      </c>
      <c r="E250" s="73">
        <v>1.6975915351634452</v>
      </c>
      <c r="F250" s="73">
        <v>-0.1398665559303236</v>
      </c>
    </row>
    <row r="251" spans="2:6" x14ac:dyDescent="0.45">
      <c r="B251" s="72">
        <v>44522</v>
      </c>
      <c r="C251" s="73">
        <v>157.71159362792969</v>
      </c>
      <c r="D251" s="73">
        <v>4682.93994140625</v>
      </c>
      <c r="E251" s="73">
        <v>0.29273350780774088</v>
      </c>
      <c r="F251" s="73">
        <v>-0.31971365563219223</v>
      </c>
    </row>
    <row r="252" spans="2:6" x14ac:dyDescent="0.45">
      <c r="B252" s="72">
        <v>44523</v>
      </c>
      <c r="C252" s="73">
        <v>158.09358215332031</v>
      </c>
      <c r="D252" s="73">
        <v>4690.7001953125</v>
      </c>
      <c r="E252" s="73">
        <v>0.24220700368535741</v>
      </c>
      <c r="F252" s="73">
        <v>0.1657132912945114</v>
      </c>
    </row>
    <row r="253" spans="2:6" x14ac:dyDescent="0.45">
      <c r="B253" s="72">
        <v>44524</v>
      </c>
      <c r="C253" s="73">
        <v>158.61271667480469</v>
      </c>
      <c r="D253" s="73">
        <v>4701.4599609375</v>
      </c>
      <c r="E253" s="73">
        <v>0.32837166089443315</v>
      </c>
      <c r="F253" s="73">
        <v>0.22938506357221833</v>
      </c>
    </row>
    <row r="254" spans="2:6" x14ac:dyDescent="0.45">
      <c r="B254" s="72">
        <v>44526</v>
      </c>
      <c r="C254" s="73">
        <v>153.58808898925781</v>
      </c>
      <c r="D254" s="73">
        <v>4594.6201171875</v>
      </c>
      <c r="E254" s="73">
        <v>-3.1678592933053418</v>
      </c>
      <c r="F254" s="73">
        <v>-2.2724822637582465</v>
      </c>
    </row>
    <row r="255" spans="2:6" x14ac:dyDescent="0.45">
      <c r="B255" s="72">
        <v>44529</v>
      </c>
      <c r="C255" s="73">
        <v>156.9476318359375</v>
      </c>
      <c r="D255" s="73">
        <v>4655.27001953125</v>
      </c>
      <c r="E255" s="73">
        <v>2.1873719953079629</v>
      </c>
      <c r="F255" s="73">
        <v>1.3200199537034996</v>
      </c>
    </row>
    <row r="256" spans="2:6" x14ac:dyDescent="0.45">
      <c r="B256" s="72">
        <v>44530</v>
      </c>
      <c r="C256" s="73">
        <v>161.9036560058594</v>
      </c>
      <c r="D256" s="73">
        <v>4567</v>
      </c>
      <c r="E256" s="73">
        <v>3.1577565790241513</v>
      </c>
      <c r="F256" s="73">
        <v>-1.896131033450521</v>
      </c>
    </row>
    <row r="257" spans="2:6" x14ac:dyDescent="0.45">
      <c r="B257" s="72">
        <v>44531</v>
      </c>
      <c r="C257" s="73">
        <v>161.38453674316409</v>
      </c>
      <c r="D257" s="73">
        <v>4513.0400390625</v>
      </c>
      <c r="E257" s="73">
        <v>-0.320634675894238</v>
      </c>
      <c r="F257" s="73">
        <v>-1.1815187417889228</v>
      </c>
    </row>
    <row r="258" spans="2:6" x14ac:dyDescent="0.45">
      <c r="B258" s="72">
        <v>44532</v>
      </c>
      <c r="C258" s="73">
        <v>160.3952941894531</v>
      </c>
      <c r="D258" s="73">
        <v>4577.10009765625</v>
      </c>
      <c r="E258" s="73">
        <v>-0.61297232911807775</v>
      </c>
      <c r="F258" s="73">
        <v>1.419443613158311</v>
      </c>
    </row>
    <row r="259" spans="2:6" x14ac:dyDescent="0.45">
      <c r="B259" s="72">
        <v>44533</v>
      </c>
      <c r="C259" s="73">
        <v>158.51475524902341</v>
      </c>
      <c r="D259" s="73">
        <v>4538.43017578125</v>
      </c>
      <c r="E259" s="73">
        <v>-1.1724402202276996</v>
      </c>
      <c r="F259" s="73">
        <v>-0.84485637302975647</v>
      </c>
    </row>
    <row r="260" spans="2:6" x14ac:dyDescent="0.45">
      <c r="B260" s="72">
        <v>44536</v>
      </c>
      <c r="C260" s="73">
        <v>161.92323303222659</v>
      </c>
      <c r="D260" s="73">
        <v>4591.669921875</v>
      </c>
      <c r="E260" s="73">
        <v>2.1502589950371132</v>
      </c>
      <c r="F260" s="73">
        <v>1.1730872577451423</v>
      </c>
    </row>
    <row r="261" spans="2:6" x14ac:dyDescent="0.45">
      <c r="B261" s="72">
        <v>44537</v>
      </c>
      <c r="C261" s="73">
        <v>167.662841796875</v>
      </c>
      <c r="D261" s="73">
        <v>4686.75</v>
      </c>
      <c r="E261" s="73">
        <v>3.5446480762313382</v>
      </c>
      <c r="F261" s="73">
        <v>2.0707080374404274</v>
      </c>
    </row>
    <row r="262" spans="2:6" x14ac:dyDescent="0.45">
      <c r="B262" s="72">
        <v>44538</v>
      </c>
      <c r="C262" s="73">
        <v>171.4826965332031</v>
      </c>
      <c r="D262" s="73">
        <v>4701.2099609375</v>
      </c>
      <c r="E262" s="73">
        <v>2.2782953547667351</v>
      </c>
      <c r="F262" s="73">
        <v>0.30852853123166657</v>
      </c>
    </row>
    <row r="263" spans="2:6" x14ac:dyDescent="0.45">
      <c r="B263" s="72">
        <v>44539</v>
      </c>
      <c r="C263" s="73">
        <v>170.973388671875</v>
      </c>
      <c r="D263" s="73">
        <v>4667.4501953125</v>
      </c>
      <c r="E263" s="73">
        <v>-0.29700247991463202</v>
      </c>
      <c r="F263" s="73">
        <v>-0.71810801698947158</v>
      </c>
    </row>
    <row r="264" spans="2:6" x14ac:dyDescent="0.45">
      <c r="B264" s="72">
        <v>44540</v>
      </c>
      <c r="C264" s="73">
        <v>175.76292419433591</v>
      </c>
      <c r="D264" s="73">
        <v>4712.02001953125</v>
      </c>
      <c r="E264" s="73">
        <v>2.8013339149829841</v>
      </c>
      <c r="F264" s="73">
        <v>0.95490733384817617</v>
      </c>
    </row>
    <row r="265" spans="2:6" x14ac:dyDescent="0.45">
      <c r="B265" s="72">
        <v>44543</v>
      </c>
      <c r="C265" s="73">
        <v>172.12913513183591</v>
      </c>
      <c r="D265" s="73">
        <v>4668.97021484375</v>
      </c>
      <c r="E265" s="73">
        <v>-2.0674377597872828</v>
      </c>
      <c r="F265" s="73">
        <v>-0.91361676115676582</v>
      </c>
    </row>
    <row r="266" spans="2:6" x14ac:dyDescent="0.45">
      <c r="B266" s="72">
        <v>44544</v>
      </c>
      <c r="C266" s="73">
        <v>170.74812316894531</v>
      </c>
      <c r="D266" s="73">
        <v>4634.08984375</v>
      </c>
      <c r="E266" s="73">
        <v>-0.80231156790095959</v>
      </c>
      <c r="F266" s="73">
        <v>-0.74706775774360246</v>
      </c>
    </row>
    <row r="267" spans="2:6" x14ac:dyDescent="0.45">
      <c r="B267" s="72">
        <v>44545</v>
      </c>
      <c r="C267" s="73">
        <v>175.61598205566409</v>
      </c>
      <c r="D267" s="73">
        <v>4709.85009765625</v>
      </c>
      <c r="E267" s="73">
        <v>2.8509003767510421</v>
      </c>
      <c r="F267" s="73">
        <v>1.6348464630746795</v>
      </c>
    </row>
    <row r="268" spans="2:6" x14ac:dyDescent="0.45">
      <c r="B268" s="72">
        <v>44546</v>
      </c>
      <c r="C268" s="73">
        <v>168.72064208984381</v>
      </c>
      <c r="D268" s="73">
        <v>4668.669921875</v>
      </c>
      <c r="E268" s="73">
        <v>-3.9263738328979114</v>
      </c>
      <c r="F268" s="73">
        <v>-0.87434153799804681</v>
      </c>
    </row>
    <row r="269" spans="2:6" x14ac:dyDescent="0.45">
      <c r="B269" s="72">
        <v>44547</v>
      </c>
      <c r="C269" s="73">
        <v>167.62364196777341</v>
      </c>
      <c r="D269" s="73">
        <v>4620.64013671875</v>
      </c>
      <c r="E269" s="73">
        <v>-0.65018726131106375</v>
      </c>
      <c r="F269" s="73">
        <v>-1.0287680637092622</v>
      </c>
    </row>
    <row r="270" spans="2:6" x14ac:dyDescent="0.45">
      <c r="B270" s="72">
        <v>44550</v>
      </c>
      <c r="C270" s="73">
        <v>166.2622375488281</v>
      </c>
      <c r="D270" s="73">
        <v>4568.02001953125</v>
      </c>
      <c r="E270" s="73">
        <v>-0.81217923853906804</v>
      </c>
      <c r="F270" s="73">
        <v>-1.138805785140995</v>
      </c>
    </row>
    <row r="271" spans="2:6" x14ac:dyDescent="0.45">
      <c r="B271" s="72">
        <v>44551</v>
      </c>
      <c r="C271" s="73">
        <v>169.43565368652341</v>
      </c>
      <c r="D271" s="73">
        <v>4649.22998046875</v>
      </c>
      <c r="E271" s="73">
        <v>1.90868124023853</v>
      </c>
      <c r="F271" s="73">
        <v>1.7777934551572505</v>
      </c>
    </row>
    <row r="272" spans="2:6" x14ac:dyDescent="0.45">
      <c r="B272" s="72">
        <v>44552</v>
      </c>
      <c r="C272" s="73">
        <v>172.03118896484381</v>
      </c>
      <c r="D272" s="73">
        <v>4696.56005859375</v>
      </c>
      <c r="E272" s="73">
        <v>1.5318707850724644</v>
      </c>
      <c r="F272" s="73">
        <v>1.0180197220578835</v>
      </c>
    </row>
    <row r="273" spans="2:6" x14ac:dyDescent="0.45">
      <c r="B273" s="72">
        <v>44553</v>
      </c>
      <c r="C273" s="73">
        <v>172.65806579589841</v>
      </c>
      <c r="D273" s="73">
        <v>4725.7900390625</v>
      </c>
      <c r="E273" s="73">
        <v>0.36439719729119968</v>
      </c>
      <c r="F273" s="73">
        <v>0.62236999216618294</v>
      </c>
    </row>
    <row r="274" spans="2:6" x14ac:dyDescent="0.45">
      <c r="B274" s="72">
        <v>44557</v>
      </c>
      <c r="C274" s="73">
        <v>176.62483215332031</v>
      </c>
      <c r="D274" s="73">
        <v>4791.18994140625</v>
      </c>
      <c r="E274" s="73">
        <v>2.2974694747890156</v>
      </c>
      <c r="F274" s="73">
        <v>1.3838935247475259</v>
      </c>
    </row>
    <row r="275" spans="2:6" x14ac:dyDescent="0.45">
      <c r="B275" s="72">
        <v>44558</v>
      </c>
      <c r="C275" s="73">
        <v>175.60621643066409</v>
      </c>
      <c r="D275" s="73">
        <v>4786.35009765625</v>
      </c>
      <c r="E275" s="73">
        <v>-0.57671150213578493</v>
      </c>
      <c r="F275" s="73">
        <v>-0.10101548486260992</v>
      </c>
    </row>
    <row r="276" spans="2:6" x14ac:dyDescent="0.45">
      <c r="B276" s="72">
        <v>44559</v>
      </c>
      <c r="C276" s="73">
        <v>175.69438171386719</v>
      </c>
      <c r="D276" s="73">
        <v>4793.06005859375</v>
      </c>
      <c r="E276" s="73">
        <v>5.0206242691808178E-2</v>
      </c>
      <c r="F276" s="73">
        <v>0.14018951394270118</v>
      </c>
    </row>
    <row r="277" spans="2:6" x14ac:dyDescent="0.45">
      <c r="B277" s="72">
        <v>44560</v>
      </c>
      <c r="C277" s="73">
        <v>174.53861999511719</v>
      </c>
      <c r="D277" s="73">
        <v>4778.72998046875</v>
      </c>
      <c r="E277" s="73">
        <v>-0.65782508665089834</v>
      </c>
      <c r="F277" s="73">
        <v>-0.29897555945093135</v>
      </c>
    </row>
    <row r="278" spans="2:6" x14ac:dyDescent="0.45">
      <c r="B278" s="72">
        <v>44561</v>
      </c>
      <c r="C278" s="73">
        <v>173.92155456542969</v>
      </c>
      <c r="D278" s="73">
        <v>4766.18017578125</v>
      </c>
      <c r="E278" s="73">
        <v>-0.35354091243804397</v>
      </c>
      <c r="F278" s="73">
        <v>-0.26261799136575448</v>
      </c>
    </row>
    <row r="279" spans="2:6" x14ac:dyDescent="0.45">
      <c r="B279" s="72">
        <v>44564</v>
      </c>
      <c r="C279" s="73">
        <v>178.2703552246094</v>
      </c>
      <c r="D279" s="73">
        <v>4796.56005859375</v>
      </c>
      <c r="E279" s="73">
        <v>2.5004380107145785</v>
      </c>
      <c r="F279" s="73">
        <v>0.63740525309705642</v>
      </c>
    </row>
    <row r="280" spans="2:6" x14ac:dyDescent="0.45">
      <c r="B280" s="72">
        <v>44565</v>
      </c>
      <c r="C280" s="73">
        <v>176.0077819824219</v>
      </c>
      <c r="D280" s="73">
        <v>4793.5400390625</v>
      </c>
      <c r="E280" s="73">
        <v>-1.2691808682025685</v>
      </c>
      <c r="F280" s="73">
        <v>-6.2962195706051105E-2</v>
      </c>
    </row>
    <row r="281" spans="2:6" x14ac:dyDescent="0.45">
      <c r="B281" s="72">
        <v>44566</v>
      </c>
      <c r="C281" s="73">
        <v>171.32598876953119</v>
      </c>
      <c r="D281" s="73">
        <v>4700.580078125</v>
      </c>
      <c r="E281" s="73">
        <v>-2.6599921663453929</v>
      </c>
      <c r="F281" s="73">
        <v>-1.9392757790687165</v>
      </c>
    </row>
    <row r="282" spans="2:6" x14ac:dyDescent="0.45">
      <c r="B282" s="72">
        <v>44567</v>
      </c>
      <c r="C282" s="73">
        <v>168.46598815917969</v>
      </c>
      <c r="D282" s="73">
        <v>4696.0498046875</v>
      </c>
      <c r="E282" s="73">
        <v>-1.6693326160800992</v>
      </c>
      <c r="F282" s="73">
        <v>-9.6376901620764954E-2</v>
      </c>
    </row>
    <row r="283" spans="2:6" x14ac:dyDescent="0.45">
      <c r="B283" s="72">
        <v>44568</v>
      </c>
      <c r="C283" s="73">
        <v>168.63249206542969</v>
      </c>
      <c r="D283" s="73">
        <v>4677.02978515625</v>
      </c>
      <c r="E283" s="73">
        <v>9.8835324607282615E-2</v>
      </c>
      <c r="F283" s="73">
        <v>-0.4050216740091761</v>
      </c>
    </row>
    <row r="284" spans="2:6" x14ac:dyDescent="0.45">
      <c r="B284" s="72">
        <v>44571</v>
      </c>
      <c r="C284" s="73">
        <v>168.65208435058591</v>
      </c>
      <c r="D284" s="73">
        <v>4670.2900390625</v>
      </c>
      <c r="E284" s="73">
        <v>1.16183334043507E-2</v>
      </c>
      <c r="F284" s="73">
        <v>-0.14410312534549607</v>
      </c>
    </row>
    <row r="285" spans="2:6" x14ac:dyDescent="0.45">
      <c r="B285" s="72">
        <v>44572</v>
      </c>
      <c r="C285" s="73">
        <v>171.4826965332031</v>
      </c>
      <c r="D285" s="73">
        <v>4713.06982421875</v>
      </c>
      <c r="E285" s="73">
        <v>1.678373672947342</v>
      </c>
      <c r="F285" s="73">
        <v>0.9159984668711818</v>
      </c>
    </row>
    <row r="286" spans="2:6" x14ac:dyDescent="0.45">
      <c r="B286" s="72">
        <v>44573</v>
      </c>
      <c r="C286" s="73">
        <v>171.92347717285159</v>
      </c>
      <c r="D286" s="73">
        <v>4726.35009765625</v>
      </c>
      <c r="E286" s="73">
        <v>0.25704088433387007</v>
      </c>
      <c r="F286" s="73">
        <v>0.28177544430294521</v>
      </c>
    </row>
    <row r="287" spans="2:6" x14ac:dyDescent="0.45">
      <c r="B287" s="72">
        <v>44574</v>
      </c>
      <c r="C287" s="73">
        <v>168.65208435058591</v>
      </c>
      <c r="D287" s="73">
        <v>4659.02978515625</v>
      </c>
      <c r="E287" s="73">
        <v>-1.902819135618472</v>
      </c>
      <c r="F287" s="73">
        <v>-1.42436152864307</v>
      </c>
    </row>
    <row r="288" spans="2:6" x14ac:dyDescent="0.45">
      <c r="B288" s="72">
        <v>44575</v>
      </c>
      <c r="C288" s="73">
        <v>169.51402282714841</v>
      </c>
      <c r="D288" s="73">
        <v>4662.85009765625</v>
      </c>
      <c r="E288" s="73">
        <v>0.51107490303572423</v>
      </c>
      <c r="F288" s="73">
        <v>8.1998026974883231E-2</v>
      </c>
    </row>
    <row r="289" spans="2:6" x14ac:dyDescent="0.45">
      <c r="B289" s="72">
        <v>44579</v>
      </c>
      <c r="C289" s="73">
        <v>166.31117248535159</v>
      </c>
      <c r="D289" s="73">
        <v>4577.10986328125</v>
      </c>
      <c r="E289" s="73">
        <v>-1.889430908652745</v>
      </c>
      <c r="F289" s="73">
        <v>-1.8387945694007368</v>
      </c>
    </row>
    <row r="290" spans="2:6" x14ac:dyDescent="0.45">
      <c r="B290" s="72">
        <v>44580</v>
      </c>
      <c r="C290" s="73">
        <v>162.81452941894531</v>
      </c>
      <c r="D290" s="73">
        <v>4532.759765625</v>
      </c>
      <c r="E290" s="73">
        <v>-2.1024703356680718</v>
      </c>
      <c r="F290" s="73">
        <v>-0.96895418683388135</v>
      </c>
    </row>
    <row r="291" spans="2:6" x14ac:dyDescent="0.45">
      <c r="B291" s="72">
        <v>44581</v>
      </c>
      <c r="C291" s="73">
        <v>161.12986755371091</v>
      </c>
      <c r="D291" s="73">
        <v>4482.72998046875</v>
      </c>
      <c r="E291" s="73">
        <v>-1.0347122405148013</v>
      </c>
      <c r="F291" s="73">
        <v>-1.103737849414832</v>
      </c>
    </row>
    <row r="292" spans="2:6" x14ac:dyDescent="0.45">
      <c r="B292" s="72">
        <v>44582</v>
      </c>
      <c r="C292" s="73">
        <v>159.0730285644531</v>
      </c>
      <c r="D292" s="73">
        <v>4397.93994140625</v>
      </c>
      <c r="E292" s="73">
        <v>-1.2765100725799283</v>
      </c>
      <c r="F292" s="73">
        <v>-1.8914821867908604</v>
      </c>
    </row>
    <row r="293" spans="2:6" x14ac:dyDescent="0.45">
      <c r="B293" s="72">
        <v>44585</v>
      </c>
      <c r="C293" s="73">
        <v>158.29925537109381</v>
      </c>
      <c r="D293" s="73">
        <v>4410.1298828125</v>
      </c>
      <c r="E293" s="73">
        <v>-0.48642639191707193</v>
      </c>
      <c r="F293" s="73">
        <v>0.27717389433818962</v>
      </c>
    </row>
    <row r="294" spans="2:6" x14ac:dyDescent="0.45">
      <c r="B294" s="72">
        <v>44586</v>
      </c>
      <c r="C294" s="73">
        <v>156.4971008300781</v>
      </c>
      <c r="D294" s="73">
        <v>4356.4501953125</v>
      </c>
      <c r="E294" s="73">
        <v>-1.1384478952797372</v>
      </c>
      <c r="F294" s="73">
        <v>-1.2171906253646725</v>
      </c>
    </row>
    <row r="295" spans="2:6" x14ac:dyDescent="0.45">
      <c r="B295" s="72">
        <v>44587</v>
      </c>
      <c r="C295" s="73">
        <v>156.408935546875</v>
      </c>
      <c r="D295" s="73">
        <v>4349.93017578125</v>
      </c>
      <c r="E295" s="73">
        <v>-5.6336687859048773E-2</v>
      </c>
      <c r="F295" s="73">
        <v>-0.14966358477518371</v>
      </c>
    </row>
    <row r="296" spans="2:6" x14ac:dyDescent="0.45">
      <c r="B296" s="72">
        <v>44588</v>
      </c>
      <c r="C296" s="73">
        <v>155.9485778808594</v>
      </c>
      <c r="D296" s="73">
        <v>4326.509765625</v>
      </c>
      <c r="E296" s="73">
        <v>-0.29432951794344797</v>
      </c>
      <c r="F296" s="73">
        <v>-0.53840887577105701</v>
      </c>
    </row>
    <row r="297" spans="2:6" x14ac:dyDescent="0.45">
      <c r="B297" s="72">
        <v>44589</v>
      </c>
      <c r="C297" s="73">
        <v>166.8302917480469</v>
      </c>
      <c r="D297" s="73">
        <v>4431.85009765625</v>
      </c>
      <c r="E297" s="73">
        <v>6.9777576782398265</v>
      </c>
      <c r="F297" s="73">
        <v>2.4347646888076113</v>
      </c>
    </row>
    <row r="298" spans="2:6" x14ac:dyDescent="0.45">
      <c r="B298" s="72">
        <v>44592</v>
      </c>
      <c r="C298" s="73">
        <v>171.18885803222659</v>
      </c>
      <c r="D298" s="73">
        <v>4515.5498046875</v>
      </c>
      <c r="E298" s="73">
        <v>2.6125748738497379</v>
      </c>
      <c r="F298" s="73">
        <v>1.8885951732779516</v>
      </c>
    </row>
    <row r="299" spans="2:6" x14ac:dyDescent="0.45">
      <c r="B299" s="72">
        <v>44593</v>
      </c>
      <c r="C299" s="73">
        <v>171.0223693847656</v>
      </c>
      <c r="D299" s="73">
        <v>4546.5400390625</v>
      </c>
      <c r="E299" s="73">
        <v>-9.7254371210098167E-2</v>
      </c>
      <c r="F299" s="73">
        <v>0.68630035578014503</v>
      </c>
    </row>
    <row r="300" spans="2:6" x14ac:dyDescent="0.45">
      <c r="B300" s="72">
        <v>44594</v>
      </c>
      <c r="C300" s="73">
        <v>172.2270812988281</v>
      </c>
      <c r="D300" s="73">
        <v>4589.3798828125</v>
      </c>
      <c r="E300" s="73">
        <v>0.70441774277618663</v>
      </c>
      <c r="F300" s="73">
        <v>0.94225154473364103</v>
      </c>
    </row>
    <row r="301" spans="2:6" x14ac:dyDescent="0.45">
      <c r="B301" s="72">
        <v>44595</v>
      </c>
      <c r="C301" s="73">
        <v>169.3474426269531</v>
      </c>
      <c r="D301" s="73">
        <v>4477.43994140625</v>
      </c>
      <c r="E301" s="73">
        <v>-1.6720010872614099</v>
      </c>
      <c r="F301" s="73">
        <v>-2.4391082077444004</v>
      </c>
    </row>
    <row r="302" spans="2:6" x14ac:dyDescent="0.45">
      <c r="B302" s="72">
        <v>44596</v>
      </c>
      <c r="C302" s="73">
        <v>169.0631103515625</v>
      </c>
      <c r="D302" s="73">
        <v>4500.52978515625</v>
      </c>
      <c r="E302" s="73">
        <v>-0.16789877129526065</v>
      </c>
      <c r="F302" s="73">
        <v>0.51569298644233985</v>
      </c>
    </row>
    <row r="303" spans="2:6" x14ac:dyDescent="0.45">
      <c r="B303" s="72">
        <v>44599</v>
      </c>
      <c r="C303" s="73">
        <v>168.34721374511719</v>
      </c>
      <c r="D303" s="73">
        <v>4483.8701171875</v>
      </c>
      <c r="E303" s="73">
        <v>-0.4234493290444119</v>
      </c>
      <c r="F303" s="73">
        <v>-0.37017126347429485</v>
      </c>
    </row>
    <row r="304" spans="2:6" x14ac:dyDescent="0.45">
      <c r="B304" s="72">
        <v>44600</v>
      </c>
      <c r="C304" s="73">
        <v>171.45599365234381</v>
      </c>
      <c r="D304" s="73">
        <v>4521.5400390625</v>
      </c>
      <c r="E304" s="73">
        <v>1.8466476742130089</v>
      </c>
      <c r="F304" s="73">
        <v>0.84012071916632625</v>
      </c>
    </row>
    <row r="305" spans="2:6" x14ac:dyDescent="0.45">
      <c r="B305" s="72">
        <v>44601</v>
      </c>
      <c r="C305" s="73">
        <v>172.87803649902341</v>
      </c>
      <c r="D305" s="73">
        <v>4587.18017578125</v>
      </c>
      <c r="E305" s="73">
        <v>0.82939232183567579</v>
      </c>
      <c r="F305" s="73">
        <v>1.4517207887505545</v>
      </c>
    </row>
    <row r="306" spans="2:6" x14ac:dyDescent="0.45">
      <c r="B306" s="72">
        <v>44602</v>
      </c>
      <c r="C306" s="73">
        <v>168.79833984375</v>
      </c>
      <c r="D306" s="73">
        <v>4504.080078125</v>
      </c>
      <c r="E306" s="73">
        <v>-2.3598698469116774</v>
      </c>
      <c r="F306" s="73">
        <v>-1.8115725668459759</v>
      </c>
    </row>
    <row r="307" spans="2:6" x14ac:dyDescent="0.45">
      <c r="B307" s="72">
        <v>44603</v>
      </c>
      <c r="C307" s="73">
        <v>165.38545227050781</v>
      </c>
      <c r="D307" s="73">
        <v>4418.64013671875</v>
      </c>
      <c r="E307" s="73">
        <v>-2.0218727129670655</v>
      </c>
      <c r="F307" s="73">
        <v>-1.896945434456343</v>
      </c>
    </row>
    <row r="308" spans="2:6" x14ac:dyDescent="0.45">
      <c r="B308" s="72">
        <v>44606</v>
      </c>
      <c r="C308" s="73">
        <v>165.6208801269531</v>
      </c>
      <c r="D308" s="73">
        <v>4401.669921875</v>
      </c>
      <c r="E308" s="73">
        <v>0.14235100682267188</v>
      </c>
      <c r="F308" s="73">
        <v>-0.38405967262932217</v>
      </c>
    </row>
    <row r="309" spans="2:6" x14ac:dyDescent="0.45">
      <c r="B309" s="72">
        <v>44607</v>
      </c>
      <c r="C309" s="73">
        <v>169.45536804199219</v>
      </c>
      <c r="D309" s="73">
        <v>4471.06982421875</v>
      </c>
      <c r="E309" s="73">
        <v>2.3152201051581445</v>
      </c>
      <c r="F309" s="73">
        <v>1.5766721170720421</v>
      </c>
    </row>
    <row r="310" spans="2:6" x14ac:dyDescent="0.45">
      <c r="B310" s="72">
        <v>44608</v>
      </c>
      <c r="C310" s="73">
        <v>169.2200012207031</v>
      </c>
      <c r="D310" s="73">
        <v>4475.009765625</v>
      </c>
      <c r="E310" s="73">
        <v>-0.13889605505490454</v>
      </c>
      <c r="F310" s="73">
        <v>8.8120775589506373E-2</v>
      </c>
    </row>
    <row r="311" spans="2:6" x14ac:dyDescent="0.45">
      <c r="B311" s="72">
        <v>44609</v>
      </c>
      <c r="C311" s="73">
        <v>165.6208801269531</v>
      </c>
      <c r="D311" s="73">
        <v>4380.259765625</v>
      </c>
      <c r="E311" s="73">
        <v>-2.126888705700869</v>
      </c>
      <c r="F311" s="73">
        <v>-2.1173138152195015</v>
      </c>
    </row>
    <row r="312" spans="2:6" x14ac:dyDescent="0.45">
      <c r="B312" s="72">
        <v>44610</v>
      </c>
      <c r="C312" s="73">
        <v>164.07133483886719</v>
      </c>
      <c r="D312" s="73">
        <v>4348.8701171875</v>
      </c>
      <c r="E312" s="73">
        <v>-0.93559778628041768</v>
      </c>
      <c r="F312" s="73">
        <v>-0.71661613961429005</v>
      </c>
    </row>
    <row r="313" spans="2:6" x14ac:dyDescent="0.45">
      <c r="B313" s="72">
        <v>44614</v>
      </c>
      <c r="C313" s="73">
        <v>161.1488342285156</v>
      </c>
      <c r="D313" s="73">
        <v>4304.759765625</v>
      </c>
      <c r="E313" s="73">
        <v>-1.7812377849072525</v>
      </c>
      <c r="F313" s="73">
        <v>-1.0142945264832837</v>
      </c>
    </row>
    <row r="314" spans="2:6" x14ac:dyDescent="0.45">
      <c r="B314" s="72">
        <v>44615</v>
      </c>
      <c r="C314" s="73">
        <v>156.9808349609375</v>
      </c>
      <c r="D314" s="73">
        <v>4225.5</v>
      </c>
      <c r="E314" s="73">
        <v>-2.58642843277892</v>
      </c>
      <c r="F314" s="73">
        <v>-1.8412122845487655</v>
      </c>
    </row>
    <row r="315" spans="2:6" x14ac:dyDescent="0.45">
      <c r="B315" s="72">
        <v>44616</v>
      </c>
      <c r="C315" s="73">
        <v>159.5993347167969</v>
      </c>
      <c r="D315" s="73">
        <v>4288.7001953125</v>
      </c>
      <c r="E315" s="73">
        <v>1.668037857303406</v>
      </c>
      <c r="F315" s="73">
        <v>1.4956856067329216</v>
      </c>
    </row>
    <row r="316" spans="2:6" x14ac:dyDescent="0.45">
      <c r="B316" s="72">
        <v>44617</v>
      </c>
      <c r="C316" s="73">
        <v>161.66864013671881</v>
      </c>
      <c r="D316" s="73">
        <v>4384.64990234375</v>
      </c>
      <c r="E316" s="73">
        <v>1.2965626852980305</v>
      </c>
      <c r="F316" s="73">
        <v>2.2372677655603468</v>
      </c>
    </row>
    <row r="317" spans="2:6" x14ac:dyDescent="0.45">
      <c r="B317" s="72">
        <v>44620</v>
      </c>
      <c r="C317" s="73">
        <v>161.9333801269531</v>
      </c>
      <c r="D317" s="73">
        <v>4373.93994140625</v>
      </c>
      <c r="E317" s="73">
        <v>0.16375469603158166</v>
      </c>
      <c r="F317" s="73">
        <v>-0.24426034406476171</v>
      </c>
    </row>
    <row r="318" spans="2:6" x14ac:dyDescent="0.45">
      <c r="B318" s="72">
        <v>44621</v>
      </c>
      <c r="C318" s="73">
        <v>160.05049133300781</v>
      </c>
      <c r="D318" s="73">
        <v>4306.259765625</v>
      </c>
      <c r="E318" s="73">
        <v>-1.1627551975195827</v>
      </c>
      <c r="F318" s="73">
        <v>-1.5473503680411893</v>
      </c>
    </row>
    <row r="319" spans="2:6" x14ac:dyDescent="0.45">
      <c r="B319" s="72">
        <v>44622</v>
      </c>
      <c r="C319" s="73">
        <v>163.3456115722656</v>
      </c>
      <c r="D319" s="73">
        <v>4386.5400390625</v>
      </c>
      <c r="E319" s="73">
        <v>2.0588004521659542</v>
      </c>
      <c r="F319" s="73">
        <v>1.8642691757321028</v>
      </c>
    </row>
    <row r="320" spans="2:6" x14ac:dyDescent="0.45">
      <c r="B320" s="72">
        <v>44623</v>
      </c>
      <c r="C320" s="73">
        <v>163.02197265625</v>
      </c>
      <c r="D320" s="73">
        <v>4363.490234375</v>
      </c>
      <c r="E320" s="73">
        <v>-0.19813138100279737</v>
      </c>
      <c r="F320" s="73">
        <v>-0.52546664300883172</v>
      </c>
    </row>
    <row r="321" spans="2:6" x14ac:dyDescent="0.45">
      <c r="B321" s="72">
        <v>44624</v>
      </c>
      <c r="C321" s="73">
        <v>160.02101135253909</v>
      </c>
      <c r="D321" s="73">
        <v>4328.8701171875</v>
      </c>
      <c r="E321" s="73">
        <v>-1.8408324073214133</v>
      </c>
      <c r="F321" s="73">
        <v>-0.79340425503344747</v>
      </c>
    </row>
    <row r="322" spans="2:6" x14ac:dyDescent="0.45">
      <c r="B322" s="72">
        <v>44627</v>
      </c>
      <c r="C322" s="73">
        <v>156.2257080078125</v>
      </c>
      <c r="D322" s="73">
        <v>4201.08984375</v>
      </c>
      <c r="E322" s="73">
        <v>-2.3717531295719851</v>
      </c>
      <c r="F322" s="73">
        <v>-2.9518158313449172</v>
      </c>
    </row>
    <row r="323" spans="2:6" x14ac:dyDescent="0.45">
      <c r="B323" s="72">
        <v>44628</v>
      </c>
      <c r="C323" s="73">
        <v>154.4016418457031</v>
      </c>
      <c r="D323" s="73">
        <v>4170.7001953125</v>
      </c>
      <c r="E323" s="73">
        <v>-1.167583866554267</v>
      </c>
      <c r="F323" s="73">
        <v>-0.72337535181997703</v>
      </c>
    </row>
    <row r="324" spans="2:6" x14ac:dyDescent="0.45">
      <c r="B324" s="72">
        <v>44629</v>
      </c>
      <c r="C324" s="73">
        <v>159.8052978515625</v>
      </c>
      <c r="D324" s="73">
        <v>4277.8798828125</v>
      </c>
      <c r="E324" s="73">
        <v>3.4997399906274262</v>
      </c>
      <c r="F324" s="73">
        <v>2.5698247891435821</v>
      </c>
    </row>
    <row r="325" spans="2:6" x14ac:dyDescent="0.45">
      <c r="B325" s="72">
        <v>44630</v>
      </c>
      <c r="C325" s="73">
        <v>155.46080017089841</v>
      </c>
      <c r="D325" s="73">
        <v>4259.52001953125</v>
      </c>
      <c r="E325" s="73">
        <v>-2.7186193067889053</v>
      </c>
      <c r="F325" s="73">
        <v>-0.4291813651667864</v>
      </c>
    </row>
    <row r="326" spans="2:6" x14ac:dyDescent="0.45">
      <c r="B326" s="72">
        <v>44631</v>
      </c>
      <c r="C326" s="73">
        <v>151.74391174316409</v>
      </c>
      <c r="D326" s="73">
        <v>4204.31005859375</v>
      </c>
      <c r="E326" s="73">
        <v>-2.3908846626598645</v>
      </c>
      <c r="F326" s="73">
        <v>-1.2961545123475138</v>
      </c>
    </row>
    <row r="327" spans="2:6" x14ac:dyDescent="0.45">
      <c r="B327" s="72">
        <v>44634</v>
      </c>
      <c r="C327" s="73">
        <v>147.71324157714841</v>
      </c>
      <c r="D327" s="73">
        <v>4173.10986328125</v>
      </c>
      <c r="E327" s="73">
        <v>-2.656231884174598</v>
      </c>
      <c r="F327" s="73">
        <v>-0.74210024659636664</v>
      </c>
    </row>
    <row r="328" spans="2:6" x14ac:dyDescent="0.45">
      <c r="B328" s="72">
        <v>44635</v>
      </c>
      <c r="C328" s="73">
        <v>152.09696960449219</v>
      </c>
      <c r="D328" s="73">
        <v>4262.4501953125</v>
      </c>
      <c r="E328" s="73">
        <v>2.9677285397966324</v>
      </c>
      <c r="F328" s="73">
        <v>2.1408574170870942</v>
      </c>
    </row>
    <row r="329" spans="2:6" x14ac:dyDescent="0.45">
      <c r="B329" s="72">
        <v>44636</v>
      </c>
      <c r="C329" s="73">
        <v>156.51011657714841</v>
      </c>
      <c r="D329" s="73">
        <v>4357.85986328125</v>
      </c>
      <c r="E329" s="73">
        <v>2.9015351089058727</v>
      </c>
      <c r="F329" s="73">
        <v>2.238376135718223</v>
      </c>
    </row>
    <row r="330" spans="2:6" x14ac:dyDescent="0.45">
      <c r="B330" s="72">
        <v>44637</v>
      </c>
      <c r="C330" s="73">
        <v>157.5202331542969</v>
      </c>
      <c r="D330" s="73">
        <v>4411.669921875</v>
      </c>
      <c r="E330" s="73">
        <v>0.64540018194323423</v>
      </c>
      <c r="F330" s="73">
        <v>1.234781757145198</v>
      </c>
    </row>
    <row r="331" spans="2:6" x14ac:dyDescent="0.45">
      <c r="B331" s="72">
        <v>44638</v>
      </c>
      <c r="C331" s="73">
        <v>160.81538391113281</v>
      </c>
      <c r="D331" s="73">
        <v>4463.1201171875</v>
      </c>
      <c r="E331" s="73">
        <v>2.0918904770844238</v>
      </c>
      <c r="F331" s="73">
        <v>1.1662294827948783</v>
      </c>
    </row>
    <row r="332" spans="2:6" x14ac:dyDescent="0.45">
      <c r="B332" s="72">
        <v>44641</v>
      </c>
      <c r="C332" s="73">
        <v>162.1883850097656</v>
      </c>
      <c r="D332" s="73">
        <v>4461.18017578125</v>
      </c>
      <c r="E332" s="73">
        <v>0.85377472306473745</v>
      </c>
      <c r="F332" s="73">
        <v>-4.3466036210393355E-2</v>
      </c>
    </row>
    <row r="333" spans="2:6" x14ac:dyDescent="0.45">
      <c r="B333" s="72">
        <v>44642</v>
      </c>
      <c r="C333" s="73">
        <v>165.56201171875</v>
      </c>
      <c r="D333" s="73">
        <v>4511.60986328125</v>
      </c>
      <c r="E333" s="73">
        <v>2.0800667746838197</v>
      </c>
      <c r="F333" s="73">
        <v>1.1304113600650201</v>
      </c>
    </row>
    <row r="334" spans="2:6" x14ac:dyDescent="0.45">
      <c r="B334" s="72">
        <v>44643</v>
      </c>
      <c r="C334" s="73">
        <v>166.92515563964841</v>
      </c>
      <c r="D334" s="73">
        <v>4456.240234375</v>
      </c>
      <c r="E334" s="73">
        <v>0.82334341480101436</v>
      </c>
      <c r="F334" s="73">
        <v>-1.2272698789159042</v>
      </c>
    </row>
    <row r="335" spans="2:6" x14ac:dyDescent="0.45">
      <c r="B335" s="72">
        <v>44644</v>
      </c>
      <c r="C335" s="73">
        <v>170.71067810058591</v>
      </c>
      <c r="D335" s="73">
        <v>4520.16015625</v>
      </c>
      <c r="E335" s="73">
        <v>2.2677962745828006</v>
      </c>
      <c r="F335" s="73">
        <v>1.4343912920566471</v>
      </c>
    </row>
    <row r="336" spans="2:6" x14ac:dyDescent="0.45">
      <c r="B336" s="72">
        <v>44645</v>
      </c>
      <c r="C336" s="73">
        <v>171.3481140136719</v>
      </c>
      <c r="D336" s="73">
        <v>4543.06005859375</v>
      </c>
      <c r="E336" s="73">
        <v>0.37340131278162936</v>
      </c>
      <c r="F336" s="73">
        <v>0.50661705674490687</v>
      </c>
    </row>
    <row r="337" spans="2:6" x14ac:dyDescent="0.45">
      <c r="B337" s="72">
        <v>44648</v>
      </c>
      <c r="C337" s="73">
        <v>172.211181640625</v>
      </c>
      <c r="D337" s="73">
        <v>4575.52001953125</v>
      </c>
      <c r="E337" s="73">
        <v>0.50369251620956401</v>
      </c>
      <c r="F337" s="73">
        <v>0.71449552765867619</v>
      </c>
    </row>
    <row r="338" spans="2:6" x14ac:dyDescent="0.45">
      <c r="B338" s="72">
        <v>44649</v>
      </c>
      <c r="C338" s="73">
        <v>175.50633239746091</v>
      </c>
      <c r="D338" s="73">
        <v>4631.60009765625</v>
      </c>
      <c r="E338" s="73">
        <v>1.9134360065610201</v>
      </c>
      <c r="F338" s="73">
        <v>1.2256547427530462</v>
      </c>
    </row>
    <row r="339" spans="2:6" x14ac:dyDescent="0.45">
      <c r="B339" s="72">
        <v>44650</v>
      </c>
      <c r="C339" s="73">
        <v>174.33927917480469</v>
      </c>
      <c r="D339" s="73">
        <v>4602.4501953125</v>
      </c>
      <c r="E339" s="73">
        <v>-0.6649635980160773</v>
      </c>
      <c r="F339" s="73">
        <v>-0.62937001746978805</v>
      </c>
    </row>
    <row r="340" spans="2:6" x14ac:dyDescent="0.45">
      <c r="B340" s="72">
        <v>44651</v>
      </c>
      <c r="C340" s="73">
        <v>171.2402648925781</v>
      </c>
      <c r="D340" s="73">
        <v>4530.41015625</v>
      </c>
      <c r="E340" s="73">
        <v>-1.7775766292570827</v>
      </c>
      <c r="F340" s="73">
        <v>-1.5652540713177343</v>
      </c>
    </row>
    <row r="341" spans="2:6" x14ac:dyDescent="0.45">
      <c r="B341" s="72">
        <v>44652</v>
      </c>
      <c r="C341" s="73">
        <v>170.946044921875</v>
      </c>
      <c r="D341" s="73">
        <v>4545.85986328125</v>
      </c>
      <c r="E341" s="73">
        <v>-0.17181704950507415</v>
      </c>
      <c r="F341" s="73">
        <v>0.34102225843584133</v>
      </c>
    </row>
    <row r="342" spans="2:6" x14ac:dyDescent="0.45">
      <c r="B342" s="72">
        <v>44655</v>
      </c>
      <c r="C342" s="73">
        <v>174.99632263183591</v>
      </c>
      <c r="D342" s="73">
        <v>4582.64013671875</v>
      </c>
      <c r="E342" s="73">
        <v>2.3693310434950154</v>
      </c>
      <c r="F342" s="73">
        <v>0.80909386878793566</v>
      </c>
    </row>
    <row r="343" spans="2:6" x14ac:dyDescent="0.45">
      <c r="B343" s="72">
        <v>44656</v>
      </c>
      <c r="C343" s="73">
        <v>171.68159484863281</v>
      </c>
      <c r="D343" s="73">
        <v>4525.1201171875</v>
      </c>
      <c r="E343" s="73">
        <v>-1.8941699650322108</v>
      </c>
      <c r="F343" s="73">
        <v>-1.2551720801807331</v>
      </c>
    </row>
    <row r="344" spans="2:6" x14ac:dyDescent="0.45">
      <c r="B344" s="72">
        <v>44657</v>
      </c>
      <c r="C344" s="73">
        <v>168.51390075683591</v>
      </c>
      <c r="D344" s="73">
        <v>4481.14990234375</v>
      </c>
      <c r="E344" s="73">
        <v>-1.8450982439846109</v>
      </c>
      <c r="F344" s="73">
        <v>-0.97169166132718976</v>
      </c>
    </row>
    <row r="345" spans="2:6" x14ac:dyDescent="0.45">
      <c r="B345" s="72">
        <v>44658</v>
      </c>
      <c r="C345" s="73">
        <v>168.81793212890619</v>
      </c>
      <c r="D345" s="73">
        <v>4500.2099609375</v>
      </c>
      <c r="E345" s="73">
        <v>0.18041916465336705</v>
      </c>
      <c r="F345" s="73">
        <v>0.42533856284925342</v>
      </c>
    </row>
    <row r="346" spans="2:6" x14ac:dyDescent="0.45">
      <c r="B346" s="72">
        <v>44659</v>
      </c>
      <c r="C346" s="73">
        <v>166.8074645996094</v>
      </c>
      <c r="D346" s="73">
        <v>4488.27978515625</v>
      </c>
      <c r="E346" s="73">
        <v>-1.1909087523721329</v>
      </c>
      <c r="F346" s="73">
        <v>-0.26510264820542861</v>
      </c>
    </row>
    <row r="347" spans="2:6" x14ac:dyDescent="0.45">
      <c r="B347" s="72">
        <v>44662</v>
      </c>
      <c r="C347" s="73">
        <v>162.55122375488281</v>
      </c>
      <c r="D347" s="73">
        <v>4412.52978515625</v>
      </c>
      <c r="E347" s="73">
        <v>-2.5515889561315008</v>
      </c>
      <c r="F347" s="73">
        <v>-1.687729010355421</v>
      </c>
    </row>
    <row r="348" spans="2:6" x14ac:dyDescent="0.45">
      <c r="B348" s="72">
        <v>44663</v>
      </c>
      <c r="C348" s="73">
        <v>164.42437744140619</v>
      </c>
      <c r="D348" s="73">
        <v>4397.4501953125</v>
      </c>
      <c r="E348" s="73">
        <v>1.1523467146257627</v>
      </c>
      <c r="F348" s="73">
        <v>-0.34174477177417728</v>
      </c>
    </row>
    <row r="349" spans="2:6" x14ac:dyDescent="0.45">
      <c r="B349" s="72">
        <v>44664</v>
      </c>
      <c r="C349" s="73">
        <v>167.11146545410159</v>
      </c>
      <c r="D349" s="73">
        <v>4446.58984375</v>
      </c>
      <c r="E349" s="73">
        <v>1.6342394324424081</v>
      </c>
      <c r="F349" s="73">
        <v>1.1174577597236057</v>
      </c>
    </row>
    <row r="350" spans="2:6" x14ac:dyDescent="0.45">
      <c r="B350" s="72">
        <v>44665</v>
      </c>
      <c r="C350" s="73">
        <v>162.10011291503909</v>
      </c>
      <c r="D350" s="73">
        <v>4392.58984375</v>
      </c>
      <c r="E350" s="73">
        <v>-2.9988083255956477</v>
      </c>
      <c r="F350" s="73">
        <v>-1.214413784439794</v>
      </c>
    </row>
    <row r="351" spans="2:6" x14ac:dyDescent="0.45">
      <c r="B351" s="72">
        <v>44669</v>
      </c>
      <c r="C351" s="73">
        <v>161.88435363769531</v>
      </c>
      <c r="D351" s="73">
        <v>4391.68994140625</v>
      </c>
      <c r="E351" s="73">
        <v>-0.13310248430046245</v>
      </c>
      <c r="F351" s="73">
        <v>-2.0486828403298851E-2</v>
      </c>
    </row>
    <row r="352" spans="2:6" x14ac:dyDescent="0.45">
      <c r="B352" s="72">
        <v>44670</v>
      </c>
      <c r="C352" s="73">
        <v>164.16937255859381</v>
      </c>
      <c r="D352" s="73">
        <v>4462.2099609375</v>
      </c>
      <c r="E352" s="73">
        <v>1.4115131385782131</v>
      </c>
      <c r="F352" s="73">
        <v>1.6057604355527166</v>
      </c>
    </row>
    <row r="353" spans="2:6" x14ac:dyDescent="0.45">
      <c r="B353" s="72">
        <v>44671</v>
      </c>
      <c r="C353" s="73">
        <v>164.0026550292969</v>
      </c>
      <c r="D353" s="73">
        <v>4459.4501953125</v>
      </c>
      <c r="E353" s="73">
        <v>-0.10155215110991822</v>
      </c>
      <c r="F353" s="73">
        <v>-6.1847507158097059E-2</v>
      </c>
    </row>
    <row r="354" spans="2:6" x14ac:dyDescent="0.45">
      <c r="B354" s="72">
        <v>44672</v>
      </c>
      <c r="C354" s="73">
        <v>163.20829772949219</v>
      </c>
      <c r="D354" s="73">
        <v>4393.66015625</v>
      </c>
      <c r="E354" s="73">
        <v>-0.48435636585445474</v>
      </c>
      <c r="F354" s="73">
        <v>-1.4752948498371943</v>
      </c>
    </row>
    <row r="355" spans="2:6" x14ac:dyDescent="0.45">
      <c r="B355" s="72">
        <v>44673</v>
      </c>
      <c r="C355" s="73">
        <v>158.66764831542969</v>
      </c>
      <c r="D355" s="73">
        <v>4271.77978515625</v>
      </c>
      <c r="E355" s="73">
        <v>-2.7821192165047526</v>
      </c>
      <c r="F355" s="73">
        <v>-2.7740054250753654</v>
      </c>
    </row>
    <row r="356" spans="2:6" x14ac:dyDescent="0.45">
      <c r="B356" s="72">
        <v>44676</v>
      </c>
      <c r="C356" s="73">
        <v>159.73664855957031</v>
      </c>
      <c r="D356" s="73">
        <v>4296.1201171875</v>
      </c>
      <c r="E356" s="73">
        <v>0.67373548136004935</v>
      </c>
      <c r="F356" s="73">
        <v>0.56979369853822348</v>
      </c>
    </row>
    <row r="357" spans="2:6" x14ac:dyDescent="0.45">
      <c r="B357" s="72">
        <v>44677</v>
      </c>
      <c r="C357" s="73">
        <v>153.77397155761719</v>
      </c>
      <c r="D357" s="73">
        <v>4175.2001953125</v>
      </c>
      <c r="E357" s="73">
        <v>-3.7328171435432878</v>
      </c>
      <c r="F357" s="73">
        <v>-2.8146308431003852</v>
      </c>
    </row>
    <row r="358" spans="2:6" x14ac:dyDescent="0.45">
      <c r="B358" s="72">
        <v>44678</v>
      </c>
      <c r="C358" s="73">
        <v>153.54841613769531</v>
      </c>
      <c r="D358" s="73">
        <v>4183.9599609375</v>
      </c>
      <c r="E358" s="73">
        <v>-0.14667984291305558</v>
      </c>
      <c r="F358" s="73">
        <v>0.20980468517017847</v>
      </c>
    </row>
    <row r="359" spans="2:6" x14ac:dyDescent="0.45">
      <c r="B359" s="72">
        <v>44679</v>
      </c>
      <c r="C359" s="73">
        <v>160.48197937011719</v>
      </c>
      <c r="D359" s="73">
        <v>4287.5</v>
      </c>
      <c r="E359" s="73">
        <v>4.5155550326251293</v>
      </c>
      <c r="F359" s="73">
        <v>2.4746900072939448</v>
      </c>
    </row>
    <row r="360" spans="2:6" x14ac:dyDescent="0.45">
      <c r="B360" s="72">
        <v>44680</v>
      </c>
      <c r="C360" s="73">
        <v>154.60758972167969</v>
      </c>
      <c r="D360" s="73">
        <v>4131.93017578125</v>
      </c>
      <c r="E360" s="73">
        <v>-3.6604668458690148</v>
      </c>
      <c r="F360" s="73">
        <v>-3.6284507106413955</v>
      </c>
    </row>
    <row r="361" spans="2:6" x14ac:dyDescent="0.45">
      <c r="B361" s="72">
        <v>44683</v>
      </c>
      <c r="C361" s="73">
        <v>154.91156005859381</v>
      </c>
      <c r="D361" s="73">
        <v>4155.3798828125</v>
      </c>
      <c r="E361" s="73">
        <v>0.19660764226472338</v>
      </c>
      <c r="F361" s="73">
        <v>0.56752428123536536</v>
      </c>
    </row>
    <row r="362" spans="2:6" x14ac:dyDescent="0.45">
      <c r="B362" s="72">
        <v>44684</v>
      </c>
      <c r="C362" s="73">
        <v>156.40223693847659</v>
      </c>
      <c r="D362" s="73">
        <v>4175.47998046875</v>
      </c>
      <c r="E362" s="73">
        <v>0.9622760750191528</v>
      </c>
      <c r="F362" s="73">
        <v>0.48371263814863674</v>
      </c>
    </row>
    <row r="363" spans="2:6" x14ac:dyDescent="0.45">
      <c r="B363" s="72">
        <v>44685</v>
      </c>
      <c r="C363" s="73">
        <v>162.81602478027341</v>
      </c>
      <c r="D363" s="73">
        <v>4300.169921875</v>
      </c>
      <c r="E363" s="73">
        <v>4.1008287140546384</v>
      </c>
      <c r="F363" s="73">
        <v>2.9862421084402291</v>
      </c>
    </row>
    <row r="364" spans="2:6" x14ac:dyDescent="0.45">
      <c r="B364" s="72">
        <v>44686</v>
      </c>
      <c r="C364" s="73">
        <v>153.74458312988281</v>
      </c>
      <c r="D364" s="73">
        <v>4146.8701171875</v>
      </c>
      <c r="E364" s="73">
        <v>-5.5715901813920716</v>
      </c>
      <c r="F364" s="73">
        <v>-3.5649708609806985</v>
      </c>
    </row>
    <row r="365" spans="2:6" x14ac:dyDescent="0.45">
      <c r="B365" s="72">
        <v>44687</v>
      </c>
      <c r="C365" s="73">
        <v>154.4713134765625</v>
      </c>
      <c r="D365" s="73">
        <v>4123.33984375</v>
      </c>
      <c r="E365" s="73">
        <v>0.47268679772980438</v>
      </c>
      <c r="F365" s="73">
        <v>-0.56742248424840325</v>
      </c>
    </row>
    <row r="366" spans="2:6" x14ac:dyDescent="0.45">
      <c r="B366" s="72">
        <v>44690</v>
      </c>
      <c r="C366" s="73">
        <v>149.34452819824219</v>
      </c>
      <c r="D366" s="73">
        <v>3991.239990234375</v>
      </c>
      <c r="E366" s="73">
        <v>-3.3189238590233039</v>
      </c>
      <c r="F366" s="73">
        <v>-3.2037100632356763</v>
      </c>
    </row>
    <row r="367" spans="2:6" x14ac:dyDescent="0.45">
      <c r="B367" s="72">
        <v>44691</v>
      </c>
      <c r="C367" s="73">
        <v>151.7507629394531</v>
      </c>
      <c r="D367" s="73">
        <v>4001.050048828125</v>
      </c>
      <c r="E367" s="73">
        <v>1.611197122680541</v>
      </c>
      <c r="F367" s="73">
        <v>0.24578974498534745</v>
      </c>
    </row>
    <row r="368" spans="2:6" x14ac:dyDescent="0.45">
      <c r="B368" s="72">
        <v>44692</v>
      </c>
      <c r="C368" s="73">
        <v>143.8838195800781</v>
      </c>
      <c r="D368" s="73">
        <v>3935.179931640625</v>
      </c>
      <c r="E368" s="73">
        <v>-5.18412112531772</v>
      </c>
      <c r="F368" s="73">
        <v>-1.6463207503938371</v>
      </c>
    </row>
    <row r="369" spans="2:6" x14ac:dyDescent="0.45">
      <c r="B369" s="72">
        <v>44693</v>
      </c>
      <c r="C369" s="73">
        <v>140.01420593261719</v>
      </c>
      <c r="D369" s="73">
        <v>3930.080078125</v>
      </c>
      <c r="E369" s="73">
        <v>-2.6894015315650499</v>
      </c>
      <c r="F369" s="73">
        <v>-0.12959645058717717</v>
      </c>
    </row>
    <row r="370" spans="2:6" x14ac:dyDescent="0.45">
      <c r="B370" s="72">
        <v>44694</v>
      </c>
      <c r="C370" s="73">
        <v>144.4829406738281</v>
      </c>
      <c r="D370" s="73">
        <v>4023.889892578125</v>
      </c>
      <c r="E370" s="73">
        <v>3.1916295289075913</v>
      </c>
      <c r="F370" s="73">
        <v>2.3869695423071491</v>
      </c>
    </row>
    <row r="371" spans="2:6" x14ac:dyDescent="0.45">
      <c r="B371" s="72">
        <v>44697</v>
      </c>
      <c r="C371" s="73">
        <v>142.94096374511719</v>
      </c>
      <c r="D371" s="73">
        <v>4008.010009765625</v>
      </c>
      <c r="E371" s="73">
        <v>-1.0672380569772155</v>
      </c>
      <c r="F371" s="73">
        <v>-0.39464009295556712</v>
      </c>
    </row>
    <row r="372" spans="2:6" x14ac:dyDescent="0.45">
      <c r="B372" s="72">
        <v>44698</v>
      </c>
      <c r="C372" s="73">
        <v>146.57490539550781</v>
      </c>
      <c r="D372" s="73">
        <v>4088.85009765625</v>
      </c>
      <c r="E372" s="73">
        <v>2.5422674894443942</v>
      </c>
      <c r="F372" s="73">
        <v>2.0169632234863677</v>
      </c>
    </row>
    <row r="373" spans="2:6" x14ac:dyDescent="0.45">
      <c r="B373" s="72">
        <v>44699</v>
      </c>
      <c r="C373" s="73">
        <v>138.30528259277341</v>
      </c>
      <c r="D373" s="73">
        <v>3923.679931640625</v>
      </c>
      <c r="E373" s="73">
        <v>-5.6419090160216845</v>
      </c>
      <c r="F373" s="73">
        <v>-4.0395260787452596</v>
      </c>
    </row>
    <row r="374" spans="2:6" x14ac:dyDescent="0.45">
      <c r="B374" s="72">
        <v>44700</v>
      </c>
      <c r="C374" s="73">
        <v>134.8972473144531</v>
      </c>
      <c r="D374" s="73">
        <v>3900.7900390625</v>
      </c>
      <c r="E374" s="73">
        <v>-2.4641396296878559</v>
      </c>
      <c r="F374" s="73">
        <v>-0.58337818009925879</v>
      </c>
    </row>
    <row r="375" spans="2:6" x14ac:dyDescent="0.45">
      <c r="B375" s="72">
        <v>44701</v>
      </c>
      <c r="C375" s="73">
        <v>135.1329345703125</v>
      </c>
      <c r="D375" s="73">
        <v>3901.360107421875</v>
      </c>
      <c r="E375" s="73">
        <v>0.17471613435520172</v>
      </c>
      <c r="F375" s="73">
        <v>1.4614176965843662E-2</v>
      </c>
    </row>
    <row r="376" spans="2:6" x14ac:dyDescent="0.45">
      <c r="B376" s="72">
        <v>44704</v>
      </c>
      <c r="C376" s="73">
        <v>140.55442810058591</v>
      </c>
      <c r="D376" s="73">
        <v>3973.75</v>
      </c>
      <c r="E376" s="73">
        <v>4.0119705440515574</v>
      </c>
      <c r="F376" s="73">
        <v>1.8555039930923556</v>
      </c>
    </row>
    <row r="377" spans="2:6" x14ac:dyDescent="0.45">
      <c r="B377" s="72">
        <v>44705</v>
      </c>
      <c r="C377" s="73">
        <v>137.8534851074219</v>
      </c>
      <c r="D377" s="73">
        <v>3941.47998046875</v>
      </c>
      <c r="E377" s="73">
        <v>-1.9216349350666628</v>
      </c>
      <c r="F377" s="73">
        <v>-0.81207976171752128</v>
      </c>
    </row>
    <row r="378" spans="2:6" x14ac:dyDescent="0.45">
      <c r="B378" s="72">
        <v>44706</v>
      </c>
      <c r="C378" s="73">
        <v>138.0106506347656</v>
      </c>
      <c r="D378" s="73">
        <v>3978.72998046875</v>
      </c>
      <c r="E378" s="73">
        <v>0.11400910700314348</v>
      </c>
      <c r="F378" s="73">
        <v>0.9450764734207695</v>
      </c>
    </row>
    <row r="379" spans="2:6" x14ac:dyDescent="0.45">
      <c r="B379" s="72">
        <v>44707</v>
      </c>
      <c r="C379" s="73">
        <v>141.2124328613281</v>
      </c>
      <c r="D379" s="73">
        <v>4057.840087890625</v>
      </c>
      <c r="E379" s="73">
        <v>2.3199529977115718</v>
      </c>
      <c r="F379" s="73">
        <v>1.9883256167224195</v>
      </c>
    </row>
    <row r="380" spans="2:6" x14ac:dyDescent="0.45">
      <c r="B380" s="72">
        <v>44708</v>
      </c>
      <c r="C380" s="73">
        <v>146.96775817871091</v>
      </c>
      <c r="D380" s="73">
        <v>4158.240234375</v>
      </c>
      <c r="E380" s="73">
        <v>4.0756505647308039</v>
      </c>
      <c r="F380" s="73">
        <v>2.4742262955109728</v>
      </c>
    </row>
    <row r="381" spans="2:6" x14ac:dyDescent="0.45">
      <c r="B381" s="72">
        <v>44712</v>
      </c>
      <c r="C381" s="73">
        <v>146.1820373535156</v>
      </c>
      <c r="D381" s="73">
        <v>4132.14990234375</v>
      </c>
      <c r="E381" s="73">
        <v>-0.53462122232271758</v>
      </c>
      <c r="F381" s="73">
        <v>-0.62743686176590652</v>
      </c>
    </row>
    <row r="382" spans="2:6" x14ac:dyDescent="0.45">
      <c r="B382" s="72">
        <v>44713</v>
      </c>
      <c r="C382" s="73">
        <v>146.05438232421881</v>
      </c>
      <c r="D382" s="73">
        <v>4101.22998046875</v>
      </c>
      <c r="E382" s="73">
        <v>-8.7326070704618619E-2</v>
      </c>
      <c r="F382" s="73">
        <v>-0.74827686811318461</v>
      </c>
    </row>
    <row r="383" spans="2:6" x14ac:dyDescent="0.45">
      <c r="B383" s="72">
        <v>44714</v>
      </c>
      <c r="C383" s="73">
        <v>148.50971984863281</v>
      </c>
      <c r="D383" s="73">
        <v>4176.81982421875</v>
      </c>
      <c r="E383" s="73">
        <v>1.6811118470677178</v>
      </c>
      <c r="F383" s="73">
        <v>1.8431018038486124</v>
      </c>
    </row>
    <row r="384" spans="2:6" x14ac:dyDescent="0.45">
      <c r="B384" s="72">
        <v>44715</v>
      </c>
      <c r="C384" s="73">
        <v>142.7838439941406</v>
      </c>
      <c r="D384" s="73">
        <v>4108.5400390625</v>
      </c>
      <c r="E384" s="73">
        <v>-3.8555562964688539</v>
      </c>
      <c r="F384" s="73">
        <v>-1.6347313992415624</v>
      </c>
    </row>
    <row r="385" spans="2:6" x14ac:dyDescent="0.45">
      <c r="B385" s="72">
        <v>44718</v>
      </c>
      <c r="C385" s="73">
        <v>143.53025817871091</v>
      </c>
      <c r="D385" s="73">
        <v>4121.43017578125</v>
      </c>
      <c r="E385" s="73">
        <v>0.52275815224651634</v>
      </c>
      <c r="F385" s="73">
        <v>0.31374007789131131</v>
      </c>
    </row>
    <row r="386" spans="2:6" x14ac:dyDescent="0.45">
      <c r="B386" s="72">
        <v>44719</v>
      </c>
      <c r="C386" s="73">
        <v>146.05438232421881</v>
      </c>
      <c r="D386" s="73">
        <v>4160.68017578125</v>
      </c>
      <c r="E386" s="73">
        <v>1.7586007142585069</v>
      </c>
      <c r="F386" s="73">
        <v>0.95233931732350285</v>
      </c>
    </row>
    <row r="387" spans="2:6" x14ac:dyDescent="0.45">
      <c r="B387" s="72">
        <v>44720</v>
      </c>
      <c r="C387" s="73">
        <v>145.3177795410156</v>
      </c>
      <c r="D387" s="73">
        <v>4115.77001953125</v>
      </c>
      <c r="E387" s="73">
        <v>-0.50433459885377285</v>
      </c>
      <c r="F387" s="73">
        <v>-1.0793945785935621</v>
      </c>
    </row>
    <row r="388" spans="2:6" x14ac:dyDescent="0.45">
      <c r="B388" s="72">
        <v>44721</v>
      </c>
      <c r="C388" s="73">
        <v>140.0927734375</v>
      </c>
      <c r="D388" s="73">
        <v>4017.820068359375</v>
      </c>
      <c r="E388" s="73">
        <v>-3.5955724894907615</v>
      </c>
      <c r="F388" s="73">
        <v>-2.3798693976353591</v>
      </c>
    </row>
    <row r="389" spans="2:6" x14ac:dyDescent="0.45">
      <c r="B389" s="72">
        <v>44722</v>
      </c>
      <c r="C389" s="73">
        <v>134.68119812011719</v>
      </c>
      <c r="D389" s="73">
        <v>3900.860107421875</v>
      </c>
      <c r="E389" s="73">
        <v>-3.8628511554145928</v>
      </c>
      <c r="F389" s="73">
        <v>-2.9110303335524668</v>
      </c>
    </row>
    <row r="390" spans="2:6" x14ac:dyDescent="0.45">
      <c r="B390" s="72">
        <v>44725</v>
      </c>
      <c r="C390" s="73">
        <v>129.52490234375</v>
      </c>
      <c r="D390" s="73">
        <v>3749.6298828125</v>
      </c>
      <c r="E390" s="73">
        <v>-3.828519383803286</v>
      </c>
      <c r="F390" s="73">
        <v>-3.8768430665237275</v>
      </c>
    </row>
    <row r="391" spans="2:6" x14ac:dyDescent="0.45">
      <c r="B391" s="72">
        <v>44726</v>
      </c>
      <c r="C391" s="73">
        <v>130.38917541503909</v>
      </c>
      <c r="D391" s="73">
        <v>3735.47998046875</v>
      </c>
      <c r="E391" s="73">
        <v>0.6672640207790792</v>
      </c>
      <c r="F391" s="73">
        <v>-0.37736797459957394</v>
      </c>
    </row>
    <row r="392" spans="2:6" x14ac:dyDescent="0.45">
      <c r="B392" s="72">
        <v>44727</v>
      </c>
      <c r="C392" s="73">
        <v>133.0115051269531</v>
      </c>
      <c r="D392" s="73">
        <v>3789.989990234375</v>
      </c>
      <c r="E392" s="73">
        <v>2.0111559901862419</v>
      </c>
      <c r="F392" s="73">
        <v>1.4592504858983224</v>
      </c>
    </row>
    <row r="393" spans="2:6" x14ac:dyDescent="0.45">
      <c r="B393" s="72">
        <v>44728</v>
      </c>
      <c r="C393" s="73">
        <v>127.7373962402344</v>
      </c>
      <c r="D393" s="73">
        <v>3666.77001953125</v>
      </c>
      <c r="E393" s="73">
        <v>-3.9651523991738991</v>
      </c>
      <c r="F393" s="73">
        <v>-3.2511951488163437</v>
      </c>
    </row>
    <row r="394" spans="2:6" x14ac:dyDescent="0.45">
      <c r="B394" s="72">
        <v>44729</v>
      </c>
      <c r="C394" s="73">
        <v>129.21061706542969</v>
      </c>
      <c r="D394" s="73">
        <v>3674.840087890625</v>
      </c>
      <c r="E394" s="73">
        <v>1.1533199114412973</v>
      </c>
      <c r="F394" s="73">
        <v>0.22008656982546171</v>
      </c>
    </row>
    <row r="395" spans="2:6" x14ac:dyDescent="0.45">
      <c r="B395" s="72">
        <v>44733</v>
      </c>
      <c r="C395" s="73">
        <v>133.44366455078119</v>
      </c>
      <c r="D395" s="73">
        <v>3764.7900390625</v>
      </c>
      <c r="E395" s="73">
        <v>3.2760833292886149</v>
      </c>
      <c r="F395" s="73">
        <v>2.4477242280086964</v>
      </c>
    </row>
    <row r="396" spans="2:6" x14ac:dyDescent="0.45">
      <c r="B396" s="72">
        <v>44734</v>
      </c>
      <c r="C396" s="73">
        <v>132.93293762207031</v>
      </c>
      <c r="D396" s="73">
        <v>3759.889892578125</v>
      </c>
      <c r="E396" s="73">
        <v>-0.38272849477730686</v>
      </c>
      <c r="F396" s="73">
        <v>-0.13015723144006452</v>
      </c>
    </row>
    <row r="397" spans="2:6" x14ac:dyDescent="0.45">
      <c r="B397" s="72">
        <v>44735</v>
      </c>
      <c r="C397" s="73">
        <v>135.80085754394531</v>
      </c>
      <c r="D397" s="73">
        <v>3795.72998046875</v>
      </c>
      <c r="E397" s="73">
        <v>2.1574186000677509</v>
      </c>
      <c r="F397" s="73">
        <v>0.95322174091778678</v>
      </c>
    </row>
    <row r="398" spans="2:6" x14ac:dyDescent="0.45">
      <c r="B398" s="72">
        <v>44736</v>
      </c>
      <c r="C398" s="73">
        <v>139.1302795410156</v>
      </c>
      <c r="D398" s="73">
        <v>3911.739990234375</v>
      </c>
      <c r="E398" s="73">
        <v>2.4516943834414828</v>
      </c>
      <c r="F398" s="73">
        <v>3.056329358583576</v>
      </c>
    </row>
    <row r="399" spans="2:6" x14ac:dyDescent="0.45">
      <c r="B399" s="72">
        <v>44739</v>
      </c>
      <c r="C399" s="73">
        <v>139.1302795410156</v>
      </c>
      <c r="D399" s="73">
        <v>3900.110107421875</v>
      </c>
      <c r="E399" s="73">
        <v>0</v>
      </c>
      <c r="F399" s="73">
        <v>-0.29730715337762392</v>
      </c>
    </row>
    <row r="400" spans="2:6" x14ac:dyDescent="0.45">
      <c r="B400" s="72">
        <v>44740</v>
      </c>
      <c r="C400" s="73">
        <v>134.9856262207031</v>
      </c>
      <c r="D400" s="73">
        <v>3821.550048828125</v>
      </c>
      <c r="E400" s="73">
        <v>-2.9789728979094376</v>
      </c>
      <c r="F400" s="73">
        <v>-2.0143036075892073</v>
      </c>
    </row>
    <row r="401" spans="2:6" x14ac:dyDescent="0.45">
      <c r="B401" s="72">
        <v>44741</v>
      </c>
      <c r="C401" s="73">
        <v>136.74366760253909</v>
      </c>
      <c r="D401" s="73">
        <v>3818.830078125</v>
      </c>
      <c r="E401" s="73">
        <v>1.3023915442386347</v>
      </c>
      <c r="F401" s="73">
        <v>-7.1174540915908135E-2</v>
      </c>
    </row>
    <row r="402" spans="2:6" x14ac:dyDescent="0.45">
      <c r="B402" s="72">
        <v>44742</v>
      </c>
      <c r="C402" s="73">
        <v>134.27848815917969</v>
      </c>
      <c r="D402" s="73">
        <v>3785.3798828125</v>
      </c>
      <c r="E402" s="73">
        <v>-1.8027741149408971</v>
      </c>
      <c r="F402" s="73">
        <v>-0.87592782679987158</v>
      </c>
    </row>
    <row r="403" spans="2:6" x14ac:dyDescent="0.45">
      <c r="B403" s="72">
        <v>44743</v>
      </c>
      <c r="C403" s="73">
        <v>136.44898986816409</v>
      </c>
      <c r="D403" s="73">
        <v>3825.330078125</v>
      </c>
      <c r="E403" s="73">
        <v>1.6164180418917207</v>
      </c>
      <c r="F403" s="73">
        <v>1.0553814029047315</v>
      </c>
    </row>
    <row r="404" spans="2:6" x14ac:dyDescent="0.45">
      <c r="B404" s="72">
        <v>44747</v>
      </c>
      <c r="C404" s="73">
        <v>139.03204345703119</v>
      </c>
      <c r="D404" s="73">
        <v>3831.389892578125</v>
      </c>
      <c r="E404" s="73">
        <v>1.8930543871104044</v>
      </c>
      <c r="F404" s="73">
        <v>0.15841285142366157</v>
      </c>
    </row>
    <row r="405" spans="2:6" x14ac:dyDescent="0.45">
      <c r="B405" s="72">
        <v>44748</v>
      </c>
      <c r="C405" s="73">
        <v>140.36775207519531</v>
      </c>
      <c r="D405" s="73">
        <v>3845.080078125</v>
      </c>
      <c r="E405" s="73">
        <v>0.9607199786119347</v>
      </c>
      <c r="F405" s="73">
        <v>0.35731642904301975</v>
      </c>
    </row>
    <row r="406" spans="2:6" x14ac:dyDescent="0.45">
      <c r="B406" s="72">
        <v>44749</v>
      </c>
      <c r="C406" s="73">
        <v>143.73652648925781</v>
      </c>
      <c r="D406" s="73">
        <v>3902.6201171875</v>
      </c>
      <c r="E406" s="73">
        <v>2.3999632139566129</v>
      </c>
      <c r="F406" s="73">
        <v>1.4964587965241805</v>
      </c>
    </row>
    <row r="407" spans="2:6" x14ac:dyDescent="0.45">
      <c r="B407" s="72">
        <v>44750</v>
      </c>
      <c r="C407" s="73">
        <v>144.4141845703125</v>
      </c>
      <c r="D407" s="73">
        <v>3899.3798828125</v>
      </c>
      <c r="E407" s="73">
        <v>0.47145850648153687</v>
      </c>
      <c r="F407" s="73">
        <v>-8.3027152981907104E-2</v>
      </c>
    </row>
    <row r="408" spans="2:6" x14ac:dyDescent="0.45">
      <c r="B408" s="72">
        <v>44753</v>
      </c>
      <c r="C408" s="73">
        <v>142.282958984375</v>
      </c>
      <c r="D408" s="73">
        <v>3854.429931640625</v>
      </c>
      <c r="E408" s="73">
        <v>-1.4757730289989945</v>
      </c>
      <c r="F408" s="73">
        <v>-1.1527461422777274</v>
      </c>
    </row>
    <row r="409" spans="2:6" x14ac:dyDescent="0.45">
      <c r="B409" s="72">
        <v>44754</v>
      </c>
      <c r="C409" s="73">
        <v>143.25529479980469</v>
      </c>
      <c r="D409" s="73">
        <v>3818.800048828125</v>
      </c>
      <c r="E409" s="73">
        <v>0.68338177837337089</v>
      </c>
      <c r="F409" s="73">
        <v>-0.92438787173215742</v>
      </c>
    </row>
    <row r="410" spans="2:6" x14ac:dyDescent="0.45">
      <c r="B410" s="72">
        <v>44755</v>
      </c>
      <c r="C410" s="73">
        <v>142.8918762207031</v>
      </c>
      <c r="D410" s="73">
        <v>3801.780029296875</v>
      </c>
      <c r="E410" s="73">
        <v>-0.2536859664485358</v>
      </c>
      <c r="F410" s="73">
        <v>-0.44569025122100925</v>
      </c>
    </row>
    <row r="411" spans="2:6" x14ac:dyDescent="0.45">
      <c r="B411" s="72">
        <v>44756</v>
      </c>
      <c r="C411" s="73">
        <v>145.81864929199219</v>
      </c>
      <c r="D411" s="73">
        <v>3790.3798828125</v>
      </c>
      <c r="E411" s="73">
        <v>2.0482431532836465</v>
      </c>
      <c r="F411" s="73">
        <v>-0.29986339021522701</v>
      </c>
    </row>
    <row r="412" spans="2:6" x14ac:dyDescent="0.45">
      <c r="B412" s="72">
        <v>44757</v>
      </c>
      <c r="C412" s="73">
        <v>147.48828125</v>
      </c>
      <c r="D412" s="73">
        <v>3863.159912109375</v>
      </c>
      <c r="E412" s="73">
        <v>1.145005776774477</v>
      </c>
      <c r="F412" s="73">
        <v>1.9201249359436678</v>
      </c>
    </row>
    <row r="413" spans="2:6" x14ac:dyDescent="0.45">
      <c r="B413" s="72">
        <v>44760</v>
      </c>
      <c r="C413" s="73">
        <v>144.44366455078119</v>
      </c>
      <c r="D413" s="73">
        <v>3830.85009765625</v>
      </c>
      <c r="E413" s="73">
        <v>-2.0643109224779854</v>
      </c>
      <c r="F413" s="73">
        <v>-0.83635715808313416</v>
      </c>
    </row>
    <row r="414" spans="2:6" x14ac:dyDescent="0.45">
      <c r="B414" s="72">
        <v>44761</v>
      </c>
      <c r="C414" s="73">
        <v>148.303466796875</v>
      </c>
      <c r="D414" s="73">
        <v>3936.68994140625</v>
      </c>
      <c r="E414" s="73">
        <v>2.6721852135902058</v>
      </c>
      <c r="F414" s="73">
        <v>2.7628291645959591</v>
      </c>
    </row>
    <row r="415" spans="2:6" x14ac:dyDescent="0.45">
      <c r="B415" s="72">
        <v>44762</v>
      </c>
      <c r="C415" s="73">
        <v>150.3070373535156</v>
      </c>
      <c r="D415" s="73">
        <v>3959.89990234375</v>
      </c>
      <c r="E415" s="73">
        <v>1.3509937427051533</v>
      </c>
      <c r="F415" s="73">
        <v>0.58958061932632422</v>
      </c>
    </row>
    <row r="416" spans="2:6" x14ac:dyDescent="0.45">
      <c r="B416" s="72">
        <v>44763</v>
      </c>
      <c r="C416" s="73">
        <v>152.5758361816406</v>
      </c>
      <c r="D416" s="73">
        <v>3998.949951171875</v>
      </c>
      <c r="E416" s="73">
        <v>1.5094428498307</v>
      </c>
      <c r="F416" s="73">
        <v>0.98613727091971803</v>
      </c>
    </row>
    <row r="417" spans="2:6" x14ac:dyDescent="0.45">
      <c r="B417" s="72">
        <v>44764</v>
      </c>
      <c r="C417" s="73">
        <v>151.3382873535156</v>
      </c>
      <c r="D417" s="73">
        <v>3961.6298828125</v>
      </c>
      <c r="E417" s="73">
        <v>-0.81110407722210232</v>
      </c>
      <c r="F417" s="73">
        <v>-0.93324669763467094</v>
      </c>
    </row>
    <row r="418" spans="2:6" x14ac:dyDescent="0.45">
      <c r="B418" s="72">
        <v>44767</v>
      </c>
      <c r="C418" s="73">
        <v>150.21868896484381</v>
      </c>
      <c r="D418" s="73">
        <v>3966.840087890625</v>
      </c>
      <c r="E418" s="73">
        <v>-0.73979850588402618</v>
      </c>
      <c r="F418" s="73">
        <v>0.13151670479691902</v>
      </c>
    </row>
    <row r="419" spans="2:6" x14ac:dyDescent="0.45">
      <c r="B419" s="72">
        <v>44768</v>
      </c>
      <c r="C419" s="73">
        <v>148.89274597167969</v>
      </c>
      <c r="D419" s="73">
        <v>3921.050048828125</v>
      </c>
      <c r="E419" s="73">
        <v>-0.88267512005408832</v>
      </c>
      <c r="F419" s="73">
        <v>-1.154320266205866</v>
      </c>
    </row>
    <row r="420" spans="2:6" x14ac:dyDescent="0.45">
      <c r="B420" s="72">
        <v>44769</v>
      </c>
      <c r="C420" s="73">
        <v>153.9900817871094</v>
      </c>
      <c r="D420" s="73">
        <v>4023.610107421875</v>
      </c>
      <c r="E420" s="73">
        <v>3.4234950683220466</v>
      </c>
      <c r="F420" s="73">
        <v>2.6156273782937722</v>
      </c>
    </row>
    <row r="421" spans="2:6" x14ac:dyDescent="0.45">
      <c r="B421" s="72">
        <v>44770</v>
      </c>
      <c r="C421" s="73">
        <v>154.54010009765619</v>
      </c>
      <c r="D421" s="73">
        <v>4072.429931640625</v>
      </c>
      <c r="E421" s="73">
        <v>0.35717775077694913</v>
      </c>
      <c r="F421" s="73">
        <v>1.2133338697180918</v>
      </c>
    </row>
    <row r="422" spans="2:6" x14ac:dyDescent="0.45">
      <c r="B422" s="72">
        <v>44771</v>
      </c>
      <c r="C422" s="73">
        <v>159.60789489746091</v>
      </c>
      <c r="D422" s="73">
        <v>4130.2900390625</v>
      </c>
      <c r="E422" s="73">
        <v>3.2792749562102763</v>
      </c>
      <c r="F422" s="73">
        <v>1.4207760082581844</v>
      </c>
    </row>
    <row r="423" spans="2:6" x14ac:dyDescent="0.45">
      <c r="B423" s="72">
        <v>44774</v>
      </c>
      <c r="C423" s="73">
        <v>158.6257629394531</v>
      </c>
      <c r="D423" s="73">
        <v>4118.6298828125</v>
      </c>
      <c r="E423" s="73">
        <v>-0.61534046209855697</v>
      </c>
      <c r="F423" s="73">
        <v>-0.28230841271976725</v>
      </c>
    </row>
    <row r="424" spans="2:6" x14ac:dyDescent="0.45">
      <c r="B424" s="72">
        <v>44775</v>
      </c>
      <c r="C424" s="73">
        <v>157.15252685546881</v>
      </c>
      <c r="D424" s="73">
        <v>4091.18994140625</v>
      </c>
      <c r="E424" s="73">
        <v>-0.92874956544518605</v>
      </c>
      <c r="F424" s="73">
        <v>-0.66623955507048027</v>
      </c>
    </row>
    <row r="425" spans="2:6" x14ac:dyDescent="0.45">
      <c r="B425" s="72">
        <v>44776</v>
      </c>
      <c r="C425" s="73">
        <v>163.16328430175781</v>
      </c>
      <c r="D425" s="73">
        <v>4155.169921875</v>
      </c>
      <c r="E425" s="73">
        <v>3.8247921090171388</v>
      </c>
      <c r="F425" s="73">
        <v>1.5638477163140152</v>
      </c>
    </row>
    <row r="426" spans="2:6" x14ac:dyDescent="0.45">
      <c r="B426" s="72">
        <v>44777</v>
      </c>
      <c r="C426" s="73">
        <v>162.8489990234375</v>
      </c>
      <c r="D426" s="73">
        <v>4151.93994140625</v>
      </c>
      <c r="E426" s="73">
        <v>-0.19262009812149872</v>
      </c>
      <c r="F426" s="73">
        <v>-7.7734016405583972E-2</v>
      </c>
    </row>
    <row r="427" spans="2:6" x14ac:dyDescent="0.45">
      <c r="B427" s="72">
        <v>44778</v>
      </c>
      <c r="C427" s="73">
        <v>162.62281799316409</v>
      </c>
      <c r="D427" s="73">
        <v>4145.18994140625</v>
      </c>
      <c r="E427" s="73">
        <v>-0.13889003409892631</v>
      </c>
      <c r="F427" s="73">
        <v>-0.16257460597355333</v>
      </c>
    </row>
    <row r="428" spans="2:6" x14ac:dyDescent="0.45">
      <c r="B428" s="72">
        <v>44781</v>
      </c>
      <c r="C428" s="73">
        <v>162.15074157714841</v>
      </c>
      <c r="D428" s="73">
        <v>4140.06005859375</v>
      </c>
      <c r="E428" s="73">
        <v>-0.2902891622721282</v>
      </c>
      <c r="F428" s="73">
        <v>-0.12375507238541195</v>
      </c>
    </row>
    <row r="429" spans="2:6" x14ac:dyDescent="0.45">
      <c r="B429" s="72">
        <v>44782</v>
      </c>
      <c r="C429" s="73">
        <v>162.1998596191406</v>
      </c>
      <c r="D429" s="73">
        <v>4122.47021484375</v>
      </c>
      <c r="E429" s="73">
        <v>3.0291592572706527E-2</v>
      </c>
      <c r="F429" s="73">
        <v>-0.4248692893594086</v>
      </c>
    </row>
    <row r="430" spans="2:6" x14ac:dyDescent="0.45">
      <c r="B430" s="72">
        <v>44783</v>
      </c>
      <c r="C430" s="73">
        <v>166.4486389160156</v>
      </c>
      <c r="D430" s="73">
        <v>4210.240234375</v>
      </c>
      <c r="E430" s="73">
        <v>2.6194716239899885</v>
      </c>
      <c r="F430" s="73">
        <v>2.1290637641290244</v>
      </c>
    </row>
    <row r="431" spans="2:6" x14ac:dyDescent="0.45">
      <c r="B431" s="72">
        <v>44784</v>
      </c>
      <c r="C431" s="73">
        <v>165.71101379394531</v>
      </c>
      <c r="D431" s="73">
        <v>4207.27001953125</v>
      </c>
      <c r="E431" s="73">
        <v>-0.44315479349906761</v>
      </c>
      <c r="F431" s="73">
        <v>-7.0547395835030002E-2</v>
      </c>
    </row>
    <row r="432" spans="2:6" x14ac:dyDescent="0.45">
      <c r="B432" s="72">
        <v>44785</v>
      </c>
      <c r="C432" s="73">
        <v>169.26145935058591</v>
      </c>
      <c r="D432" s="73">
        <v>4280.14990234375</v>
      </c>
      <c r="E432" s="73">
        <v>2.1425525529977341</v>
      </c>
      <c r="F432" s="73">
        <v>1.7322368774566943</v>
      </c>
    </row>
    <row r="433" spans="2:6" x14ac:dyDescent="0.45">
      <c r="B433" s="72">
        <v>44788</v>
      </c>
      <c r="C433" s="73">
        <v>170.33348083496091</v>
      </c>
      <c r="D433" s="73">
        <v>4297.14013671875</v>
      </c>
      <c r="E433" s="73">
        <v>0.63335238186417175</v>
      </c>
      <c r="F433" s="73">
        <v>0.39695418998517695</v>
      </c>
    </row>
    <row r="434" spans="2:6" x14ac:dyDescent="0.45">
      <c r="B434" s="72">
        <v>44789</v>
      </c>
      <c r="C434" s="73">
        <v>170.1761474609375</v>
      </c>
      <c r="D434" s="73">
        <v>4305.2001953125</v>
      </c>
      <c r="E434" s="73">
        <v>-9.2367849968288951E-2</v>
      </c>
      <c r="F434" s="73">
        <v>0.18756797165810912</v>
      </c>
    </row>
    <row r="435" spans="2:6" x14ac:dyDescent="0.45">
      <c r="B435" s="72">
        <v>44790</v>
      </c>
      <c r="C435" s="73">
        <v>171.6710510253906</v>
      </c>
      <c r="D435" s="73">
        <v>4274.0400390625</v>
      </c>
      <c r="E435" s="73">
        <v>0.87844482717311934</v>
      </c>
      <c r="F435" s="73">
        <v>-0.72377949540946007</v>
      </c>
    </row>
    <row r="436" spans="2:6" x14ac:dyDescent="0.45">
      <c r="B436" s="72">
        <v>44791</v>
      </c>
      <c r="C436" s="73">
        <v>171.27766418457031</v>
      </c>
      <c r="D436" s="73">
        <v>4283.740234375</v>
      </c>
      <c r="E436" s="73">
        <v>-0.2291515304826186</v>
      </c>
      <c r="F436" s="73">
        <v>0.22695611701915031</v>
      </c>
    </row>
    <row r="437" spans="2:6" x14ac:dyDescent="0.45">
      <c r="B437" s="72">
        <v>44792</v>
      </c>
      <c r="C437" s="73">
        <v>168.6910400390625</v>
      </c>
      <c r="D437" s="73">
        <v>4228.47998046875</v>
      </c>
      <c r="E437" s="73">
        <v>-1.5101934965206176</v>
      </c>
      <c r="F437" s="73">
        <v>-1.2900001139847905</v>
      </c>
    </row>
    <row r="438" spans="2:6" x14ac:dyDescent="0.45">
      <c r="B438" s="72">
        <v>44795</v>
      </c>
      <c r="C438" s="73">
        <v>164.80619812011719</v>
      </c>
      <c r="D438" s="73">
        <v>4137.990234375</v>
      </c>
      <c r="E438" s="73">
        <v>-2.3029331718185664</v>
      </c>
      <c r="F438" s="73">
        <v>-2.14000649197158</v>
      </c>
    </row>
    <row r="439" spans="2:6" x14ac:dyDescent="0.45">
      <c r="B439" s="72">
        <v>44796</v>
      </c>
      <c r="C439" s="73">
        <v>164.4717712402344</v>
      </c>
      <c r="D439" s="73">
        <v>4128.72998046875</v>
      </c>
      <c r="E439" s="73">
        <v>-0.20292130010731713</v>
      </c>
      <c r="F439" s="73">
        <v>-0.22378626777133093</v>
      </c>
    </row>
    <row r="440" spans="2:6" x14ac:dyDescent="0.45">
      <c r="B440" s="72">
        <v>44797</v>
      </c>
      <c r="C440" s="73">
        <v>164.76683044433591</v>
      </c>
      <c r="D440" s="73">
        <v>4140.77001953125</v>
      </c>
      <c r="E440" s="73">
        <v>0.17939808264759716</v>
      </c>
      <c r="F440" s="73">
        <v>0.29161604463010526</v>
      </c>
    </row>
    <row r="441" spans="2:6" x14ac:dyDescent="0.45">
      <c r="B441" s="72">
        <v>44798</v>
      </c>
      <c r="C441" s="73">
        <v>167.2255859375</v>
      </c>
      <c r="D441" s="73">
        <v>4199.1201171875</v>
      </c>
      <c r="E441" s="73">
        <v>1.4922636349400165</v>
      </c>
      <c r="F441" s="73">
        <v>1.4091605518061545</v>
      </c>
    </row>
    <row r="442" spans="2:6" x14ac:dyDescent="0.45">
      <c r="B442" s="72">
        <v>44799</v>
      </c>
      <c r="C442" s="73">
        <v>160.92134094238281</v>
      </c>
      <c r="D442" s="73">
        <v>4057.659912109375</v>
      </c>
      <c r="E442" s="73">
        <v>-3.7699045632128225</v>
      </c>
      <c r="F442" s="73">
        <v>-3.3688058719518743</v>
      </c>
    </row>
    <row r="443" spans="2:6" x14ac:dyDescent="0.45">
      <c r="B443" s="72">
        <v>44802</v>
      </c>
      <c r="C443" s="73">
        <v>158.7182922363281</v>
      </c>
      <c r="D443" s="73">
        <v>4030.610107421875</v>
      </c>
      <c r="E443" s="73">
        <v>-1.3690220906396156</v>
      </c>
      <c r="F443" s="73">
        <v>-0.6666355799502699</v>
      </c>
    </row>
    <row r="444" spans="2:6" x14ac:dyDescent="0.45">
      <c r="B444" s="72">
        <v>44803</v>
      </c>
      <c r="C444" s="73">
        <v>156.28901672363281</v>
      </c>
      <c r="D444" s="73">
        <v>3986.159912109375</v>
      </c>
      <c r="E444" s="73">
        <v>-1.530557995847226</v>
      </c>
      <c r="F444" s="73">
        <v>-1.1028155571448206</v>
      </c>
    </row>
    <row r="445" spans="2:6" x14ac:dyDescent="0.45">
      <c r="B445" s="72">
        <v>44804</v>
      </c>
      <c r="C445" s="73">
        <v>154.6269226074219</v>
      </c>
      <c r="D445" s="73">
        <v>3955</v>
      </c>
      <c r="E445" s="73">
        <v>-1.063474677270515</v>
      </c>
      <c r="F445" s="73">
        <v>-0.78170251059712648</v>
      </c>
    </row>
    <row r="446" spans="2:6" x14ac:dyDescent="0.45">
      <c r="B446" s="72">
        <v>44805</v>
      </c>
      <c r="C446" s="73">
        <v>155.3547058105469</v>
      </c>
      <c r="D446" s="73">
        <v>3966.85009765625</v>
      </c>
      <c r="E446" s="73">
        <v>0.47067043103015127</v>
      </c>
      <c r="F446" s="73">
        <v>0.29962320243361873</v>
      </c>
    </row>
    <row r="447" spans="2:6" x14ac:dyDescent="0.45">
      <c r="B447" s="72">
        <v>44806</v>
      </c>
      <c r="C447" s="73">
        <v>153.24015808105469</v>
      </c>
      <c r="D447" s="73">
        <v>3924.260009765625</v>
      </c>
      <c r="E447" s="73">
        <v>-1.3611095450632105</v>
      </c>
      <c r="F447" s="73">
        <v>-1.0736500458081055</v>
      </c>
    </row>
    <row r="448" spans="2:6" x14ac:dyDescent="0.45">
      <c r="B448" s="72">
        <v>44810</v>
      </c>
      <c r="C448" s="73">
        <v>151.98126220703119</v>
      </c>
      <c r="D448" s="73">
        <v>3908.18994140625</v>
      </c>
      <c r="E448" s="73">
        <v>-0.82151825591149086</v>
      </c>
      <c r="F448" s="73">
        <v>-0.40950569838349438</v>
      </c>
    </row>
    <row r="449" spans="2:6" x14ac:dyDescent="0.45">
      <c r="B449" s="72">
        <v>44811</v>
      </c>
      <c r="C449" s="73">
        <v>153.3876647949219</v>
      </c>
      <c r="D449" s="73">
        <v>3979.8701171875</v>
      </c>
      <c r="E449" s="73">
        <v>0.92537893649999869</v>
      </c>
      <c r="F449" s="73">
        <v>1.8341016392734</v>
      </c>
    </row>
    <row r="450" spans="2:6" x14ac:dyDescent="0.45">
      <c r="B450" s="72">
        <v>44812</v>
      </c>
      <c r="C450" s="73">
        <v>151.91242980957031</v>
      </c>
      <c r="D450" s="73">
        <v>4006.179931640625</v>
      </c>
      <c r="E450" s="73">
        <v>-0.96176898404702893</v>
      </c>
      <c r="F450" s="73">
        <v>0.66107218774560383</v>
      </c>
    </row>
    <row r="451" spans="2:6" x14ac:dyDescent="0.45">
      <c r="B451" s="72">
        <v>44813</v>
      </c>
      <c r="C451" s="73">
        <v>154.77442932128909</v>
      </c>
      <c r="D451" s="73">
        <v>4067.360107421875</v>
      </c>
      <c r="E451" s="73">
        <v>1.8839798134401731</v>
      </c>
      <c r="F451" s="73">
        <v>1.5271449816332883</v>
      </c>
    </row>
    <row r="452" spans="2:6" x14ac:dyDescent="0.45">
      <c r="B452" s="72">
        <v>44816</v>
      </c>
      <c r="C452" s="73">
        <v>160.73443603515619</v>
      </c>
      <c r="D452" s="73">
        <v>4110.41015625</v>
      </c>
      <c r="E452" s="73">
        <v>3.8507696264833191</v>
      </c>
      <c r="F452" s="73">
        <v>1.0584272769349701</v>
      </c>
    </row>
    <row r="453" spans="2:6" x14ac:dyDescent="0.45">
      <c r="B453" s="72">
        <v>44817</v>
      </c>
      <c r="C453" s="73">
        <v>151.3026123046875</v>
      </c>
      <c r="D453" s="73">
        <v>3932.68994140625</v>
      </c>
      <c r="E453" s="73">
        <v>-5.8679545983573504</v>
      </c>
      <c r="F453" s="73">
        <v>-4.3236613400616797</v>
      </c>
    </row>
    <row r="454" spans="2:6" x14ac:dyDescent="0.45">
      <c r="B454" s="72">
        <v>44818</v>
      </c>
      <c r="C454" s="73">
        <v>152.74839782714841</v>
      </c>
      <c r="D454" s="73">
        <v>3946.010009765625</v>
      </c>
      <c r="E454" s="73">
        <v>0.95555886341833762</v>
      </c>
      <c r="F454" s="73">
        <v>0.33870120853238816</v>
      </c>
    </row>
    <row r="455" spans="2:6" x14ac:dyDescent="0.45">
      <c r="B455" s="72">
        <v>44819</v>
      </c>
      <c r="C455" s="73">
        <v>149.85688781738281</v>
      </c>
      <c r="D455" s="73">
        <v>3901.35009765625</v>
      </c>
      <c r="E455" s="73">
        <v>-1.8929887651179533</v>
      </c>
      <c r="F455" s="73">
        <v>-1.1317739184353415</v>
      </c>
    </row>
    <row r="456" spans="2:6" x14ac:dyDescent="0.45">
      <c r="B456" s="72">
        <v>44820</v>
      </c>
      <c r="C456" s="73">
        <v>148.21441650390619</v>
      </c>
      <c r="D456" s="73">
        <v>3873.330078125</v>
      </c>
      <c r="E456" s="73">
        <v>-1.096026574019171</v>
      </c>
      <c r="F456" s="73">
        <v>-0.71821340894484553</v>
      </c>
    </row>
    <row r="457" spans="2:6" x14ac:dyDescent="0.45">
      <c r="B457" s="72">
        <v>44823</v>
      </c>
      <c r="C457" s="73">
        <v>151.93208312988281</v>
      </c>
      <c r="D457" s="73">
        <v>3899.889892578125</v>
      </c>
      <c r="E457" s="73">
        <v>2.5083029800131662</v>
      </c>
      <c r="F457" s="73">
        <v>0.68571007162865349</v>
      </c>
    </row>
    <row r="458" spans="2:6" x14ac:dyDescent="0.45">
      <c r="B458" s="72">
        <v>44824</v>
      </c>
      <c r="C458" s="73">
        <v>154.31217956542969</v>
      </c>
      <c r="D458" s="73">
        <v>3855.929931640625</v>
      </c>
      <c r="E458" s="73">
        <v>1.5665528876558588</v>
      </c>
      <c r="F458" s="73">
        <v>-1.1272103097361819</v>
      </c>
    </row>
    <row r="459" spans="2:6" x14ac:dyDescent="0.45">
      <c r="B459" s="72">
        <v>44825</v>
      </c>
      <c r="C459" s="73">
        <v>151.1846008300781</v>
      </c>
      <c r="D459" s="73">
        <v>3789.929931640625</v>
      </c>
      <c r="E459" s="73">
        <v>-2.0267867022288222</v>
      </c>
      <c r="F459" s="73">
        <v>-1.7116493600784488</v>
      </c>
    </row>
    <row r="460" spans="2:6" x14ac:dyDescent="0.45">
      <c r="B460" s="72">
        <v>44826</v>
      </c>
      <c r="C460" s="73">
        <v>150.2207946777344</v>
      </c>
      <c r="D460" s="73">
        <v>3757.989990234375</v>
      </c>
      <c r="E460" s="73">
        <v>-0.6375028587911169</v>
      </c>
      <c r="F460" s="73">
        <v>-0.84275809796894308</v>
      </c>
    </row>
    <row r="461" spans="2:6" x14ac:dyDescent="0.45">
      <c r="B461" s="72">
        <v>44827</v>
      </c>
      <c r="C461" s="73">
        <v>147.94886779785159</v>
      </c>
      <c r="D461" s="73">
        <v>3693.22998046875</v>
      </c>
      <c r="E461" s="73">
        <v>-1.5123917329532999</v>
      </c>
      <c r="F461" s="73">
        <v>-1.7232619015461026</v>
      </c>
    </row>
    <row r="462" spans="2:6" x14ac:dyDescent="0.45">
      <c r="B462" s="72">
        <v>44830</v>
      </c>
      <c r="C462" s="73">
        <v>148.28327941894531</v>
      </c>
      <c r="D462" s="73">
        <v>3655.0400390625</v>
      </c>
      <c r="E462" s="73">
        <v>0.22603188930829798</v>
      </c>
      <c r="F462" s="73">
        <v>-1.0340526208282075</v>
      </c>
    </row>
    <row r="463" spans="2:6" x14ac:dyDescent="0.45">
      <c r="B463" s="72">
        <v>44831</v>
      </c>
      <c r="C463" s="73">
        <v>149.25694274902341</v>
      </c>
      <c r="D463" s="73">
        <v>3647.2900390625</v>
      </c>
      <c r="E463" s="73">
        <v>0.65662381752915611</v>
      </c>
      <c r="F463" s="73">
        <v>-0.21203598092424114</v>
      </c>
    </row>
    <row r="464" spans="2:6" x14ac:dyDescent="0.45">
      <c r="B464" s="72">
        <v>44832</v>
      </c>
      <c r="C464" s="73">
        <v>147.36860656738281</v>
      </c>
      <c r="D464" s="73">
        <v>3719.0400390625</v>
      </c>
      <c r="E464" s="73">
        <v>-1.2651580200298218</v>
      </c>
      <c r="F464" s="73">
        <v>1.9672139926234733</v>
      </c>
    </row>
    <row r="465" spans="2:6" x14ac:dyDescent="0.45">
      <c r="B465" s="72">
        <v>44833</v>
      </c>
      <c r="C465" s="73">
        <v>140.1300048828125</v>
      </c>
      <c r="D465" s="73">
        <v>3640.469970703125</v>
      </c>
      <c r="E465" s="73">
        <v>-4.9119021026099885</v>
      </c>
      <c r="F465" s="73">
        <v>-2.1126437880238824</v>
      </c>
    </row>
    <row r="466" spans="2:6" x14ac:dyDescent="0.45">
      <c r="B466" s="72">
        <v>44834</v>
      </c>
      <c r="C466" s="73">
        <v>135.92059326171881</v>
      </c>
      <c r="D466" s="73">
        <v>3585.6201171875</v>
      </c>
      <c r="E466" s="73">
        <v>-3.0039331152624471</v>
      </c>
      <c r="F466" s="73">
        <v>-1.5066695771983274</v>
      </c>
    </row>
    <row r="467" spans="2:6" x14ac:dyDescent="0.45">
      <c r="B467" s="72">
        <v>44837</v>
      </c>
      <c r="C467" s="73">
        <v>140.1004943847656</v>
      </c>
      <c r="D467" s="73">
        <v>3678.429931640625</v>
      </c>
      <c r="E467" s="73">
        <v>3.0752522651209091</v>
      </c>
      <c r="F467" s="73">
        <v>2.5883894952576147</v>
      </c>
    </row>
    <row r="468" spans="2:6" x14ac:dyDescent="0.45">
      <c r="B468" s="72">
        <v>44838</v>
      </c>
      <c r="C468" s="73">
        <v>143.69029235839841</v>
      </c>
      <c r="D468" s="73">
        <v>3790.929931640625</v>
      </c>
      <c r="E468" s="73">
        <v>2.5623021456112394</v>
      </c>
      <c r="F468" s="73">
        <v>3.0583700679551518</v>
      </c>
    </row>
    <row r="469" spans="2:6" x14ac:dyDescent="0.45">
      <c r="B469" s="72">
        <v>44839</v>
      </c>
      <c r="C469" s="73">
        <v>143.9853515625</v>
      </c>
      <c r="D469" s="73">
        <v>3783.280029296875</v>
      </c>
      <c r="E469" s="73">
        <v>0.20534386788333414</v>
      </c>
      <c r="F469" s="73">
        <v>-0.20179487570848309</v>
      </c>
    </row>
    <row r="470" spans="2:6" x14ac:dyDescent="0.45">
      <c r="B470" s="72">
        <v>44840</v>
      </c>
      <c r="C470" s="73">
        <v>143.03135681152341</v>
      </c>
      <c r="D470" s="73">
        <v>3744.52001953125</v>
      </c>
      <c r="E470" s="73">
        <v>-0.66256375431530401</v>
      </c>
      <c r="F470" s="73">
        <v>-1.0245080846639998</v>
      </c>
    </row>
    <row r="471" spans="2:6" x14ac:dyDescent="0.45">
      <c r="B471" s="72">
        <v>44841</v>
      </c>
      <c r="C471" s="73">
        <v>137.77943420410159</v>
      </c>
      <c r="D471" s="73">
        <v>3639.659912109375</v>
      </c>
      <c r="E471" s="73">
        <v>-3.6718679906969087</v>
      </c>
      <c r="F471" s="73">
        <v>-2.8003617786773516</v>
      </c>
    </row>
    <row r="472" spans="2:6" x14ac:dyDescent="0.45">
      <c r="B472" s="72">
        <v>44844</v>
      </c>
      <c r="C472" s="73">
        <v>138.10400390625</v>
      </c>
      <c r="D472" s="73">
        <v>3612.389892578125</v>
      </c>
      <c r="E472" s="73">
        <v>0.23557195166559186</v>
      </c>
      <c r="F472" s="73">
        <v>-0.74924636339018802</v>
      </c>
    </row>
    <row r="473" spans="2:6" x14ac:dyDescent="0.45">
      <c r="B473" s="72">
        <v>44845</v>
      </c>
      <c r="C473" s="73">
        <v>136.6877136230469</v>
      </c>
      <c r="D473" s="73">
        <v>3588.840087890625</v>
      </c>
      <c r="E473" s="73">
        <v>-1.0255244186580748</v>
      </c>
      <c r="F473" s="73">
        <v>-0.65191757777544046</v>
      </c>
    </row>
    <row r="474" spans="2:6" x14ac:dyDescent="0.45">
      <c r="B474" s="72">
        <v>44846</v>
      </c>
      <c r="C474" s="73">
        <v>136.0582580566406</v>
      </c>
      <c r="D474" s="73">
        <v>3577.030029296875</v>
      </c>
      <c r="E474" s="73">
        <v>-0.46050632476171138</v>
      </c>
      <c r="F474" s="73">
        <v>-0.32907731480149582</v>
      </c>
    </row>
    <row r="475" spans="2:6" x14ac:dyDescent="0.45">
      <c r="B475" s="72">
        <v>44847</v>
      </c>
      <c r="C475" s="73">
        <v>140.63160705566409</v>
      </c>
      <c r="D475" s="73">
        <v>3669.909912109375</v>
      </c>
      <c r="E475" s="73">
        <v>3.3613167361878249</v>
      </c>
      <c r="F475" s="73">
        <v>2.5965642460864968</v>
      </c>
    </row>
    <row r="476" spans="2:6" x14ac:dyDescent="0.45">
      <c r="B476" s="72">
        <v>44848</v>
      </c>
      <c r="C476" s="73">
        <v>136.09764099121091</v>
      </c>
      <c r="D476" s="73">
        <v>3583.070068359375</v>
      </c>
      <c r="E476" s="73">
        <v>-3.2240021709049826</v>
      </c>
      <c r="F476" s="73">
        <v>-2.3662663615654389</v>
      </c>
    </row>
    <row r="477" spans="2:6" x14ac:dyDescent="0.45">
      <c r="B477" s="72">
        <v>44851</v>
      </c>
      <c r="C477" s="73">
        <v>140.0611572265625</v>
      </c>
      <c r="D477" s="73">
        <v>3677.949951171875</v>
      </c>
      <c r="E477" s="73">
        <v>2.9122593209440994</v>
      </c>
      <c r="F477" s="73">
        <v>2.6480052302171098</v>
      </c>
    </row>
    <row r="478" spans="2:6" x14ac:dyDescent="0.45">
      <c r="B478" s="72">
        <v>44852</v>
      </c>
      <c r="C478" s="73">
        <v>141.37907409667969</v>
      </c>
      <c r="D478" s="73">
        <v>3719.97998046875</v>
      </c>
      <c r="E478" s="73">
        <v>0.94095814729371341</v>
      </c>
      <c r="F478" s="73">
        <v>1.1427569666488724</v>
      </c>
    </row>
    <row r="479" spans="2:6" x14ac:dyDescent="0.45">
      <c r="B479" s="72">
        <v>44853</v>
      </c>
      <c r="C479" s="73">
        <v>141.48724365234381</v>
      </c>
      <c r="D479" s="73">
        <v>3695.159912109375</v>
      </c>
      <c r="E479" s="73">
        <v>7.6510301369037137E-2</v>
      </c>
      <c r="F479" s="73">
        <v>-0.66720972934503076</v>
      </c>
    </row>
    <row r="480" spans="2:6" x14ac:dyDescent="0.45">
      <c r="B480" s="72">
        <v>44854</v>
      </c>
      <c r="C480" s="73">
        <v>141.02497863769531</v>
      </c>
      <c r="D480" s="73">
        <v>3665.780029296875</v>
      </c>
      <c r="E480" s="73">
        <v>-0.32671851024559384</v>
      </c>
      <c r="F480" s="73">
        <v>-0.79509097065648682</v>
      </c>
    </row>
    <row r="481" spans="2:6" x14ac:dyDescent="0.45">
      <c r="B481" s="72">
        <v>44855</v>
      </c>
      <c r="C481" s="73">
        <v>144.84100341796881</v>
      </c>
      <c r="D481" s="73">
        <v>3752.75</v>
      </c>
      <c r="E481" s="73">
        <v>2.7059211900873015</v>
      </c>
      <c r="F481" s="73">
        <v>2.372481982226482</v>
      </c>
    </row>
    <row r="482" spans="2:6" x14ac:dyDescent="0.45">
      <c r="B482" s="72">
        <v>44858</v>
      </c>
      <c r="C482" s="73">
        <v>146.98504638671881</v>
      </c>
      <c r="D482" s="73">
        <v>3797.340087890625</v>
      </c>
      <c r="E482" s="73">
        <v>1.4802734848245347</v>
      </c>
      <c r="F482" s="73">
        <v>1.1881976654619875</v>
      </c>
    </row>
    <row r="483" spans="2:6" x14ac:dyDescent="0.45">
      <c r="B483" s="72">
        <v>44859</v>
      </c>
      <c r="C483" s="73">
        <v>149.82737731933591</v>
      </c>
      <c r="D483" s="73">
        <v>3859.110107421875</v>
      </c>
      <c r="E483" s="73">
        <v>1.9337551693108246</v>
      </c>
      <c r="F483" s="73">
        <v>1.6266654579669915</v>
      </c>
    </row>
    <row r="484" spans="2:6" x14ac:dyDescent="0.45">
      <c r="B484" s="72">
        <v>44860</v>
      </c>
      <c r="C484" s="73">
        <v>146.88667297363281</v>
      </c>
      <c r="D484" s="73">
        <v>3830.60009765625</v>
      </c>
      <c r="E484" s="73">
        <v>-1.9627283066134149</v>
      </c>
      <c r="F484" s="73">
        <v>-0.73877160723645474</v>
      </c>
    </row>
    <row r="485" spans="2:6" x14ac:dyDescent="0.45">
      <c r="B485" s="72">
        <v>44861</v>
      </c>
      <c r="C485" s="73">
        <v>142.4117431640625</v>
      </c>
      <c r="D485" s="73">
        <v>3807.300048828125</v>
      </c>
      <c r="E485" s="73">
        <v>-3.0465185976222608</v>
      </c>
      <c r="F485" s="73">
        <v>-0.60826106182112483</v>
      </c>
    </row>
    <row r="486" spans="2:6" x14ac:dyDescent="0.45">
      <c r="B486" s="72">
        <v>44862</v>
      </c>
      <c r="C486" s="73">
        <v>153.17131042480469</v>
      </c>
      <c r="D486" s="73">
        <v>3901.06005859375</v>
      </c>
      <c r="E486" s="73">
        <v>7.555252833572057</v>
      </c>
      <c r="F486" s="73">
        <v>2.4626377895927698</v>
      </c>
    </row>
    <row r="487" spans="2:6" x14ac:dyDescent="0.45">
      <c r="B487" s="72">
        <v>44865</v>
      </c>
      <c r="C487" s="73">
        <v>150.81086730957031</v>
      </c>
      <c r="D487" s="73">
        <v>3871.97998046875</v>
      </c>
      <c r="E487" s="73">
        <v>-1.5410478037224618</v>
      </c>
      <c r="F487" s="73">
        <v>-0.74544041076575196</v>
      </c>
    </row>
    <row r="488" spans="2:6" x14ac:dyDescent="0.45">
      <c r="B488" s="72">
        <v>44866</v>
      </c>
      <c r="C488" s="73">
        <v>148.1652526855469</v>
      </c>
      <c r="D488" s="73">
        <v>3856.10009765625</v>
      </c>
      <c r="E488" s="73">
        <v>-1.754259935786151</v>
      </c>
      <c r="F488" s="73">
        <v>-0.41012306087846451</v>
      </c>
    </row>
    <row r="489" spans="2:6" x14ac:dyDescent="0.45">
      <c r="B489" s="72">
        <v>44867</v>
      </c>
      <c r="C489" s="73">
        <v>142.6379089355469</v>
      </c>
      <c r="D489" s="73">
        <v>3759.68994140625</v>
      </c>
      <c r="E489" s="73">
        <v>-3.7305263209929218</v>
      </c>
      <c r="F489" s="73">
        <v>-2.500198485734284</v>
      </c>
    </row>
    <row r="490" spans="2:6" x14ac:dyDescent="0.45">
      <c r="B490" s="72">
        <v>44868</v>
      </c>
      <c r="C490" s="73">
        <v>136.5893859863281</v>
      </c>
      <c r="D490" s="73">
        <v>3719.889892578125</v>
      </c>
      <c r="E490" s="73">
        <v>-4.2404736541335026</v>
      </c>
      <c r="F490" s="73">
        <v>-1.0585992315429671</v>
      </c>
    </row>
    <row r="491" spans="2:6" x14ac:dyDescent="0.45">
      <c r="B491" s="72">
        <v>44869</v>
      </c>
      <c r="C491" s="73">
        <v>136.3233947753906</v>
      </c>
      <c r="D491" s="73">
        <v>3770.550048828125</v>
      </c>
      <c r="E491" s="73">
        <v>-0.19473783340978601</v>
      </c>
      <c r="F491" s="73">
        <v>1.3618724670070526</v>
      </c>
    </row>
    <row r="492" spans="2:6" x14ac:dyDescent="0.45">
      <c r="B492" s="72">
        <v>44872</v>
      </c>
      <c r="C492" s="73">
        <v>136.8553466796875</v>
      </c>
      <c r="D492" s="73">
        <v>3806.800048828125</v>
      </c>
      <c r="E492" s="73">
        <v>0.39021321701484535</v>
      </c>
      <c r="F492" s="73">
        <v>0.96139819205598442</v>
      </c>
    </row>
    <row r="493" spans="2:6" x14ac:dyDescent="0.45">
      <c r="B493" s="72">
        <v>44873</v>
      </c>
      <c r="C493" s="73">
        <v>137.42674255371091</v>
      </c>
      <c r="D493" s="73">
        <v>3828.110107421875</v>
      </c>
      <c r="E493" s="73">
        <v>0.41751812251864528</v>
      </c>
      <c r="F493" s="73">
        <v>0.55978928024627006</v>
      </c>
    </row>
    <row r="494" spans="2:6" x14ac:dyDescent="0.45">
      <c r="B494" s="72">
        <v>44874</v>
      </c>
      <c r="C494" s="73">
        <v>132.86555480957031</v>
      </c>
      <c r="D494" s="73">
        <v>3748.570068359375</v>
      </c>
      <c r="E494" s="73">
        <v>-3.3189957495775912</v>
      </c>
      <c r="F494" s="73">
        <v>-2.077788695478977</v>
      </c>
    </row>
    <row r="495" spans="2:6" x14ac:dyDescent="0.45">
      <c r="B495" s="72">
        <v>44875</v>
      </c>
      <c r="C495" s="73">
        <v>144.68721008300781</v>
      </c>
      <c r="D495" s="73">
        <v>3956.3701171875</v>
      </c>
      <c r="E495" s="73">
        <v>8.8974567489526599</v>
      </c>
      <c r="F495" s="73">
        <v>5.5434484360344927</v>
      </c>
    </row>
    <row r="496" spans="2:6" x14ac:dyDescent="0.45">
      <c r="B496" s="72">
        <v>44876</v>
      </c>
      <c r="C496" s="73">
        <v>147.47514343261719</v>
      </c>
      <c r="D496" s="73">
        <v>3992.929931640625</v>
      </c>
      <c r="E496" s="73">
        <v>1.9268692429758705</v>
      </c>
      <c r="F496" s="73">
        <v>0.92407467881479022</v>
      </c>
    </row>
    <row r="497" spans="2:6" x14ac:dyDescent="0.45">
      <c r="B497" s="72">
        <v>44879</v>
      </c>
      <c r="C497" s="73">
        <v>146.0762634277344</v>
      </c>
      <c r="D497" s="73">
        <v>3957.25</v>
      </c>
      <c r="E497" s="73">
        <v>-0.9485530729603564</v>
      </c>
      <c r="F497" s="73">
        <v>-0.89357770488009969</v>
      </c>
    </row>
    <row r="498" spans="2:6" x14ac:dyDescent="0.45">
      <c r="B498" s="72">
        <v>44880</v>
      </c>
      <c r="C498" s="73">
        <v>147.81010437011719</v>
      </c>
      <c r="D498" s="73">
        <v>3991.72998046875</v>
      </c>
      <c r="E498" s="73">
        <v>1.186942287335091</v>
      </c>
      <c r="F498" s="73">
        <v>0.87131165503191443</v>
      </c>
    </row>
    <row r="499" spans="2:6" x14ac:dyDescent="0.45">
      <c r="B499" s="72">
        <v>44881</v>
      </c>
      <c r="C499" s="73">
        <v>146.57867431640619</v>
      </c>
      <c r="D499" s="73">
        <v>3958.7900390625</v>
      </c>
      <c r="E499" s="73">
        <v>-0.83311628725156739</v>
      </c>
      <c r="F499" s="73">
        <v>-0.8252046497990273</v>
      </c>
    </row>
    <row r="500" spans="2:6" x14ac:dyDescent="0.45">
      <c r="B500" s="72">
        <v>44882</v>
      </c>
      <c r="C500" s="73">
        <v>148.47999572753909</v>
      </c>
      <c r="D500" s="73">
        <v>3946.56005859375</v>
      </c>
      <c r="E500" s="73">
        <v>1.2971337201677091</v>
      </c>
      <c r="F500" s="73">
        <v>-0.30893228355314273</v>
      </c>
    </row>
    <row r="501" spans="2:6" x14ac:dyDescent="0.45">
      <c r="B501" s="72">
        <v>44883</v>
      </c>
      <c r="C501" s="73">
        <v>149.04148864746091</v>
      </c>
      <c r="D501" s="73">
        <v>3965.340087890625</v>
      </c>
      <c r="E501" s="73">
        <v>0.3781606519925873</v>
      </c>
      <c r="F501" s="73">
        <v>0.47585819088147296</v>
      </c>
    </row>
    <row r="502" spans="2:6" x14ac:dyDescent="0.45">
      <c r="B502" s="72">
        <v>44886</v>
      </c>
      <c r="C502" s="73">
        <v>145.8102722167969</v>
      </c>
      <c r="D502" s="73">
        <v>3949.93994140625</v>
      </c>
      <c r="E502" s="73">
        <v>-2.1679979581437525</v>
      </c>
      <c r="F502" s="73">
        <v>-0.38836886983297791</v>
      </c>
    </row>
    <row r="503" spans="2:6" x14ac:dyDescent="0.45">
      <c r="B503" s="72">
        <v>44887</v>
      </c>
      <c r="C503" s="73">
        <v>147.947998046875</v>
      </c>
      <c r="D503" s="73">
        <v>4003.580078125</v>
      </c>
      <c r="E503" s="73">
        <v>1.4661009801145042</v>
      </c>
      <c r="F503" s="73">
        <v>1.3579987927526016</v>
      </c>
    </row>
    <row r="504" spans="2:6" x14ac:dyDescent="0.45">
      <c r="B504" s="72">
        <v>44888</v>
      </c>
      <c r="C504" s="73">
        <v>148.8247985839844</v>
      </c>
      <c r="D504" s="73">
        <v>4027.260009765625</v>
      </c>
      <c r="E504" s="73">
        <v>0.59264102839133859</v>
      </c>
      <c r="F504" s="73">
        <v>0.59146891478476515</v>
      </c>
    </row>
    <row r="505" spans="2:6" x14ac:dyDescent="0.45">
      <c r="B505" s="72">
        <v>44890</v>
      </c>
      <c r="C505" s="73">
        <v>145.9087829589844</v>
      </c>
      <c r="D505" s="73">
        <v>4026.1201171875</v>
      </c>
      <c r="E505" s="73">
        <v>-1.9593613784428809</v>
      </c>
      <c r="F505" s="73">
        <v>-2.8304419763336419E-2</v>
      </c>
    </row>
    <row r="506" spans="2:6" x14ac:dyDescent="0.45">
      <c r="B506" s="72">
        <v>44893</v>
      </c>
      <c r="C506" s="73">
        <v>142.07659912109381</v>
      </c>
      <c r="D506" s="73">
        <v>3963.93994140625</v>
      </c>
      <c r="E506" s="73">
        <v>-2.6264243729370529</v>
      </c>
      <c r="F506" s="73">
        <v>-1.5444192913123267</v>
      </c>
    </row>
    <row r="507" spans="2:6" x14ac:dyDescent="0.45">
      <c r="B507" s="72">
        <v>44894</v>
      </c>
      <c r="C507" s="73">
        <v>139.0719299316406</v>
      </c>
      <c r="D507" s="73">
        <v>3957.6298828125</v>
      </c>
      <c r="E507" s="73">
        <v>-2.1148234178186454</v>
      </c>
      <c r="F507" s="73">
        <v>-0.15918653377758885</v>
      </c>
    </row>
    <row r="508" spans="2:6" x14ac:dyDescent="0.45">
      <c r="B508" s="72">
        <v>44895</v>
      </c>
      <c r="C508" s="73">
        <v>145.82997131347659</v>
      </c>
      <c r="D508" s="73">
        <v>4080.110107421875</v>
      </c>
      <c r="E508" s="73">
        <v>4.8593856324262052</v>
      </c>
      <c r="F508" s="73">
        <v>3.0947872397389053</v>
      </c>
    </row>
    <row r="509" spans="2:6" x14ac:dyDescent="0.45">
      <c r="B509" s="72">
        <v>44896</v>
      </c>
      <c r="C509" s="73">
        <v>146.10581970214841</v>
      </c>
      <c r="D509" s="73">
        <v>4076.570068359375</v>
      </c>
      <c r="E509" s="73">
        <v>0.1891575416132163</v>
      </c>
      <c r="F509" s="73">
        <v>-8.6763321804983473E-2</v>
      </c>
    </row>
    <row r="510" spans="2:6" x14ac:dyDescent="0.45">
      <c r="B510" s="72">
        <v>44897</v>
      </c>
      <c r="C510" s="73">
        <v>145.61323547363281</v>
      </c>
      <c r="D510" s="73">
        <v>4071.699951171875</v>
      </c>
      <c r="E510" s="73">
        <v>-0.33714209982859122</v>
      </c>
      <c r="F510" s="73">
        <v>-0.1194660488065602</v>
      </c>
    </row>
    <row r="511" spans="2:6" x14ac:dyDescent="0.45">
      <c r="B511" s="72">
        <v>44900</v>
      </c>
      <c r="C511" s="73">
        <v>144.4507751464844</v>
      </c>
      <c r="D511" s="73">
        <v>3998.840087890625</v>
      </c>
      <c r="E511" s="73">
        <v>-0.79832051212055388</v>
      </c>
      <c r="F511" s="73">
        <v>-1.7894212283564803</v>
      </c>
    </row>
    <row r="512" spans="2:6" x14ac:dyDescent="0.45">
      <c r="B512" s="72">
        <v>44901</v>
      </c>
      <c r="C512" s="73">
        <v>140.78605651855469</v>
      </c>
      <c r="D512" s="73">
        <v>3941.260009765625</v>
      </c>
      <c r="E512" s="73">
        <v>-2.5370017047076421</v>
      </c>
      <c r="F512" s="73">
        <v>-1.4399194981406072</v>
      </c>
    </row>
    <row r="513" spans="2:6" x14ac:dyDescent="0.45">
      <c r="B513" s="72">
        <v>44902</v>
      </c>
      <c r="C513" s="73">
        <v>138.84535217285159</v>
      </c>
      <c r="D513" s="73">
        <v>3933.919921875</v>
      </c>
      <c r="E513" s="73">
        <v>-1.3784776658243292</v>
      </c>
      <c r="F513" s="73">
        <v>-0.18623708845491027</v>
      </c>
    </row>
    <row r="514" spans="2:6" x14ac:dyDescent="0.45">
      <c r="B514" s="72">
        <v>44903</v>
      </c>
      <c r="C514" s="73">
        <v>140.52992248535159</v>
      </c>
      <c r="D514" s="73">
        <v>3963.510009765625</v>
      </c>
      <c r="E514" s="73">
        <v>1.2132709421939003</v>
      </c>
      <c r="F514" s="73">
        <v>0.75217819575039702</v>
      </c>
    </row>
    <row r="515" spans="2:6" x14ac:dyDescent="0.45">
      <c r="B515" s="72">
        <v>44904</v>
      </c>
      <c r="C515" s="73">
        <v>140.0472412109375</v>
      </c>
      <c r="D515" s="73">
        <v>3934.3798828125</v>
      </c>
      <c r="E515" s="73">
        <v>-0.34347224126904941</v>
      </c>
      <c r="F515" s="73">
        <v>-0.7349578247904498</v>
      </c>
    </row>
    <row r="516" spans="2:6" x14ac:dyDescent="0.45">
      <c r="B516" s="72">
        <v>44907</v>
      </c>
      <c r="C516" s="73">
        <v>142.34259033203119</v>
      </c>
      <c r="D516" s="73">
        <v>3990.56005859375</v>
      </c>
      <c r="E516" s="73">
        <v>1.6389820329530513</v>
      </c>
      <c r="F516" s="73">
        <v>1.4279296218109305</v>
      </c>
    </row>
    <row r="517" spans="2:6" x14ac:dyDescent="0.45">
      <c r="B517" s="72">
        <v>44908</v>
      </c>
      <c r="C517" s="73">
        <v>143.3080139160156</v>
      </c>
      <c r="D517" s="73">
        <v>4019.64990234375</v>
      </c>
      <c r="E517" s="73">
        <v>0.67823943749543147</v>
      </c>
      <c r="F517" s="73">
        <v>0.72896644387934195</v>
      </c>
    </row>
    <row r="518" spans="2:6" x14ac:dyDescent="0.45">
      <c r="B518" s="72">
        <v>44909</v>
      </c>
      <c r="C518" s="73">
        <v>141.08160400390619</v>
      </c>
      <c r="D518" s="73">
        <v>3995.320068359375</v>
      </c>
      <c r="E518" s="73">
        <v>-1.553583677053938</v>
      </c>
      <c r="F518" s="73">
        <v>-0.60527246341003371</v>
      </c>
    </row>
    <row r="519" spans="2:6" x14ac:dyDescent="0.45">
      <c r="B519" s="72">
        <v>44910</v>
      </c>
      <c r="C519" s="73">
        <v>134.47132873535159</v>
      </c>
      <c r="D519" s="73">
        <v>3895.75</v>
      </c>
      <c r="E519" s="73">
        <v>-4.6854267891450867</v>
      </c>
      <c r="F519" s="73">
        <v>-2.4921675023714007</v>
      </c>
    </row>
    <row r="520" spans="2:6" x14ac:dyDescent="0.45">
      <c r="B520" s="72">
        <v>44911</v>
      </c>
      <c r="C520" s="73">
        <v>132.51091003417969</v>
      </c>
      <c r="D520" s="73">
        <v>3852.360107421875</v>
      </c>
      <c r="E520" s="73">
        <v>-1.4578711459229621</v>
      </c>
      <c r="F520" s="73">
        <v>-1.1137750774080746</v>
      </c>
    </row>
    <row r="521" spans="2:6" x14ac:dyDescent="0.45">
      <c r="B521" s="72">
        <v>44914</v>
      </c>
      <c r="C521" s="73">
        <v>130.4027099609375</v>
      </c>
      <c r="D521" s="73">
        <v>3817.659912109375</v>
      </c>
      <c r="E521" s="73">
        <v>-1.5909633951637692</v>
      </c>
      <c r="F521" s="73">
        <v>-0.90075160018523448</v>
      </c>
    </row>
    <row r="522" spans="2:6" x14ac:dyDescent="0.45">
      <c r="B522" s="72">
        <v>44915</v>
      </c>
      <c r="C522" s="73">
        <v>130.33375549316409</v>
      </c>
      <c r="D522" s="73">
        <v>3821.6201171875</v>
      </c>
      <c r="E522" s="73">
        <v>-5.2878094170027978E-2</v>
      </c>
      <c r="F522" s="73">
        <v>0.10373383615349674</v>
      </c>
    </row>
    <row r="523" spans="2:6" x14ac:dyDescent="0.45">
      <c r="B523" s="72">
        <v>44916</v>
      </c>
      <c r="C523" s="73">
        <v>133.4369201660156</v>
      </c>
      <c r="D523" s="73">
        <v>3878.43994140625</v>
      </c>
      <c r="E523" s="73">
        <v>2.3809370497378746</v>
      </c>
      <c r="F523" s="73">
        <v>1.4867993802734736</v>
      </c>
    </row>
    <row r="524" spans="2:6" x14ac:dyDescent="0.45">
      <c r="B524" s="72">
        <v>44917</v>
      </c>
      <c r="C524" s="73">
        <v>130.2648010253906</v>
      </c>
      <c r="D524" s="73">
        <v>3822.389892578125</v>
      </c>
      <c r="E524" s="73">
        <v>-2.3772424728316643</v>
      </c>
      <c r="F524" s="73">
        <v>-1.4451699568616361</v>
      </c>
    </row>
    <row r="525" spans="2:6" x14ac:dyDescent="0.45">
      <c r="B525" s="72">
        <v>44918</v>
      </c>
      <c r="C525" s="73">
        <v>129.90028381347659</v>
      </c>
      <c r="D525" s="73">
        <v>3844.820068359375</v>
      </c>
      <c r="E525" s="73">
        <v>-0.27982786527495085</v>
      </c>
      <c r="F525" s="73">
        <v>0.58681025252820262</v>
      </c>
    </row>
    <row r="526" spans="2:6" x14ac:dyDescent="0.45">
      <c r="B526" s="72">
        <v>44922</v>
      </c>
      <c r="C526" s="73">
        <v>128.09748840332031</v>
      </c>
      <c r="D526" s="73">
        <v>3829.25</v>
      </c>
      <c r="E526" s="73">
        <v>-1.38783023195308</v>
      </c>
      <c r="F526" s="73">
        <v>-0.40496221104097119</v>
      </c>
    </row>
    <row r="527" spans="2:6" x14ac:dyDescent="0.45">
      <c r="B527" s="72">
        <v>44923</v>
      </c>
      <c r="C527" s="73">
        <v>124.1667861938477</v>
      </c>
      <c r="D527" s="73">
        <v>3783.219970703125</v>
      </c>
      <c r="E527" s="73">
        <v>-3.0685240268697789</v>
      </c>
      <c r="F527" s="73">
        <v>-1.2020638322615351</v>
      </c>
    </row>
    <row r="528" spans="2:6" x14ac:dyDescent="0.45">
      <c r="B528" s="72">
        <v>44924</v>
      </c>
      <c r="C528" s="73">
        <v>127.68373107910161</v>
      </c>
      <c r="D528" s="73">
        <v>3849.280029296875</v>
      </c>
      <c r="E528" s="73">
        <v>2.8324361071593529</v>
      </c>
      <c r="F528" s="73">
        <v>1.7461331644819111</v>
      </c>
    </row>
    <row r="529" spans="2:6" x14ac:dyDescent="0.45">
      <c r="B529" s="72">
        <v>44925</v>
      </c>
      <c r="C529" s="73">
        <v>127.99896240234381</v>
      </c>
      <c r="D529" s="73">
        <v>3839.5</v>
      </c>
      <c r="E529" s="73">
        <v>0.24688448604850421</v>
      </c>
      <c r="F529" s="73">
        <v>-0.25407424823445934</v>
      </c>
    </row>
    <row r="530" spans="2:6" x14ac:dyDescent="0.45">
      <c r="B530" s="72">
        <v>44929</v>
      </c>
      <c r="C530" s="73">
        <v>123.21120452880859</v>
      </c>
      <c r="D530" s="73">
        <v>3824.139892578125</v>
      </c>
      <c r="E530" s="73">
        <v>-3.7404661597847055</v>
      </c>
      <c r="F530" s="73">
        <v>-0.4000548879248611</v>
      </c>
    </row>
    <row r="531" spans="2:6" x14ac:dyDescent="0.45">
      <c r="B531" s="72">
        <v>44930</v>
      </c>
      <c r="C531" s="73">
        <v>124.48203277587891</v>
      </c>
      <c r="D531" s="73">
        <v>3852.969970703125</v>
      </c>
      <c r="E531" s="73">
        <v>1.0314226307017282</v>
      </c>
      <c r="F531" s="73">
        <v>0.75389705750443792</v>
      </c>
    </row>
    <row r="532" spans="2:6" x14ac:dyDescent="0.45">
      <c r="B532" s="72">
        <v>44931</v>
      </c>
      <c r="C532" s="73">
        <v>123.1619491577148</v>
      </c>
      <c r="D532" s="73">
        <v>3808.10009765625</v>
      </c>
      <c r="E532" s="73">
        <v>-1.0604611675492315</v>
      </c>
      <c r="F532" s="73">
        <v>-1.1645528874622113</v>
      </c>
    </row>
    <row r="533" spans="2:6" x14ac:dyDescent="0.45">
      <c r="B533" s="72">
        <v>44932</v>
      </c>
      <c r="C533" s="73">
        <v>127.6935653686523</v>
      </c>
      <c r="D533" s="73">
        <v>3895.080078125</v>
      </c>
      <c r="E533" s="73">
        <v>3.6793963086233283</v>
      </c>
      <c r="F533" s="73">
        <v>2.284078102943865</v>
      </c>
    </row>
    <row r="534" spans="2:6" x14ac:dyDescent="0.45">
      <c r="B534" s="72">
        <v>44935</v>
      </c>
      <c r="C534" s="73">
        <v>128.2156982421875</v>
      </c>
      <c r="D534" s="73">
        <v>3892.090087890625</v>
      </c>
      <c r="E534" s="73">
        <v>0.40889521099030102</v>
      </c>
      <c r="F534" s="73">
        <v>-7.6763254526313052E-2</v>
      </c>
    </row>
    <row r="535" spans="2:6" x14ac:dyDescent="0.45">
      <c r="B535" s="72">
        <v>44936</v>
      </c>
      <c r="C535" s="73">
        <v>128.7870788574219</v>
      </c>
      <c r="D535" s="73">
        <v>3919.25</v>
      </c>
      <c r="E535" s="73">
        <v>0.445640138507164</v>
      </c>
      <c r="F535" s="73">
        <v>0.69782331590619862</v>
      </c>
    </row>
    <row r="536" spans="2:6" x14ac:dyDescent="0.45">
      <c r="B536" s="72">
        <v>44937</v>
      </c>
      <c r="C536" s="73">
        <v>131.50608825683591</v>
      </c>
      <c r="D536" s="73">
        <v>3969.610107421875</v>
      </c>
      <c r="E536" s="73">
        <v>2.1112439411908435</v>
      </c>
      <c r="F536" s="73">
        <v>1.2849424614881588</v>
      </c>
    </row>
    <row r="537" spans="2:6" x14ac:dyDescent="0.45">
      <c r="B537" s="72">
        <v>44938</v>
      </c>
      <c r="C537" s="73">
        <v>131.42726135253909</v>
      </c>
      <c r="D537" s="73">
        <v>3983.169921875</v>
      </c>
      <c r="E537" s="73">
        <v>-5.9941638704108513E-2</v>
      </c>
      <c r="F537" s="73">
        <v>0.34159058663651987</v>
      </c>
    </row>
    <row r="538" spans="2:6" x14ac:dyDescent="0.45">
      <c r="B538" s="72">
        <v>44939</v>
      </c>
      <c r="C538" s="73">
        <v>132.75718688964841</v>
      </c>
      <c r="D538" s="73">
        <v>3999.090087890625</v>
      </c>
      <c r="E538" s="73">
        <v>1.0119099518797192</v>
      </c>
      <c r="F538" s="73">
        <v>0.39968583635343613</v>
      </c>
    </row>
    <row r="539" spans="2:6" x14ac:dyDescent="0.45">
      <c r="B539" s="72">
        <v>44943</v>
      </c>
      <c r="C539" s="73">
        <v>133.9196472167969</v>
      </c>
      <c r="D539" s="73">
        <v>3990.969970703125</v>
      </c>
      <c r="E539" s="73">
        <v>0.87562892404067227</v>
      </c>
      <c r="F539" s="73">
        <v>-0.20304911890052235</v>
      </c>
    </row>
    <row r="540" spans="2:6" x14ac:dyDescent="0.45">
      <c r="B540" s="72">
        <v>44944</v>
      </c>
      <c r="C540" s="73">
        <v>133.2005310058594</v>
      </c>
      <c r="D540" s="73">
        <v>3928.860107421875</v>
      </c>
      <c r="E540" s="73">
        <v>-0.53697588507931604</v>
      </c>
      <c r="F540" s="73">
        <v>-1.5562598500411085</v>
      </c>
    </row>
    <row r="541" spans="2:6" x14ac:dyDescent="0.45">
      <c r="B541" s="72">
        <v>44945</v>
      </c>
      <c r="C541" s="73">
        <v>133.25958251953119</v>
      </c>
      <c r="D541" s="73">
        <v>3898.85009765625</v>
      </c>
      <c r="E541" s="73">
        <v>4.4332791488033152E-2</v>
      </c>
      <c r="F541" s="73">
        <v>-0.76383502962943384</v>
      </c>
    </row>
    <row r="542" spans="2:6" x14ac:dyDescent="0.45">
      <c r="B542" s="72">
        <v>44946</v>
      </c>
      <c r="C542" s="73">
        <v>135.8209533691406</v>
      </c>
      <c r="D542" s="73">
        <v>3972.610107421875</v>
      </c>
      <c r="E542" s="73">
        <v>1.9220913056920308</v>
      </c>
      <c r="F542" s="73">
        <v>1.8918401045981525</v>
      </c>
    </row>
    <row r="543" spans="2:6" x14ac:dyDescent="0.45">
      <c r="B543" s="72">
        <v>44949</v>
      </c>
      <c r="C543" s="73">
        <v>139.01283264160159</v>
      </c>
      <c r="D543" s="73">
        <v>4019.81005859375</v>
      </c>
      <c r="E543" s="73">
        <v>2.350063957941706</v>
      </c>
      <c r="F543" s="73">
        <v>1.1881344983665221</v>
      </c>
    </row>
    <row r="544" spans="2:6" x14ac:dyDescent="0.45">
      <c r="B544" s="72">
        <v>44950</v>
      </c>
      <c r="C544" s="73">
        <v>140.41169738769531</v>
      </c>
      <c r="D544" s="73">
        <v>4016.949951171875</v>
      </c>
      <c r="E544" s="73">
        <v>1.0062846138098935</v>
      </c>
      <c r="F544" s="73">
        <v>-7.1150312581569342E-2</v>
      </c>
    </row>
    <row r="545" spans="2:6" x14ac:dyDescent="0.45">
      <c r="B545" s="72">
        <v>44951</v>
      </c>
      <c r="C545" s="73">
        <v>139.7516784667969</v>
      </c>
      <c r="D545" s="73">
        <v>4016.219970703125</v>
      </c>
      <c r="E545" s="73">
        <v>-0.4700597836062137</v>
      </c>
      <c r="F545" s="73">
        <v>-1.8172505946634221E-2</v>
      </c>
    </row>
    <row r="546" spans="2:6" x14ac:dyDescent="0.45">
      <c r="B546" s="72">
        <v>44952</v>
      </c>
      <c r="C546" s="73">
        <v>141.82049560546881</v>
      </c>
      <c r="D546" s="73">
        <v>4060.429931640625</v>
      </c>
      <c r="E546" s="73">
        <v>1.4803522657965251</v>
      </c>
      <c r="F546" s="73">
        <v>1.1007853469181317</v>
      </c>
    </row>
    <row r="547" spans="2:6" x14ac:dyDescent="0.45">
      <c r="B547" s="72">
        <v>44953</v>
      </c>
      <c r="C547" s="73">
        <v>143.7611999511719</v>
      </c>
      <c r="D547" s="73">
        <v>4070.56005859375</v>
      </c>
      <c r="E547" s="73">
        <v>1.3684230459199309</v>
      </c>
      <c r="F547" s="73">
        <v>0.24948409709490971</v>
      </c>
    </row>
    <row r="548" spans="2:6" x14ac:dyDescent="0.45">
      <c r="B548" s="72">
        <v>44956</v>
      </c>
      <c r="C548" s="73">
        <v>140.8747253417969</v>
      </c>
      <c r="D548" s="73">
        <v>4017.77001953125</v>
      </c>
      <c r="E548" s="73">
        <v>-2.0078259018117439</v>
      </c>
      <c r="F548" s="73">
        <v>-1.2968740984683369</v>
      </c>
    </row>
    <row r="549" spans="2:6" x14ac:dyDescent="0.45">
      <c r="B549" s="72">
        <v>44957</v>
      </c>
      <c r="C549" s="73">
        <v>142.14555358886719</v>
      </c>
      <c r="D549" s="73">
        <v>4076.60009765625</v>
      </c>
      <c r="E549" s="73">
        <v>0.90209811872707935</v>
      </c>
      <c r="F549" s="73">
        <v>1.4642470285510134</v>
      </c>
    </row>
    <row r="550" spans="2:6" x14ac:dyDescent="0.45">
      <c r="B550" s="72">
        <v>44958</v>
      </c>
      <c r="C550" s="73">
        <v>143.26863098144531</v>
      </c>
      <c r="D550" s="73">
        <v>4119.2099609375</v>
      </c>
      <c r="E550" s="73">
        <v>0.79008971031653275</v>
      </c>
      <c r="F550" s="73">
        <v>1.0452303944590291</v>
      </c>
    </row>
    <row r="551" spans="2:6" x14ac:dyDescent="0.45">
      <c r="B551" s="72">
        <v>44959</v>
      </c>
      <c r="C551" s="73">
        <v>148.5785217285156</v>
      </c>
      <c r="D551" s="73">
        <v>4179.759765625</v>
      </c>
      <c r="E551" s="73">
        <v>3.706247983732025</v>
      </c>
      <c r="F551" s="73">
        <v>1.4699373244309921</v>
      </c>
    </row>
    <row r="552" spans="2:6" x14ac:dyDescent="0.45">
      <c r="B552" s="72">
        <v>44960</v>
      </c>
      <c r="C552" s="73">
        <v>152.20381164550781</v>
      </c>
      <c r="D552" s="73">
        <v>4136.47998046875</v>
      </c>
      <c r="E552" s="73">
        <v>2.4399824919623336</v>
      </c>
      <c r="F552" s="73">
        <v>-1.0354610691310495</v>
      </c>
    </row>
    <row r="553" spans="2:6" x14ac:dyDescent="0.45">
      <c r="B553" s="72">
        <v>44963</v>
      </c>
      <c r="C553" s="73">
        <v>149.4750061035156</v>
      </c>
      <c r="D553" s="73">
        <v>4111.080078125</v>
      </c>
      <c r="E553" s="73">
        <v>-1.7928628149916359</v>
      </c>
      <c r="F553" s="73">
        <v>-0.6140463017754394</v>
      </c>
    </row>
    <row r="554" spans="2:6" x14ac:dyDescent="0.45">
      <c r="B554" s="72">
        <v>44964</v>
      </c>
      <c r="C554" s="73">
        <v>152.35160827636719</v>
      </c>
      <c r="D554" s="73">
        <v>4164</v>
      </c>
      <c r="E554" s="73">
        <v>1.92447034981853</v>
      </c>
      <c r="F554" s="73">
        <v>1.2872510598026521</v>
      </c>
    </row>
    <row r="555" spans="2:6" x14ac:dyDescent="0.45">
      <c r="B555" s="72">
        <v>44965</v>
      </c>
      <c r="C555" s="73">
        <v>149.66215515136719</v>
      </c>
      <c r="D555" s="73">
        <v>4117.85986328125</v>
      </c>
      <c r="E555" s="73">
        <v>-1.7652935570731332</v>
      </c>
      <c r="F555" s="73">
        <v>-1.1080724476164705</v>
      </c>
    </row>
    <row r="556" spans="2:6" x14ac:dyDescent="0.45">
      <c r="B556" s="72">
        <v>44966</v>
      </c>
      <c r="C556" s="73">
        <v>148.62776184082031</v>
      </c>
      <c r="D556" s="73">
        <v>4081.5</v>
      </c>
      <c r="E556" s="73">
        <v>-0.69115222181632685</v>
      </c>
      <c r="F556" s="73">
        <v>-0.88297961777351608</v>
      </c>
    </row>
    <row r="557" spans="2:6" x14ac:dyDescent="0.45">
      <c r="B557" s="72">
        <v>44967</v>
      </c>
      <c r="C557" s="73">
        <v>148.9928283691406</v>
      </c>
      <c r="D557" s="73">
        <v>4090.4599609375</v>
      </c>
      <c r="E557" s="73">
        <v>0.24562472299842764</v>
      </c>
      <c r="F557" s="73">
        <v>0.21952617756952897</v>
      </c>
    </row>
    <row r="558" spans="2:6" x14ac:dyDescent="0.45">
      <c r="B558" s="72">
        <v>44970</v>
      </c>
      <c r="C558" s="73">
        <v>151.79487609863281</v>
      </c>
      <c r="D558" s="73">
        <v>4137.2900390625</v>
      </c>
      <c r="E558" s="73">
        <v>1.8806594654005249</v>
      </c>
      <c r="F558" s="73">
        <v>1.1448609342766147</v>
      </c>
    </row>
    <row r="559" spans="2:6" x14ac:dyDescent="0.45">
      <c r="B559" s="72">
        <v>44971</v>
      </c>
      <c r="C559" s="73">
        <v>151.15357971191409</v>
      </c>
      <c r="D559" s="73">
        <v>4136.1298828125</v>
      </c>
      <c r="E559" s="73">
        <v>-0.42247564819120065</v>
      </c>
      <c r="F559" s="73">
        <v>-2.8041453198746069E-2</v>
      </c>
    </row>
    <row r="560" spans="2:6" x14ac:dyDescent="0.45">
      <c r="B560" s="72">
        <v>44972</v>
      </c>
      <c r="C560" s="73">
        <v>153.25511169433591</v>
      </c>
      <c r="D560" s="73">
        <v>4147.60009765625</v>
      </c>
      <c r="E560" s="73">
        <v>1.3903289531264518</v>
      </c>
      <c r="F560" s="73">
        <v>0.27731756904960658</v>
      </c>
    </row>
    <row r="561" spans="2:6" x14ac:dyDescent="0.45">
      <c r="B561" s="72">
        <v>44973</v>
      </c>
      <c r="C561" s="73">
        <v>151.6567687988281</v>
      </c>
      <c r="D561" s="73">
        <v>4090.409912109375</v>
      </c>
      <c r="E561" s="73">
        <v>-1.0429295818175865</v>
      </c>
      <c r="F561" s="73">
        <v>-1.3788741489130674</v>
      </c>
    </row>
    <row r="562" spans="2:6" x14ac:dyDescent="0.45">
      <c r="B562" s="72">
        <v>44974</v>
      </c>
      <c r="C562" s="73">
        <v>150.51225280761719</v>
      </c>
      <c r="D562" s="73">
        <v>4079.090087890625</v>
      </c>
      <c r="E562" s="73">
        <v>-0.75467517887651825</v>
      </c>
      <c r="F562" s="73">
        <v>-0.27674058253277511</v>
      </c>
    </row>
    <row r="563" spans="2:6" x14ac:dyDescent="0.45">
      <c r="B563" s="72">
        <v>44978</v>
      </c>
      <c r="C563" s="73">
        <v>146.49659729003909</v>
      </c>
      <c r="D563" s="73">
        <v>3997.340087890625</v>
      </c>
      <c r="E563" s="73">
        <v>-2.6679924342843053</v>
      </c>
      <c r="F563" s="73">
        <v>-2.0041234255327334</v>
      </c>
    </row>
    <row r="564" spans="2:6" x14ac:dyDescent="0.45">
      <c r="B564" s="72">
        <v>44979</v>
      </c>
      <c r="C564" s="73">
        <v>146.92085266113281</v>
      </c>
      <c r="D564" s="73">
        <v>3991.050048828125</v>
      </c>
      <c r="E564" s="73">
        <v>0.28960083643019274</v>
      </c>
      <c r="F564" s="73">
        <v>-0.15735561458868341</v>
      </c>
    </row>
    <row r="565" spans="2:6" x14ac:dyDescent="0.45">
      <c r="B565" s="72">
        <v>44980</v>
      </c>
      <c r="C565" s="73">
        <v>147.40431213378909</v>
      </c>
      <c r="D565" s="73">
        <v>4012.320068359375</v>
      </c>
      <c r="E565" s="73">
        <v>0.32906116721997947</v>
      </c>
      <c r="F565" s="73">
        <v>0.53294294160743938</v>
      </c>
    </row>
    <row r="566" spans="2:6" x14ac:dyDescent="0.45">
      <c r="B566" s="72">
        <v>44981</v>
      </c>
      <c r="C566" s="73">
        <v>144.7502746582031</v>
      </c>
      <c r="D566" s="73">
        <v>3970.0400390625</v>
      </c>
      <c r="E566" s="73">
        <v>-1.8005154918243504</v>
      </c>
      <c r="F566" s="73">
        <v>-1.0537551485558128</v>
      </c>
    </row>
    <row r="567" spans="2:6" x14ac:dyDescent="0.45">
      <c r="B567" s="72">
        <v>44984</v>
      </c>
      <c r="C567" s="73">
        <v>145.94410705566409</v>
      </c>
      <c r="D567" s="73">
        <v>3982.239990234375</v>
      </c>
      <c r="E567" s="73">
        <v>0.82475311378853444</v>
      </c>
      <c r="F567" s="73">
        <v>0.30730045671669703</v>
      </c>
    </row>
    <row r="568" spans="2:6" x14ac:dyDescent="0.45">
      <c r="B568" s="72">
        <v>44985</v>
      </c>
      <c r="C568" s="73">
        <v>145.44090270996091</v>
      </c>
      <c r="D568" s="73">
        <v>3970.14990234375</v>
      </c>
      <c r="E568" s="73">
        <v>-0.34479250711455522</v>
      </c>
      <c r="F568" s="73">
        <v>-0.30360018281855305</v>
      </c>
    </row>
    <row r="569" spans="2:6" x14ac:dyDescent="0.45">
      <c r="B569" s="72">
        <v>44986</v>
      </c>
      <c r="C569" s="73">
        <v>143.3689880371094</v>
      </c>
      <c r="D569" s="73">
        <v>3951.389892578125</v>
      </c>
      <c r="E569" s="73">
        <v>-1.4245749539820496</v>
      </c>
      <c r="F569" s="73">
        <v>-0.47252648456800328</v>
      </c>
    </row>
    <row r="570" spans="2:6" x14ac:dyDescent="0.45">
      <c r="B570" s="72">
        <v>44987</v>
      </c>
      <c r="C570" s="73">
        <v>143.96095275878909</v>
      </c>
      <c r="D570" s="73">
        <v>3981.35009765625</v>
      </c>
      <c r="E570" s="73">
        <v>0.41289593362161536</v>
      </c>
      <c r="F570" s="73">
        <v>0.75821940867943916</v>
      </c>
    </row>
    <row r="571" spans="2:6" x14ac:dyDescent="0.45">
      <c r="B571" s="72">
        <v>44988</v>
      </c>
      <c r="C571" s="73">
        <v>149.01252746582031</v>
      </c>
      <c r="D571" s="73">
        <v>4045.639892578125</v>
      </c>
      <c r="E571" s="73">
        <v>3.5089894934880572</v>
      </c>
      <c r="F571" s="73">
        <v>1.6147737160748799</v>
      </c>
    </row>
    <row r="572" spans="2:6" x14ac:dyDescent="0.45">
      <c r="B572" s="72">
        <v>44991</v>
      </c>
      <c r="C572" s="73">
        <v>151.77516174316409</v>
      </c>
      <c r="D572" s="73">
        <v>4048.419921875</v>
      </c>
      <c r="E572" s="73">
        <v>1.8539610892630787</v>
      </c>
      <c r="F572" s="73">
        <v>6.8716676982916169E-2</v>
      </c>
    </row>
    <row r="573" spans="2:6" x14ac:dyDescent="0.45">
      <c r="B573" s="72">
        <v>44992</v>
      </c>
      <c r="C573" s="73">
        <v>149.574951171875</v>
      </c>
      <c r="D573" s="73">
        <v>3986.3701171875</v>
      </c>
      <c r="E573" s="73">
        <v>-1.4496512775998949</v>
      </c>
      <c r="F573" s="73">
        <v>-1.5326919115337678</v>
      </c>
    </row>
    <row r="574" spans="2:6" x14ac:dyDescent="0.45">
      <c r="B574" s="72">
        <v>44993</v>
      </c>
      <c r="C574" s="73">
        <v>150.8279724121094</v>
      </c>
      <c r="D574" s="73">
        <v>3992.010009765625</v>
      </c>
      <c r="E574" s="73">
        <v>0.83772130989672178</v>
      </c>
      <c r="F574" s="73">
        <v>0.14147940136839399</v>
      </c>
    </row>
    <row r="575" spans="2:6" x14ac:dyDescent="0.45">
      <c r="B575" s="72">
        <v>44994</v>
      </c>
      <c r="C575" s="73">
        <v>148.57844543457031</v>
      </c>
      <c r="D575" s="73">
        <v>3918.320068359375</v>
      </c>
      <c r="E575" s="73">
        <v>-1.4914521103503775</v>
      </c>
      <c r="F575" s="73">
        <v>-1.845935787384867</v>
      </c>
    </row>
    <row r="576" spans="2:6" x14ac:dyDescent="0.45">
      <c r="B576" s="72">
        <v>44995</v>
      </c>
      <c r="C576" s="73">
        <v>146.51634216308591</v>
      </c>
      <c r="D576" s="73">
        <v>3861.590087890625</v>
      </c>
      <c r="E576" s="73">
        <v>-1.3878885766054783</v>
      </c>
      <c r="F576" s="73">
        <v>-1.447813845705137</v>
      </c>
    </row>
    <row r="577" spans="2:6" x14ac:dyDescent="0.45">
      <c r="B577" s="72">
        <v>44998</v>
      </c>
      <c r="C577" s="73">
        <v>148.46003723144531</v>
      </c>
      <c r="D577" s="73">
        <v>3855.760009765625</v>
      </c>
      <c r="E577" s="73">
        <v>1.3266063291396568</v>
      </c>
      <c r="F577" s="73">
        <v>-0.15097610031894471</v>
      </c>
    </row>
    <row r="578" spans="2:6" x14ac:dyDescent="0.45">
      <c r="B578" s="72">
        <v>44999</v>
      </c>
      <c r="C578" s="73">
        <v>150.55168151855469</v>
      </c>
      <c r="D578" s="73">
        <v>3919.2900390625</v>
      </c>
      <c r="E578" s="73">
        <v>1.4088938182391431</v>
      </c>
      <c r="F578" s="73">
        <v>1.6476655480623936</v>
      </c>
    </row>
    <row r="579" spans="2:6" x14ac:dyDescent="0.45">
      <c r="B579" s="72">
        <v>45000</v>
      </c>
      <c r="C579" s="73">
        <v>150.9463806152344</v>
      </c>
      <c r="D579" s="73">
        <v>3891.929931640625</v>
      </c>
      <c r="E579" s="73">
        <v>0.26216850765035105</v>
      </c>
      <c r="F579" s="73">
        <v>-0.698088356543769</v>
      </c>
    </row>
    <row r="580" spans="2:6" x14ac:dyDescent="0.45">
      <c r="B580" s="72">
        <v>45001</v>
      </c>
      <c r="C580" s="73">
        <v>153.76817321777341</v>
      </c>
      <c r="D580" s="73">
        <v>3960.280029296875</v>
      </c>
      <c r="E580" s="73">
        <v>1.8694006381854367</v>
      </c>
      <c r="F580" s="73">
        <v>1.7562006217166637</v>
      </c>
    </row>
    <row r="581" spans="2:6" x14ac:dyDescent="0.45">
      <c r="B581" s="72">
        <v>45002</v>
      </c>
      <c r="C581" s="73">
        <v>152.9295349121094</v>
      </c>
      <c r="D581" s="73">
        <v>3916.639892578125</v>
      </c>
      <c r="E581" s="73">
        <v>-0.54539134341947682</v>
      </c>
      <c r="F581" s="73">
        <v>-1.1019457310067593</v>
      </c>
    </row>
    <row r="582" spans="2:6" x14ac:dyDescent="0.45">
      <c r="B582" s="72">
        <v>45005</v>
      </c>
      <c r="C582" s="73">
        <v>155.2974548339844</v>
      </c>
      <c r="D582" s="73">
        <v>3951.570068359375</v>
      </c>
      <c r="E582" s="73">
        <v>1.5483731924221589</v>
      </c>
      <c r="F582" s="73">
        <v>0.89184037183100973</v>
      </c>
    </row>
    <row r="583" spans="2:6" x14ac:dyDescent="0.45">
      <c r="B583" s="72">
        <v>45006</v>
      </c>
      <c r="C583" s="73">
        <v>157.15234375</v>
      </c>
      <c r="D583" s="73">
        <v>4002.8701171875</v>
      </c>
      <c r="E583" s="73">
        <v>1.1944103771684533</v>
      </c>
      <c r="F583" s="73">
        <v>1.2982193897784988</v>
      </c>
    </row>
    <row r="584" spans="2:6" x14ac:dyDescent="0.45">
      <c r="B584" s="72">
        <v>45007</v>
      </c>
      <c r="C584" s="73">
        <v>155.72172546386719</v>
      </c>
      <c r="D584" s="73">
        <v>3936.969970703125</v>
      </c>
      <c r="E584" s="73">
        <v>-0.91033849829733615</v>
      </c>
      <c r="F584" s="73">
        <v>-1.6463223775713631</v>
      </c>
    </row>
    <row r="585" spans="2:6" x14ac:dyDescent="0.45">
      <c r="B585" s="72">
        <v>45008</v>
      </c>
      <c r="C585" s="73">
        <v>156.8070373535156</v>
      </c>
      <c r="D585" s="73">
        <v>3948.719970703125</v>
      </c>
      <c r="E585" s="73">
        <v>0.69695598762180566</v>
      </c>
      <c r="F585" s="73">
        <v>0.29845287333754023</v>
      </c>
    </row>
    <row r="586" spans="2:6" x14ac:dyDescent="0.45">
      <c r="B586" s="72">
        <v>45009</v>
      </c>
      <c r="C586" s="73">
        <v>158.1094055175781</v>
      </c>
      <c r="D586" s="73">
        <v>3970.989990234375</v>
      </c>
      <c r="E586" s="73">
        <v>0.83055466517509835</v>
      </c>
      <c r="F586" s="73">
        <v>0.5639807253104534</v>
      </c>
    </row>
    <row r="587" spans="2:6" x14ac:dyDescent="0.45">
      <c r="B587" s="72">
        <v>45012</v>
      </c>
      <c r="C587" s="73">
        <v>156.16572570800781</v>
      </c>
      <c r="D587" s="73">
        <v>3977.530029296875</v>
      </c>
      <c r="E587" s="73">
        <v>-1.22932586028488</v>
      </c>
      <c r="F587" s="73">
        <v>0.16469543057482383</v>
      </c>
    </row>
    <row r="588" spans="2:6" x14ac:dyDescent="0.45">
      <c r="B588" s="72">
        <v>45013</v>
      </c>
      <c r="C588" s="73">
        <v>155.54411315917969</v>
      </c>
      <c r="D588" s="73">
        <v>3971.27001953125</v>
      </c>
      <c r="E588" s="73">
        <v>-0.39804671992520468</v>
      </c>
      <c r="F588" s="73">
        <v>-0.15738434957162095</v>
      </c>
    </row>
    <row r="589" spans="2:6" x14ac:dyDescent="0.45">
      <c r="B589" s="72">
        <v>45014</v>
      </c>
      <c r="C589" s="73">
        <v>158.6224670410156</v>
      </c>
      <c r="D589" s="73">
        <v>4027.81005859375</v>
      </c>
      <c r="E589" s="73">
        <v>1.9790873594075498</v>
      </c>
      <c r="F589" s="73">
        <v>1.4237268879836451</v>
      </c>
    </row>
    <row r="590" spans="2:6" x14ac:dyDescent="0.45">
      <c r="B590" s="72">
        <v>45015</v>
      </c>
      <c r="C590" s="73">
        <v>160.19122314453119</v>
      </c>
      <c r="D590" s="73">
        <v>4050.830078125</v>
      </c>
      <c r="E590" s="73">
        <v>0.98898733122714244</v>
      </c>
      <c r="F590" s="73">
        <v>0.5715269388667954</v>
      </c>
    </row>
    <row r="591" spans="2:6" x14ac:dyDescent="0.45">
      <c r="B591" s="72">
        <v>45016</v>
      </c>
      <c r="C591" s="73">
        <v>162.69728088378909</v>
      </c>
      <c r="D591" s="73">
        <v>4109.31005859375</v>
      </c>
      <c r="E591" s="73">
        <v>1.5644163831602942</v>
      </c>
      <c r="F591" s="73">
        <v>1.4436542471763847</v>
      </c>
    </row>
    <row r="592" spans="2:6" x14ac:dyDescent="0.45">
      <c r="B592" s="72">
        <v>45019</v>
      </c>
      <c r="C592" s="73">
        <v>163.9503173828125</v>
      </c>
      <c r="D592" s="73">
        <v>4124.509765625</v>
      </c>
      <c r="E592" s="73">
        <v>0.77016437657517756</v>
      </c>
      <c r="F592" s="73">
        <v>0.36988464765423945</v>
      </c>
    </row>
    <row r="593" spans="2:6" x14ac:dyDescent="0.45">
      <c r="B593" s="72">
        <v>45020</v>
      </c>
      <c r="C593" s="73">
        <v>163.41755676269531</v>
      </c>
      <c r="D593" s="73">
        <v>4100.60009765625</v>
      </c>
      <c r="E593" s="73">
        <v>-0.32495247866658472</v>
      </c>
      <c r="F593" s="73">
        <v>-0.57969720833299654</v>
      </c>
    </row>
    <row r="594" spans="2:6" x14ac:dyDescent="0.45">
      <c r="B594" s="72">
        <v>45021</v>
      </c>
      <c r="C594" s="73">
        <v>161.572509765625</v>
      </c>
      <c r="D594" s="73">
        <v>4090.3798828125</v>
      </c>
      <c r="E594" s="73">
        <v>-1.1290384176711021</v>
      </c>
      <c r="F594" s="73">
        <v>-0.24923705312281941</v>
      </c>
    </row>
    <row r="595" spans="2:6" x14ac:dyDescent="0.45">
      <c r="B595" s="72">
        <v>45022</v>
      </c>
      <c r="C595" s="73">
        <v>162.4604797363281</v>
      </c>
      <c r="D595" s="73">
        <v>4105.02001953125</v>
      </c>
      <c r="E595" s="73">
        <v>0.54957985859795944</v>
      </c>
      <c r="F595" s="73">
        <v>0.35791630944272956</v>
      </c>
    </row>
    <row r="596" spans="2:6" x14ac:dyDescent="0.45">
      <c r="B596" s="72">
        <v>45026</v>
      </c>
      <c r="C596" s="73">
        <v>159.8656005859375</v>
      </c>
      <c r="D596" s="73">
        <v>4109.10986328125</v>
      </c>
      <c r="E596" s="73">
        <v>-1.5972371586013168</v>
      </c>
      <c r="F596" s="73">
        <v>9.9630299743758144E-2</v>
      </c>
    </row>
    <row r="597" spans="2:6" x14ac:dyDescent="0.45">
      <c r="B597" s="72">
        <v>45027</v>
      </c>
      <c r="C597" s="73">
        <v>158.65203857421881</v>
      </c>
      <c r="D597" s="73">
        <v>4108.93994140625</v>
      </c>
      <c r="E597" s="73">
        <v>-0.75911391022881469</v>
      </c>
      <c r="F597" s="73">
        <v>-4.1352477946232646E-3</v>
      </c>
    </row>
    <row r="598" spans="2:6" x14ac:dyDescent="0.45">
      <c r="B598" s="72">
        <v>45028</v>
      </c>
      <c r="C598" s="73">
        <v>157.96141052246091</v>
      </c>
      <c r="D598" s="73">
        <v>4091.949951171875</v>
      </c>
      <c r="E598" s="73">
        <v>-0.43530991342087821</v>
      </c>
      <c r="F598" s="73">
        <v>-0.41348840520069041</v>
      </c>
    </row>
    <row r="599" spans="2:6" x14ac:dyDescent="0.45">
      <c r="B599" s="72">
        <v>45029</v>
      </c>
      <c r="C599" s="73">
        <v>163.3484802246094</v>
      </c>
      <c r="D599" s="73">
        <v>4146.22021484375</v>
      </c>
      <c r="E599" s="73">
        <v>3.4103707255656035</v>
      </c>
      <c r="F599" s="73">
        <v>1.326268999363811</v>
      </c>
    </row>
    <row r="600" spans="2:6" x14ac:dyDescent="0.45">
      <c r="B600" s="72">
        <v>45030</v>
      </c>
      <c r="C600" s="73">
        <v>163.003173828125</v>
      </c>
      <c r="D600" s="73">
        <v>4137.64013671875</v>
      </c>
      <c r="E600" s="73">
        <v>-0.21139247577302012</v>
      </c>
      <c r="F600" s="73">
        <v>-0.20693734728036706</v>
      </c>
    </row>
    <row r="601" spans="2:6" x14ac:dyDescent="0.45">
      <c r="B601" s="72">
        <v>45033</v>
      </c>
      <c r="C601" s="73">
        <v>163.02288818359381</v>
      </c>
      <c r="D601" s="73">
        <v>4151.31982421875</v>
      </c>
      <c r="E601" s="73">
        <v>1.2094461111278321E-2</v>
      </c>
      <c r="F601" s="73">
        <v>0.33061569029655402</v>
      </c>
    </row>
    <row r="602" spans="2:6" x14ac:dyDescent="0.45">
      <c r="B602" s="72">
        <v>45034</v>
      </c>
      <c r="C602" s="73">
        <v>164.24632263183591</v>
      </c>
      <c r="D602" s="73">
        <v>4154.8701171875</v>
      </c>
      <c r="E602" s="73">
        <v>0.75046790169996935</v>
      </c>
      <c r="F602" s="73">
        <v>8.5522029597373539E-2</v>
      </c>
    </row>
    <row r="603" spans="2:6" x14ac:dyDescent="0.45">
      <c r="B603" s="72">
        <v>45035</v>
      </c>
      <c r="C603" s="73">
        <v>165.39085388183591</v>
      </c>
      <c r="D603" s="73">
        <v>4154.52001953125</v>
      </c>
      <c r="E603" s="73">
        <v>0.69683828024904582</v>
      </c>
      <c r="F603" s="73">
        <v>-8.4261997698065194E-3</v>
      </c>
    </row>
    <row r="604" spans="2:6" x14ac:dyDescent="0.45">
      <c r="B604" s="72">
        <v>45036</v>
      </c>
      <c r="C604" s="73">
        <v>164.42388916015619</v>
      </c>
      <c r="D604" s="73">
        <v>4129.7900390625</v>
      </c>
      <c r="E604" s="73">
        <v>-0.58465428951142151</v>
      </c>
      <c r="F604" s="73">
        <v>-0.59525481529729696</v>
      </c>
    </row>
    <row r="605" spans="2:6" x14ac:dyDescent="0.45">
      <c r="B605" s="72">
        <v>45037</v>
      </c>
      <c r="C605" s="73">
        <v>162.81568908691409</v>
      </c>
      <c r="D605" s="73">
        <v>4133.52001953125</v>
      </c>
      <c r="E605" s="73">
        <v>-0.97808176260545387</v>
      </c>
      <c r="F605" s="73">
        <v>9.031888869577287E-2</v>
      </c>
    </row>
    <row r="606" spans="2:6" x14ac:dyDescent="0.45">
      <c r="B606" s="72">
        <v>45040</v>
      </c>
      <c r="C606" s="73">
        <v>163.12152099609381</v>
      </c>
      <c r="D606" s="73">
        <v>4137.0400390625</v>
      </c>
      <c r="E606" s="73">
        <v>0.1878393359355357</v>
      </c>
      <c r="F606" s="73">
        <v>8.5157916609035489E-2</v>
      </c>
    </row>
    <row r="607" spans="2:6" x14ac:dyDescent="0.45">
      <c r="B607" s="72">
        <v>45041</v>
      </c>
      <c r="C607" s="73">
        <v>161.5823974609375</v>
      </c>
      <c r="D607" s="73">
        <v>4071.6298828125</v>
      </c>
      <c r="E607" s="73">
        <v>-0.94354412940592658</v>
      </c>
      <c r="F607" s="73">
        <v>-1.5810858882773227</v>
      </c>
    </row>
    <row r="608" spans="2:6" x14ac:dyDescent="0.45">
      <c r="B608" s="72">
        <v>45042</v>
      </c>
      <c r="C608" s="73">
        <v>161.572509765625</v>
      </c>
      <c r="D608" s="73">
        <v>4055.989990234375</v>
      </c>
      <c r="E608" s="73">
        <v>-6.1192898904049997E-3</v>
      </c>
      <c r="F608" s="73">
        <v>-0.38411871973298428</v>
      </c>
    </row>
    <row r="609" spans="2:6" x14ac:dyDescent="0.45">
      <c r="B609" s="72">
        <v>45043</v>
      </c>
      <c r="C609" s="73">
        <v>166.160400390625</v>
      </c>
      <c r="D609" s="73">
        <v>4135.35009765625</v>
      </c>
      <c r="E609" s="73">
        <v>2.8395242678690424</v>
      </c>
      <c r="F609" s="73">
        <v>1.9566149722497039</v>
      </c>
    </row>
    <row r="610" spans="2:6" x14ac:dyDescent="0.45">
      <c r="B610" s="72">
        <v>45044</v>
      </c>
      <c r="C610" s="73">
        <v>167.41340637207031</v>
      </c>
      <c r="D610" s="73">
        <v>4169.47998046875</v>
      </c>
      <c r="E610" s="73">
        <v>0.75409422371373047</v>
      </c>
      <c r="F610" s="73">
        <v>0.82532027534605312</v>
      </c>
    </row>
    <row r="611" spans="2:6" x14ac:dyDescent="0.45">
      <c r="B611" s="72">
        <v>45047</v>
      </c>
      <c r="C611" s="73">
        <v>167.32463073730469</v>
      </c>
      <c r="D611" s="73">
        <v>4167.8701171875</v>
      </c>
      <c r="E611" s="73">
        <v>-5.3027793107751631E-2</v>
      </c>
      <c r="F611" s="73">
        <v>-3.8610649020764942E-2</v>
      </c>
    </row>
    <row r="612" spans="2:6" x14ac:dyDescent="0.45">
      <c r="B612" s="72">
        <v>45048</v>
      </c>
      <c r="C612" s="73">
        <v>166.28868103027341</v>
      </c>
      <c r="D612" s="73">
        <v>4119.580078125</v>
      </c>
      <c r="E612" s="73">
        <v>-0.61912564962279815</v>
      </c>
      <c r="F612" s="73">
        <v>-1.1586262936400304</v>
      </c>
    </row>
    <row r="613" spans="2:6" x14ac:dyDescent="0.45">
      <c r="B613" s="72">
        <v>45049</v>
      </c>
      <c r="C613" s="73">
        <v>165.21324157714841</v>
      </c>
      <c r="D613" s="73">
        <v>4090.75</v>
      </c>
      <c r="E613" s="73">
        <v>-0.64673040068746745</v>
      </c>
      <c r="F613" s="73">
        <v>-0.69983050646564848</v>
      </c>
    </row>
    <row r="614" spans="2:6" x14ac:dyDescent="0.45">
      <c r="B614" s="72">
        <v>45050</v>
      </c>
      <c r="C614" s="73">
        <v>163.57536315917969</v>
      </c>
      <c r="D614" s="73">
        <v>4061.219970703125</v>
      </c>
      <c r="E614" s="73">
        <v>-0.9913723635789129</v>
      </c>
      <c r="F614" s="73">
        <v>-0.72187323343824161</v>
      </c>
    </row>
    <row r="615" spans="2:6" x14ac:dyDescent="0.45">
      <c r="B615" s="72">
        <v>45051</v>
      </c>
      <c r="C615" s="73">
        <v>171.2514953613281</v>
      </c>
      <c r="D615" s="73">
        <v>4136.25</v>
      </c>
      <c r="E615" s="73">
        <v>4.6927190341485403</v>
      </c>
      <c r="F615" s="73">
        <v>1.8474751389515376</v>
      </c>
    </row>
    <row r="616" spans="2:6" x14ac:dyDescent="0.45">
      <c r="B616" s="72">
        <v>45054</v>
      </c>
      <c r="C616" s="73">
        <v>171.1824035644531</v>
      </c>
      <c r="D616" s="73">
        <v>4138.1201171875</v>
      </c>
      <c r="E616" s="73">
        <v>-4.0345222521542823E-2</v>
      </c>
      <c r="F616" s="73">
        <v>4.5212866424892972E-2</v>
      </c>
    </row>
    <row r="617" spans="2:6" x14ac:dyDescent="0.45">
      <c r="B617" s="72">
        <v>45055</v>
      </c>
      <c r="C617" s="73">
        <v>169.47554016113281</v>
      </c>
      <c r="D617" s="73">
        <v>4119.169921875</v>
      </c>
      <c r="E617" s="73">
        <v>-0.99710213653918522</v>
      </c>
      <c r="F617" s="73">
        <v>-0.45794212772585219</v>
      </c>
    </row>
    <row r="618" spans="2:6" x14ac:dyDescent="0.45">
      <c r="B618" s="72">
        <v>45056</v>
      </c>
      <c r="C618" s="73">
        <v>171.24159240722659</v>
      </c>
      <c r="D618" s="73">
        <v>4137.64013671875</v>
      </c>
      <c r="E618" s="73">
        <v>1.0420691059103149</v>
      </c>
      <c r="F618" s="73">
        <v>0.44839652634049987</v>
      </c>
    </row>
    <row r="619" spans="2:6" x14ac:dyDescent="0.45">
      <c r="B619" s="72">
        <v>45057</v>
      </c>
      <c r="C619" s="73">
        <v>171.42906188964841</v>
      </c>
      <c r="D619" s="73">
        <v>4130.6201171875</v>
      </c>
      <c r="E619" s="73">
        <v>0.10947660541253956</v>
      </c>
      <c r="F619" s="73">
        <v>-0.16966239932159066</v>
      </c>
    </row>
    <row r="620" spans="2:6" x14ac:dyDescent="0.45">
      <c r="B620" s="72">
        <v>45058</v>
      </c>
      <c r="C620" s="73">
        <v>170.50035095214841</v>
      </c>
      <c r="D620" s="73">
        <v>4124.080078125</v>
      </c>
      <c r="E620" s="73">
        <v>-0.54174649692584342</v>
      </c>
      <c r="F620" s="73">
        <v>-0.15833068345566526</v>
      </c>
    </row>
    <row r="621" spans="2:6" x14ac:dyDescent="0.45">
      <c r="B621" s="72">
        <v>45061</v>
      </c>
      <c r="C621" s="73">
        <v>170.00633239746091</v>
      </c>
      <c r="D621" s="73">
        <v>4136.27978515625</v>
      </c>
      <c r="E621" s="73">
        <v>-0.28974635649058333</v>
      </c>
      <c r="F621" s="73">
        <v>0.29581644391338813</v>
      </c>
    </row>
    <row r="622" spans="2:6" x14ac:dyDescent="0.45">
      <c r="B622" s="72">
        <v>45062</v>
      </c>
      <c r="C622" s="73">
        <v>170.00633239746091</v>
      </c>
      <c r="D622" s="73">
        <v>4109.89990234375</v>
      </c>
      <c r="E622" s="73">
        <v>0</v>
      </c>
      <c r="F622" s="73">
        <v>-0.63776833731530314</v>
      </c>
    </row>
    <row r="623" spans="2:6" x14ac:dyDescent="0.45">
      <c r="B623" s="72">
        <v>45063</v>
      </c>
      <c r="C623" s="73">
        <v>170.61891174316409</v>
      </c>
      <c r="D623" s="73">
        <v>4158.77001953125</v>
      </c>
      <c r="E623" s="73">
        <v>0.36032736961293388</v>
      </c>
      <c r="F623" s="73">
        <v>1.1890829058788244</v>
      </c>
    </row>
    <row r="624" spans="2:6" x14ac:dyDescent="0.45">
      <c r="B624" s="72">
        <v>45064</v>
      </c>
      <c r="C624" s="73">
        <v>172.95062255859381</v>
      </c>
      <c r="D624" s="73">
        <v>4198.0498046875</v>
      </c>
      <c r="E624" s="73">
        <v>1.36661920510881</v>
      </c>
      <c r="F624" s="73">
        <v>0.9445048649426635</v>
      </c>
    </row>
    <row r="625" spans="2:6" x14ac:dyDescent="0.45">
      <c r="B625" s="72">
        <v>45065</v>
      </c>
      <c r="C625" s="73">
        <v>173.05926513671881</v>
      </c>
      <c r="D625" s="73">
        <v>4191.97998046875</v>
      </c>
      <c r="E625" s="73">
        <v>6.2817107286328167E-2</v>
      </c>
      <c r="F625" s="73">
        <v>-0.14458676054706077</v>
      </c>
    </row>
    <row r="626" spans="2:6" x14ac:dyDescent="0.45">
      <c r="B626" s="72">
        <v>45068</v>
      </c>
      <c r="C626" s="73">
        <v>172.11079406738281</v>
      </c>
      <c r="D626" s="73">
        <v>4192.6298828125</v>
      </c>
      <c r="E626" s="73">
        <v>-0.54806142195662488</v>
      </c>
      <c r="F626" s="73">
        <v>1.550346964389604E-2</v>
      </c>
    </row>
    <row r="627" spans="2:6" x14ac:dyDescent="0.45">
      <c r="B627" s="72">
        <v>45069</v>
      </c>
      <c r="C627" s="73">
        <v>169.50245666503909</v>
      </c>
      <c r="D627" s="73">
        <v>4145.580078125</v>
      </c>
      <c r="E627" s="73">
        <v>-1.5154990228692711</v>
      </c>
      <c r="F627" s="73">
        <v>-1.1222026747550129</v>
      </c>
    </row>
    <row r="628" spans="2:6" x14ac:dyDescent="0.45">
      <c r="B628" s="72">
        <v>45070</v>
      </c>
      <c r="C628" s="73">
        <v>169.7790832519531</v>
      </c>
      <c r="D628" s="73">
        <v>4115.240234375</v>
      </c>
      <c r="E628" s="73">
        <v>0.1631991608597394</v>
      </c>
      <c r="F628" s="73">
        <v>-0.73186003353533646</v>
      </c>
    </row>
    <row r="629" spans="2:6" x14ac:dyDescent="0.45">
      <c r="B629" s="72">
        <v>45071</v>
      </c>
      <c r="C629" s="73">
        <v>170.91529846191409</v>
      </c>
      <c r="D629" s="73">
        <v>4151.27978515625</v>
      </c>
      <c r="E629" s="73">
        <v>0.66923156150799912</v>
      </c>
      <c r="F629" s="73">
        <v>0.87575812659024255</v>
      </c>
    </row>
    <row r="630" spans="2:6" x14ac:dyDescent="0.45">
      <c r="B630" s="72">
        <v>45072</v>
      </c>
      <c r="C630" s="73">
        <v>173.32600402832031</v>
      </c>
      <c r="D630" s="73">
        <v>4205.4501953125</v>
      </c>
      <c r="E630" s="73">
        <v>1.4104679850782453</v>
      </c>
      <c r="F630" s="73">
        <v>1.3049086777997321</v>
      </c>
    </row>
    <row r="631" spans="2:6" x14ac:dyDescent="0.45">
      <c r="B631" s="72">
        <v>45076</v>
      </c>
      <c r="C631" s="73">
        <v>175.17359924316409</v>
      </c>
      <c r="D631" s="73">
        <v>4205.52001953125</v>
      </c>
      <c r="E631" s="73">
        <v>1.0659653900183974</v>
      </c>
      <c r="F631" s="73">
        <v>1.660326849850513E-3</v>
      </c>
    </row>
    <row r="632" spans="2:6" x14ac:dyDescent="0.45">
      <c r="B632" s="72">
        <v>45077</v>
      </c>
      <c r="C632" s="73">
        <v>175.12420654296881</v>
      </c>
      <c r="D632" s="73">
        <v>4179.830078125</v>
      </c>
      <c r="E632" s="73">
        <v>-2.8196429375593191E-2</v>
      </c>
      <c r="F632" s="73">
        <v>-0.61086242098339349</v>
      </c>
    </row>
    <row r="633" spans="2:6" x14ac:dyDescent="0.45">
      <c r="B633" s="72">
        <v>45078</v>
      </c>
      <c r="C633" s="73">
        <v>177.93016052246091</v>
      </c>
      <c r="D633" s="73">
        <v>4221.02001953125</v>
      </c>
      <c r="E633" s="73">
        <v>1.6022650636841718</v>
      </c>
      <c r="F633" s="73">
        <v>0.98544535630327168</v>
      </c>
    </row>
    <row r="634" spans="2:6" x14ac:dyDescent="0.45">
      <c r="B634" s="72">
        <v>45079</v>
      </c>
      <c r="C634" s="73">
        <v>178.7798156738281</v>
      </c>
      <c r="D634" s="73">
        <v>4282.3701171875</v>
      </c>
      <c r="E634" s="73">
        <v>0.47752171350394779</v>
      </c>
      <c r="F634" s="73">
        <v>1.4534424705965554</v>
      </c>
    </row>
    <row r="635" spans="2:6" x14ac:dyDescent="0.45">
      <c r="B635" s="72">
        <v>45082</v>
      </c>
      <c r="C635" s="73">
        <v>177.42626953125</v>
      </c>
      <c r="D635" s="73">
        <v>4273.7900390625</v>
      </c>
      <c r="E635" s="73">
        <v>-0.75710232582829606</v>
      </c>
      <c r="F635" s="73">
        <v>-0.20035816359177394</v>
      </c>
    </row>
    <row r="636" spans="2:6" x14ac:dyDescent="0.45">
      <c r="B636" s="72">
        <v>45083</v>
      </c>
      <c r="C636" s="73">
        <v>177.06071472167969</v>
      </c>
      <c r="D636" s="73">
        <v>4283.85009765625</v>
      </c>
      <c r="E636" s="73">
        <v>-0.2060319537439903</v>
      </c>
      <c r="F636" s="73">
        <v>0.23538963079141606</v>
      </c>
    </row>
    <row r="637" spans="2:6" x14ac:dyDescent="0.45">
      <c r="B637" s="72">
        <v>45084</v>
      </c>
      <c r="C637" s="73">
        <v>175.68739318847659</v>
      </c>
      <c r="D637" s="73">
        <v>4267.52001953125</v>
      </c>
      <c r="E637" s="73">
        <v>-0.77562181727426349</v>
      </c>
      <c r="F637" s="73">
        <v>-0.38120096998572883</v>
      </c>
    </row>
    <row r="638" spans="2:6" x14ac:dyDescent="0.45">
      <c r="B638" s="72">
        <v>45085</v>
      </c>
      <c r="C638" s="73">
        <v>178.4044189453125</v>
      </c>
      <c r="D638" s="73">
        <v>4293.93017578125</v>
      </c>
      <c r="E638" s="73">
        <v>1.5465115097479387</v>
      </c>
      <c r="F638" s="73">
        <v>0.61886426142414575</v>
      </c>
    </row>
    <row r="639" spans="2:6" x14ac:dyDescent="0.45">
      <c r="B639" s="72">
        <v>45086</v>
      </c>
      <c r="C639" s="73">
        <v>178.7897033691406</v>
      </c>
      <c r="D639" s="73">
        <v>4298.85986328125</v>
      </c>
      <c r="E639" s="73">
        <v>0.21596125595195748</v>
      </c>
      <c r="F639" s="73">
        <v>0.1148059539441082</v>
      </c>
    </row>
    <row r="640" spans="2:6" x14ac:dyDescent="0.45">
      <c r="B640" s="72">
        <v>45089</v>
      </c>
      <c r="C640" s="73">
        <v>181.5857849121094</v>
      </c>
      <c r="D640" s="73">
        <v>4338.93017578125</v>
      </c>
      <c r="E640" s="73">
        <v>1.5638940555742442</v>
      </c>
      <c r="F640" s="73">
        <v>0.93211488102371565</v>
      </c>
    </row>
    <row r="641" spans="2:6" x14ac:dyDescent="0.45">
      <c r="B641" s="72">
        <v>45090</v>
      </c>
      <c r="C641" s="73">
        <v>181.1115417480469</v>
      </c>
      <c r="D641" s="73">
        <v>4369.009765625</v>
      </c>
      <c r="E641" s="73">
        <v>-0.26116756016559828</v>
      </c>
      <c r="F641" s="73">
        <v>0.69324899514737748</v>
      </c>
    </row>
    <row r="642" spans="2:6" x14ac:dyDescent="0.45">
      <c r="B642" s="72">
        <v>45091</v>
      </c>
      <c r="C642" s="73">
        <v>181.74385070800781</v>
      </c>
      <c r="D642" s="73">
        <v>4372.58984375</v>
      </c>
      <c r="E642" s="73">
        <v>0.349126816467904</v>
      </c>
      <c r="F642" s="73">
        <v>8.1942552593217144E-2</v>
      </c>
    </row>
    <row r="643" spans="2:6" x14ac:dyDescent="0.45">
      <c r="B643" s="72">
        <v>45092</v>
      </c>
      <c r="C643" s="73">
        <v>183.77915954589841</v>
      </c>
      <c r="D643" s="73">
        <v>4425.83984375</v>
      </c>
      <c r="E643" s="73">
        <v>1.1198776904757901</v>
      </c>
      <c r="F643" s="73">
        <v>1.217813742034668</v>
      </c>
    </row>
    <row r="644" spans="2:6" x14ac:dyDescent="0.45">
      <c r="B644" s="72">
        <v>45093</v>
      </c>
      <c r="C644" s="73">
        <v>182.7022399902344</v>
      </c>
      <c r="D644" s="73">
        <v>4409.58984375</v>
      </c>
      <c r="E644" s="73">
        <v>-0.58598567885770336</v>
      </c>
      <c r="F644" s="73">
        <v>-0.36716195284263176</v>
      </c>
    </row>
    <row r="645" spans="2:6" x14ac:dyDescent="0.45">
      <c r="B645" s="72">
        <v>45097</v>
      </c>
      <c r="C645" s="73">
        <v>182.7911376953125</v>
      </c>
      <c r="D645" s="73">
        <v>4388.7099609375</v>
      </c>
      <c r="E645" s="73">
        <v>4.86571511563616E-2</v>
      </c>
      <c r="F645" s="73">
        <v>-0.47351076976228645</v>
      </c>
    </row>
    <row r="646" spans="2:6" x14ac:dyDescent="0.45">
      <c r="B646" s="72">
        <v>45098</v>
      </c>
      <c r="C646" s="73">
        <v>181.75373840332031</v>
      </c>
      <c r="D646" s="73">
        <v>4365.68994140625</v>
      </c>
      <c r="E646" s="73">
        <v>-0.56753259762591934</v>
      </c>
      <c r="F646" s="73">
        <v>-0.52452815830036359</v>
      </c>
    </row>
    <row r="647" spans="2:6" x14ac:dyDescent="0.45">
      <c r="B647" s="72">
        <v>45099</v>
      </c>
      <c r="C647" s="73">
        <v>184.75726318359381</v>
      </c>
      <c r="D647" s="73">
        <v>4381.89013671875</v>
      </c>
      <c r="E647" s="73">
        <v>1.6525243478670681</v>
      </c>
      <c r="F647" s="73">
        <v>0.37107984144384432</v>
      </c>
    </row>
    <row r="648" spans="2:6" x14ac:dyDescent="0.45">
      <c r="B648" s="72">
        <v>45100</v>
      </c>
      <c r="C648" s="73">
        <v>184.44110107421881</v>
      </c>
      <c r="D648" s="73">
        <v>4348.330078125</v>
      </c>
      <c r="E648" s="73">
        <v>-0.17112296638689406</v>
      </c>
      <c r="F648" s="73">
        <v>-0.76588087666845661</v>
      </c>
    </row>
    <row r="649" spans="2:6" x14ac:dyDescent="0.45">
      <c r="B649" s="72">
        <v>45103</v>
      </c>
      <c r="C649" s="73">
        <v>183.04803466796881</v>
      </c>
      <c r="D649" s="73">
        <v>4328.81982421875</v>
      </c>
      <c r="E649" s="73">
        <v>-0.75529065817571128</v>
      </c>
      <c r="F649" s="73">
        <v>-0.44868382932564677</v>
      </c>
    </row>
    <row r="650" spans="2:6" x14ac:dyDescent="0.45">
      <c r="B650" s="72">
        <v>45104</v>
      </c>
      <c r="C650" s="73">
        <v>185.80458068847659</v>
      </c>
      <c r="D650" s="73">
        <v>4378.41015625</v>
      </c>
      <c r="E650" s="73">
        <v>1.5059140216981293</v>
      </c>
      <c r="F650" s="73">
        <v>1.1455854954693034</v>
      </c>
    </row>
    <row r="651" spans="2:6" x14ac:dyDescent="0.45">
      <c r="B651" s="72">
        <v>45105</v>
      </c>
      <c r="C651" s="73">
        <v>186.98030090332031</v>
      </c>
      <c r="D651" s="73">
        <v>4376.85986328125</v>
      </c>
      <c r="E651" s="73">
        <v>0.63277245936952387</v>
      </c>
      <c r="F651" s="73">
        <v>-3.5407668843834283E-2</v>
      </c>
    </row>
    <row r="652" spans="2:6" x14ac:dyDescent="0.45">
      <c r="B652" s="72">
        <v>45106</v>
      </c>
      <c r="C652" s="73">
        <v>187.31622314453119</v>
      </c>
      <c r="D652" s="73">
        <v>4396.43994140625</v>
      </c>
      <c r="E652" s="73">
        <v>0.17965648765565501</v>
      </c>
      <c r="F652" s="73">
        <v>0.44735446728059181</v>
      </c>
    </row>
    <row r="653" spans="2:6" x14ac:dyDescent="0.45">
      <c r="B653" s="72">
        <v>45107</v>
      </c>
      <c r="C653" s="73">
        <v>191.64369201660159</v>
      </c>
      <c r="D653" s="73">
        <v>4450.3798828125</v>
      </c>
      <c r="E653" s="73">
        <v>2.310247772149121</v>
      </c>
      <c r="F653" s="73">
        <v>1.2269004495714109</v>
      </c>
    </row>
    <row r="654" spans="2:6" x14ac:dyDescent="0.45">
      <c r="B654" s="72">
        <v>45110</v>
      </c>
      <c r="C654" s="73">
        <v>190.15179443359381</v>
      </c>
      <c r="D654" s="73">
        <v>4455.58984375</v>
      </c>
      <c r="E654" s="73">
        <v>-0.77847466165416046</v>
      </c>
      <c r="F654" s="73">
        <v>0.11706778016009611</v>
      </c>
    </row>
    <row r="655" spans="2:6" x14ac:dyDescent="0.45">
      <c r="B655" s="72">
        <v>45112</v>
      </c>
      <c r="C655" s="73">
        <v>189.03533935546881</v>
      </c>
      <c r="D655" s="73">
        <v>4446.81982421875</v>
      </c>
      <c r="E655" s="73">
        <v>-0.58713886000949511</v>
      </c>
      <c r="F655" s="73">
        <v>-0.19683184132291975</v>
      </c>
    </row>
    <row r="656" spans="2:6" x14ac:dyDescent="0.45">
      <c r="B656" s="72">
        <v>45113</v>
      </c>
      <c r="C656" s="73">
        <v>189.50958251953119</v>
      </c>
      <c r="D656" s="73">
        <v>4411.58984375</v>
      </c>
      <c r="E656" s="73">
        <v>0.2508754001655733</v>
      </c>
      <c r="F656" s="73">
        <v>-0.79225113365009037</v>
      </c>
    </row>
    <row r="657" spans="2:6" x14ac:dyDescent="0.45">
      <c r="B657" s="72">
        <v>45114</v>
      </c>
      <c r="C657" s="73">
        <v>188.39311218261719</v>
      </c>
      <c r="D657" s="73">
        <v>4398.9501953125</v>
      </c>
      <c r="E657" s="73">
        <v>-0.58913661360577851</v>
      </c>
      <c r="F657" s="73">
        <v>-0.28651005386203243</v>
      </c>
    </row>
    <row r="658" spans="2:6" x14ac:dyDescent="0.45">
      <c r="B658" s="72">
        <v>45117</v>
      </c>
      <c r="C658" s="73">
        <v>186.3479309082031</v>
      </c>
      <c r="D658" s="73">
        <v>4409.52978515625</v>
      </c>
      <c r="E658" s="73">
        <v>-1.0855923821841307</v>
      </c>
      <c r="F658" s="73">
        <v>0.2405026057131332</v>
      </c>
    </row>
    <row r="659" spans="2:6" x14ac:dyDescent="0.45">
      <c r="B659" s="72">
        <v>45118</v>
      </c>
      <c r="C659" s="73">
        <v>185.8243408203125</v>
      </c>
      <c r="D659" s="73">
        <v>4439.259765625</v>
      </c>
      <c r="E659" s="73">
        <v>-0.28097445747788941</v>
      </c>
      <c r="F659" s="73">
        <v>0.67422110558885695</v>
      </c>
    </row>
    <row r="660" spans="2:6" x14ac:dyDescent="0.45">
      <c r="B660" s="72">
        <v>45119</v>
      </c>
      <c r="C660" s="73">
        <v>187.4940185546875</v>
      </c>
      <c r="D660" s="73">
        <v>4472.16015625</v>
      </c>
      <c r="E660" s="73">
        <v>0.89852477183789414</v>
      </c>
      <c r="F660" s="73">
        <v>0.74112334853124739</v>
      </c>
    </row>
    <row r="661" spans="2:6" x14ac:dyDescent="0.45">
      <c r="B661" s="72">
        <v>45120</v>
      </c>
      <c r="C661" s="73">
        <v>188.25480651855469</v>
      </c>
      <c r="D661" s="73">
        <v>4510.0400390625</v>
      </c>
      <c r="E661" s="73">
        <v>0.40576652510400102</v>
      </c>
      <c r="F661" s="73">
        <v>0.84701534580691185</v>
      </c>
    </row>
    <row r="662" spans="2:6" x14ac:dyDescent="0.45">
      <c r="B662" s="72">
        <v>45121</v>
      </c>
      <c r="C662" s="73">
        <v>188.40301513671881</v>
      </c>
      <c r="D662" s="73">
        <v>4505.419921875</v>
      </c>
      <c r="E662" s="73">
        <v>7.8727667518818656E-2</v>
      </c>
      <c r="F662" s="73">
        <v>-0.10244071333035398</v>
      </c>
    </row>
    <row r="663" spans="2:6" x14ac:dyDescent="0.45">
      <c r="B663" s="72">
        <v>45124</v>
      </c>
      <c r="C663" s="73">
        <v>191.66346740722659</v>
      </c>
      <c r="D663" s="73">
        <v>4522.7900390625</v>
      </c>
      <c r="E663" s="73">
        <v>1.730573296898541</v>
      </c>
      <c r="F663" s="73">
        <v>0.38553825145495324</v>
      </c>
    </row>
    <row r="664" spans="2:6" x14ac:dyDescent="0.45">
      <c r="B664" s="72">
        <v>45125</v>
      </c>
      <c r="C664" s="73">
        <v>191.40657043457031</v>
      </c>
      <c r="D664" s="73">
        <v>4554.97998046875</v>
      </c>
      <c r="E664" s="73">
        <v>-0.13403544041622473</v>
      </c>
      <c r="F664" s="73">
        <v>0.71172752058423772</v>
      </c>
    </row>
    <row r="665" spans="2:6" x14ac:dyDescent="0.45">
      <c r="B665" s="72">
        <v>45126</v>
      </c>
      <c r="C665" s="73">
        <v>192.76011657714841</v>
      </c>
      <c r="D665" s="73">
        <v>4565.72021484375</v>
      </c>
      <c r="E665" s="73">
        <v>0.70715761716277914</v>
      </c>
      <c r="F665" s="73">
        <v>0.23579103357320719</v>
      </c>
    </row>
    <row r="666" spans="2:6" x14ac:dyDescent="0.45">
      <c r="B666" s="72">
        <v>45127</v>
      </c>
      <c r="C666" s="73">
        <v>190.8137512207031</v>
      </c>
      <c r="D666" s="73">
        <v>4534.8701171875</v>
      </c>
      <c r="E666" s="73">
        <v>-1.0097344777576511</v>
      </c>
      <c r="F666" s="73">
        <v>-0.67568962189037407</v>
      </c>
    </row>
    <row r="667" spans="2:6" x14ac:dyDescent="0.45">
      <c r="B667" s="72">
        <v>45128</v>
      </c>
      <c r="C667" s="73">
        <v>189.63804626464841</v>
      </c>
      <c r="D667" s="73">
        <v>4536.33984375</v>
      </c>
      <c r="E667" s="73">
        <v>-0.61615315905341195</v>
      </c>
      <c r="F667" s="73">
        <v>3.240945218980773E-2</v>
      </c>
    </row>
    <row r="668" spans="2:6" x14ac:dyDescent="0.45">
      <c r="B668" s="72">
        <v>45131</v>
      </c>
      <c r="C668" s="73">
        <v>190.4383544921875</v>
      </c>
      <c r="D668" s="73">
        <v>4554.64013671875</v>
      </c>
      <c r="E668" s="73">
        <v>0.42201881073073988</v>
      </c>
      <c r="F668" s="73">
        <v>0.40341538771535568</v>
      </c>
    </row>
    <row r="669" spans="2:6" x14ac:dyDescent="0.45">
      <c r="B669" s="72">
        <v>45132</v>
      </c>
      <c r="C669" s="73">
        <v>191.29786682128909</v>
      </c>
      <c r="D669" s="73">
        <v>4567.4599609375</v>
      </c>
      <c r="E669" s="73">
        <v>0.45133362520040077</v>
      </c>
      <c r="F669" s="73">
        <v>0.28146733515561628</v>
      </c>
    </row>
    <row r="670" spans="2:6" x14ac:dyDescent="0.45">
      <c r="B670" s="72">
        <v>45133</v>
      </c>
      <c r="C670" s="73">
        <v>192.1673278808594</v>
      </c>
      <c r="D670" s="73">
        <v>4566.75</v>
      </c>
      <c r="E670" s="73">
        <v>0.45450640617052951</v>
      </c>
      <c r="F670" s="73">
        <v>-1.5543889679858758E-2</v>
      </c>
    </row>
    <row r="671" spans="2:6" x14ac:dyDescent="0.45">
      <c r="B671" s="72">
        <v>45134</v>
      </c>
      <c r="C671" s="73">
        <v>190.9026794433594</v>
      </c>
      <c r="D671" s="73">
        <v>4537.41015625</v>
      </c>
      <c r="E671" s="73">
        <v>-0.65809752960922507</v>
      </c>
      <c r="F671" s="73">
        <v>-0.64246660644878828</v>
      </c>
    </row>
    <row r="672" spans="2:6" x14ac:dyDescent="0.45">
      <c r="B672" s="72">
        <v>45135</v>
      </c>
      <c r="C672" s="73">
        <v>193.48138427734381</v>
      </c>
      <c r="D672" s="73">
        <v>4582.22998046875</v>
      </c>
      <c r="E672" s="73">
        <v>1.3507955160731555</v>
      </c>
      <c r="F672" s="73">
        <v>0.98778427947523451</v>
      </c>
    </row>
    <row r="673" spans="2:6" x14ac:dyDescent="0.45">
      <c r="B673" s="72">
        <v>45138</v>
      </c>
      <c r="C673" s="73">
        <v>194.09391784667969</v>
      </c>
      <c r="D673" s="73">
        <v>4588.9599609375</v>
      </c>
      <c r="E673" s="73">
        <v>0.31658527337072861</v>
      </c>
      <c r="F673" s="73">
        <v>0.14687129405193122</v>
      </c>
    </row>
    <row r="674" spans="2:6" x14ac:dyDescent="0.45">
      <c r="B674" s="72">
        <v>45139</v>
      </c>
      <c r="C674" s="73">
        <v>193.2640075683594</v>
      </c>
      <c r="D674" s="73">
        <v>4576.72998046875</v>
      </c>
      <c r="E674" s="73">
        <v>-0.4275818055132774</v>
      </c>
      <c r="F674" s="73">
        <v>-0.26650876392156908</v>
      </c>
    </row>
    <row r="675" spans="2:6" x14ac:dyDescent="0.45">
      <c r="B675" s="72">
        <v>45140</v>
      </c>
      <c r="C675" s="73">
        <v>190.27037048339841</v>
      </c>
      <c r="D675" s="73">
        <v>4513.39013671875</v>
      </c>
      <c r="E675" s="73">
        <v>-1.5489884136352217</v>
      </c>
      <c r="F675" s="73">
        <v>-1.3839541336347905</v>
      </c>
    </row>
    <row r="676" spans="2:6" x14ac:dyDescent="0.45">
      <c r="B676" s="72">
        <v>45141</v>
      </c>
      <c r="C676" s="73">
        <v>188.87727355957031</v>
      </c>
      <c r="D676" s="73">
        <v>4501.89013671875</v>
      </c>
      <c r="E676" s="73">
        <v>-0.7321670317290141</v>
      </c>
      <c r="F676" s="73">
        <v>-0.25479738404268204</v>
      </c>
    </row>
    <row r="677" spans="2:6" x14ac:dyDescent="0.45">
      <c r="B677" s="72">
        <v>45142</v>
      </c>
      <c r="C677" s="73">
        <v>179.80735778808591</v>
      </c>
      <c r="D677" s="73">
        <v>4478.02978515625</v>
      </c>
      <c r="E677" s="73">
        <v>-4.8020154042639929</v>
      </c>
      <c r="F677" s="73">
        <v>-0.53000741550505159</v>
      </c>
    </row>
    <row r="678" spans="2:6" x14ac:dyDescent="0.45">
      <c r="B678" s="72">
        <v>45145</v>
      </c>
      <c r="C678" s="73">
        <v>176.7050476074219</v>
      </c>
      <c r="D678" s="73">
        <v>4518.43994140625</v>
      </c>
      <c r="E678" s="73">
        <v>-1.7253521873783817</v>
      </c>
      <c r="F678" s="73">
        <v>0.90240927793627801</v>
      </c>
    </row>
    <row r="679" spans="2:6" x14ac:dyDescent="0.45">
      <c r="B679" s="72">
        <v>45146</v>
      </c>
      <c r="C679" s="73">
        <v>177.64363098144531</v>
      </c>
      <c r="D679" s="73">
        <v>4499.3798828125</v>
      </c>
      <c r="E679" s="73">
        <v>0.53115821349292158</v>
      </c>
      <c r="F679" s="73">
        <v>-0.4218283044793103</v>
      </c>
    </row>
    <row r="680" spans="2:6" x14ac:dyDescent="0.45">
      <c r="B680" s="72">
        <v>45147</v>
      </c>
      <c r="C680" s="73">
        <v>176.05293273925781</v>
      </c>
      <c r="D680" s="73">
        <v>4467.7099609375</v>
      </c>
      <c r="E680" s="73">
        <v>-0.89544344111815999</v>
      </c>
      <c r="F680" s="73">
        <v>-0.70387303805971024</v>
      </c>
    </row>
    <row r="681" spans="2:6" x14ac:dyDescent="0.45">
      <c r="B681" s="72">
        <v>45148</v>
      </c>
      <c r="C681" s="73">
        <v>175.8355712890625</v>
      </c>
      <c r="D681" s="73">
        <v>4468.830078125</v>
      </c>
      <c r="E681" s="73">
        <v>-0.1234636917507248</v>
      </c>
      <c r="F681" s="73">
        <v>2.5071394456976925E-2</v>
      </c>
    </row>
    <row r="682" spans="2:6" x14ac:dyDescent="0.45">
      <c r="B682" s="72">
        <v>45149</v>
      </c>
      <c r="C682" s="73">
        <v>175.89491271972659</v>
      </c>
      <c r="D682" s="73">
        <v>4464.0498046875</v>
      </c>
      <c r="E682" s="73">
        <v>3.3748251408427521E-2</v>
      </c>
      <c r="F682" s="73">
        <v>-0.10696923700230787</v>
      </c>
    </row>
    <row r="683" spans="2:6" x14ac:dyDescent="0.45">
      <c r="B683" s="72">
        <v>45152</v>
      </c>
      <c r="C683" s="73">
        <v>177.54713439941409</v>
      </c>
      <c r="D683" s="73">
        <v>4489.72021484375</v>
      </c>
      <c r="E683" s="73">
        <v>0.93932317549181299</v>
      </c>
      <c r="F683" s="73">
        <v>0.57504757517030658</v>
      </c>
    </row>
    <row r="684" spans="2:6" x14ac:dyDescent="0.45">
      <c r="B684" s="72">
        <v>45153</v>
      </c>
      <c r="C684" s="73">
        <v>175.55854797363281</v>
      </c>
      <c r="D684" s="73">
        <v>4437.85986328125</v>
      </c>
      <c r="E684" s="73">
        <v>-1.1200329605476567</v>
      </c>
      <c r="F684" s="73">
        <v>-1.1550909428841738</v>
      </c>
    </row>
    <row r="685" spans="2:6" x14ac:dyDescent="0.45">
      <c r="B685" s="72">
        <v>45154</v>
      </c>
      <c r="C685" s="73">
        <v>174.6879577636719</v>
      </c>
      <c r="D685" s="73">
        <v>4404.330078125</v>
      </c>
      <c r="E685" s="73">
        <v>-0.49589736302196874</v>
      </c>
      <c r="F685" s="73">
        <v>-0.75553952105776867</v>
      </c>
    </row>
    <row r="686" spans="2:6" x14ac:dyDescent="0.45">
      <c r="B686" s="72">
        <v>45155</v>
      </c>
      <c r="C686" s="73">
        <v>172.14533996582031</v>
      </c>
      <c r="D686" s="73">
        <v>4370.35986328125</v>
      </c>
      <c r="E686" s="73">
        <v>-1.4555197910616102</v>
      </c>
      <c r="F686" s="73">
        <v>-0.77129130290369829</v>
      </c>
    </row>
    <row r="687" spans="2:6" x14ac:dyDescent="0.45">
      <c r="B687" s="72">
        <v>45156</v>
      </c>
      <c r="C687" s="73">
        <v>172.63011169433591</v>
      </c>
      <c r="D687" s="73">
        <v>4369.7099609375</v>
      </c>
      <c r="E687" s="73">
        <v>0.28160607113258962</v>
      </c>
      <c r="F687" s="73">
        <v>-1.4870682600087726E-2</v>
      </c>
    </row>
    <row r="688" spans="2:6" x14ac:dyDescent="0.45">
      <c r="B688" s="72">
        <v>45159</v>
      </c>
      <c r="C688" s="73">
        <v>173.9657287597656</v>
      </c>
      <c r="D688" s="73">
        <v>4399.77001953125</v>
      </c>
      <c r="E688" s="73">
        <v>0.77368719299364397</v>
      </c>
      <c r="F688" s="73">
        <v>0.68791885187959867</v>
      </c>
    </row>
    <row r="689" spans="2:6" x14ac:dyDescent="0.45">
      <c r="B689" s="72">
        <v>45160</v>
      </c>
      <c r="C689" s="73">
        <v>175.3409118652344</v>
      </c>
      <c r="D689" s="73">
        <v>4387.5498046875</v>
      </c>
      <c r="E689" s="73">
        <v>0.79049081406592503</v>
      </c>
      <c r="F689" s="73">
        <v>-0.2777466728829614</v>
      </c>
    </row>
    <row r="690" spans="2:6" x14ac:dyDescent="0.45">
      <c r="B690" s="72">
        <v>45161</v>
      </c>
      <c r="C690" s="73">
        <v>179.18943786621091</v>
      </c>
      <c r="D690" s="73">
        <v>4436.009765625</v>
      </c>
      <c r="E690" s="73">
        <v>2.194881936016424</v>
      </c>
      <c r="F690" s="73">
        <v>1.1044879965972587</v>
      </c>
    </row>
    <row r="691" spans="2:6" x14ac:dyDescent="0.45">
      <c r="B691" s="72">
        <v>45162</v>
      </c>
      <c r="C691" s="73">
        <v>174.4999694824219</v>
      </c>
      <c r="D691" s="73">
        <v>4376.31005859375</v>
      </c>
      <c r="E691" s="73">
        <v>-2.6170450890583896</v>
      </c>
      <c r="F691" s="73">
        <v>-1.3457974663146133</v>
      </c>
    </row>
    <row r="692" spans="2:6" x14ac:dyDescent="0.45">
      <c r="B692" s="72">
        <v>45163</v>
      </c>
      <c r="C692" s="73">
        <v>176.7062072753906</v>
      </c>
      <c r="D692" s="73">
        <v>4405.7099609375</v>
      </c>
      <c r="E692" s="73">
        <v>1.2643198732426919</v>
      </c>
      <c r="F692" s="73">
        <v>0.67179660376250894</v>
      </c>
    </row>
    <row r="693" spans="2:6" x14ac:dyDescent="0.45">
      <c r="B693" s="72">
        <v>45166</v>
      </c>
      <c r="C693" s="73">
        <v>178.26934814453119</v>
      </c>
      <c r="D693" s="73">
        <v>4433.31005859375</v>
      </c>
      <c r="E693" s="73">
        <v>0.88459873212292095</v>
      </c>
      <c r="F693" s="73">
        <v>0.62646197550364491</v>
      </c>
    </row>
    <row r="694" spans="2:6" x14ac:dyDescent="0.45">
      <c r="B694" s="72">
        <v>45167</v>
      </c>
      <c r="C694" s="73">
        <v>182.157470703125</v>
      </c>
      <c r="D694" s="73">
        <v>4497.6298828125</v>
      </c>
      <c r="E694" s="73">
        <v>2.1810381869133977</v>
      </c>
      <c r="F694" s="73">
        <v>1.4508307194546211</v>
      </c>
    </row>
    <row r="695" spans="2:6" x14ac:dyDescent="0.45">
      <c r="B695" s="72">
        <v>45168</v>
      </c>
      <c r="C695" s="73">
        <v>185.64982604980469</v>
      </c>
      <c r="D695" s="73">
        <v>4514.8701171875</v>
      </c>
      <c r="E695" s="73">
        <v>1.9172177419895187</v>
      </c>
      <c r="F695" s="73">
        <v>0.3833182103508026</v>
      </c>
    </row>
    <row r="696" spans="2:6" x14ac:dyDescent="0.45">
      <c r="B696" s="72">
        <v>45169</v>
      </c>
      <c r="C696" s="73">
        <v>185.86749267578119</v>
      </c>
      <c r="D696" s="73">
        <v>4507.66015625</v>
      </c>
      <c r="E696" s="73">
        <v>0.11724580119891748</v>
      </c>
      <c r="F696" s="73">
        <v>-0.15969365120942491</v>
      </c>
    </row>
    <row r="697" spans="2:6" x14ac:dyDescent="0.45">
      <c r="B697" s="72">
        <v>45170</v>
      </c>
      <c r="C697" s="73">
        <v>187.44053649902341</v>
      </c>
      <c r="D697" s="73">
        <v>4515.77001953125</v>
      </c>
      <c r="E697" s="73">
        <v>0.84632541204294753</v>
      </c>
      <c r="F697" s="73">
        <v>0.17991292600010311</v>
      </c>
    </row>
    <row r="698" spans="2:6" x14ac:dyDescent="0.45">
      <c r="B698" s="72">
        <v>45174</v>
      </c>
      <c r="C698" s="73">
        <v>187.67799377441409</v>
      </c>
      <c r="D698" s="73">
        <v>4496.830078125</v>
      </c>
      <c r="E698" s="73">
        <v>0.12668405662181748</v>
      </c>
      <c r="F698" s="73">
        <v>-0.4194177587506065</v>
      </c>
    </row>
    <row r="699" spans="2:6" x14ac:dyDescent="0.45">
      <c r="B699" s="72">
        <v>45175</v>
      </c>
      <c r="C699" s="73">
        <v>180.96037292480469</v>
      </c>
      <c r="D699" s="73">
        <v>4465.47998046875</v>
      </c>
      <c r="E699" s="73">
        <v>-3.5793332582635506</v>
      </c>
      <c r="F699" s="73">
        <v>-0.69715993514528618</v>
      </c>
    </row>
    <row r="700" spans="2:6" x14ac:dyDescent="0.45">
      <c r="B700" s="72">
        <v>45176</v>
      </c>
      <c r="C700" s="73">
        <v>175.66737365722659</v>
      </c>
      <c r="D700" s="73">
        <v>4451.14013671875</v>
      </c>
      <c r="E700" s="73">
        <v>-2.9249493588176412</v>
      </c>
      <c r="F700" s="73">
        <v>-0.32112659361860363</v>
      </c>
    </row>
    <row r="701" spans="2:6" x14ac:dyDescent="0.45">
      <c r="B701" s="72">
        <v>45177</v>
      </c>
      <c r="C701" s="73">
        <v>176.28076171875</v>
      </c>
      <c r="D701" s="73">
        <v>4457.490234375</v>
      </c>
      <c r="E701" s="73">
        <v>0.34917585932621176</v>
      </c>
      <c r="F701" s="73">
        <v>0.14266227216406246</v>
      </c>
    </row>
    <row r="702" spans="2:6" x14ac:dyDescent="0.45">
      <c r="B702" s="72">
        <v>45180</v>
      </c>
      <c r="C702" s="73">
        <v>177.44822692871091</v>
      </c>
      <c r="D702" s="73">
        <v>4487.4599609375</v>
      </c>
      <c r="E702" s="73">
        <v>0.66227601842541173</v>
      </c>
      <c r="F702" s="73">
        <v>0.67234531062752012</v>
      </c>
    </row>
    <row r="703" spans="2:6" x14ac:dyDescent="0.45">
      <c r="B703" s="72">
        <v>45181</v>
      </c>
      <c r="C703" s="73">
        <v>174.42083740234381</v>
      </c>
      <c r="D703" s="73">
        <v>4461.89990234375</v>
      </c>
      <c r="E703" s="73">
        <v>-1.7060691891744528</v>
      </c>
      <c r="F703" s="73">
        <v>-0.56958856048289208</v>
      </c>
    </row>
    <row r="704" spans="2:6" x14ac:dyDescent="0.45">
      <c r="B704" s="72">
        <v>45182</v>
      </c>
      <c r="C704" s="73">
        <v>172.35310363769531</v>
      </c>
      <c r="D704" s="73">
        <v>4467.43994140625</v>
      </c>
      <c r="E704" s="73">
        <v>-1.1854855162051314</v>
      </c>
      <c r="F704" s="73">
        <v>0.12416323054647016</v>
      </c>
    </row>
    <row r="705" spans="2:6" x14ac:dyDescent="0.45">
      <c r="B705" s="72">
        <v>45183</v>
      </c>
      <c r="C705" s="73">
        <v>173.86677551269531</v>
      </c>
      <c r="D705" s="73">
        <v>4505.10009765625</v>
      </c>
      <c r="E705" s="73">
        <v>0.87823882660209573</v>
      </c>
      <c r="F705" s="73">
        <v>0.84299188671679293</v>
      </c>
    </row>
    <row r="706" spans="2:6" x14ac:dyDescent="0.45">
      <c r="B706" s="72">
        <v>45184</v>
      </c>
      <c r="C706" s="73">
        <v>173.14457702636719</v>
      </c>
      <c r="D706" s="73">
        <v>4450.31982421875</v>
      </c>
      <c r="E706" s="73">
        <v>-0.41537463624002902</v>
      </c>
      <c r="F706" s="73">
        <v>-1.2159612938677844</v>
      </c>
    </row>
    <row r="707" spans="2:6" x14ac:dyDescent="0.45">
      <c r="B707" s="72">
        <v>45187</v>
      </c>
      <c r="C707" s="73">
        <v>176.0730285644531</v>
      </c>
      <c r="D707" s="73">
        <v>4453.52978515625</v>
      </c>
      <c r="E707" s="73">
        <v>1.6913330976805252</v>
      </c>
      <c r="F707" s="73">
        <v>7.2128769712942464E-2</v>
      </c>
    </row>
    <row r="708" spans="2:6" x14ac:dyDescent="0.45">
      <c r="B708" s="72">
        <v>45188</v>
      </c>
      <c r="C708" s="73">
        <v>177.16130065917969</v>
      </c>
      <c r="D708" s="73">
        <v>4443.9501953125</v>
      </c>
      <c r="E708" s="73">
        <v>0.61807995443676766</v>
      </c>
      <c r="F708" s="73">
        <v>-0.2151010615372817</v>
      </c>
    </row>
    <row r="709" spans="2:6" x14ac:dyDescent="0.45">
      <c r="B709" s="72">
        <v>45189</v>
      </c>
      <c r="C709" s="73">
        <v>173.61946105957031</v>
      </c>
      <c r="D709" s="73">
        <v>4402.2001953125</v>
      </c>
      <c r="E709" s="73">
        <v>-1.9992174286545317</v>
      </c>
      <c r="F709" s="73">
        <v>-0.93947947580595992</v>
      </c>
    </row>
    <row r="710" spans="2:6" x14ac:dyDescent="0.45">
      <c r="B710" s="72">
        <v>45190</v>
      </c>
      <c r="C710" s="73">
        <v>172.0760803222656</v>
      </c>
      <c r="D710" s="73">
        <v>4330</v>
      </c>
      <c r="E710" s="73">
        <v>-0.88894455027432873</v>
      </c>
      <c r="F710" s="73">
        <v>-1.6400934103219411</v>
      </c>
    </row>
    <row r="711" spans="2:6" x14ac:dyDescent="0.45">
      <c r="B711" s="72">
        <v>45191</v>
      </c>
      <c r="C711" s="73">
        <v>172.92692565917969</v>
      </c>
      <c r="D711" s="73">
        <v>4320.06005859375</v>
      </c>
      <c r="E711" s="73">
        <v>0.49445880875518267</v>
      </c>
      <c r="F711" s="73">
        <v>-0.22955984771939608</v>
      </c>
    </row>
    <row r="712" spans="2:6" x14ac:dyDescent="0.45">
      <c r="B712" s="72">
        <v>45194</v>
      </c>
      <c r="C712" s="73">
        <v>174.20318603515619</v>
      </c>
      <c r="D712" s="73">
        <v>4337.43994140625</v>
      </c>
      <c r="E712" s="73">
        <v>0.73803450278868699</v>
      </c>
      <c r="F712" s="73">
        <v>0.40230650909416354</v>
      </c>
    </row>
    <row r="713" spans="2:6" x14ac:dyDescent="0.45">
      <c r="B713" s="72">
        <v>45195</v>
      </c>
      <c r="C713" s="73">
        <v>170.12709045410159</v>
      </c>
      <c r="D713" s="73">
        <v>4273.52978515625</v>
      </c>
      <c r="E713" s="73">
        <v>-2.339851339017418</v>
      </c>
      <c r="F713" s="73">
        <v>-1.4734533990868215</v>
      </c>
    </row>
    <row r="714" spans="2:6" x14ac:dyDescent="0.45">
      <c r="B714" s="72">
        <v>45196</v>
      </c>
      <c r="C714" s="73">
        <v>168.61338806152341</v>
      </c>
      <c r="D714" s="73">
        <v>4274.509765625</v>
      </c>
      <c r="E714" s="73">
        <v>-0.88974800458752057</v>
      </c>
      <c r="F714" s="73">
        <v>2.2931406074522265E-2</v>
      </c>
    </row>
    <row r="715" spans="2:6" x14ac:dyDescent="0.45">
      <c r="B715" s="72">
        <v>45197</v>
      </c>
      <c r="C715" s="73">
        <v>168.8706359863281</v>
      </c>
      <c r="D715" s="73">
        <v>4299.7001953125</v>
      </c>
      <c r="E715" s="73">
        <v>0.15256672543155769</v>
      </c>
      <c r="F715" s="73">
        <v>0.58931739705165853</v>
      </c>
    </row>
    <row r="716" spans="2:6" x14ac:dyDescent="0.45">
      <c r="B716" s="72">
        <v>45198</v>
      </c>
      <c r="C716" s="73">
        <v>169.38508605957031</v>
      </c>
      <c r="D716" s="73">
        <v>4288.0498046875</v>
      </c>
      <c r="E716" s="73">
        <v>0.3046415205565145</v>
      </c>
      <c r="F716" s="73">
        <v>-0.27095820861420261</v>
      </c>
    </row>
    <row r="717" spans="2:6" x14ac:dyDescent="0.45">
      <c r="B717" s="72">
        <v>45201</v>
      </c>
      <c r="C717" s="73">
        <v>171.8979797363281</v>
      </c>
      <c r="D717" s="73">
        <v>4288.39013671875</v>
      </c>
      <c r="E717" s="73">
        <v>1.483538920229388</v>
      </c>
      <c r="F717" s="73">
        <v>7.9367555590792449E-3</v>
      </c>
    </row>
    <row r="718" spans="2:6" x14ac:dyDescent="0.45">
      <c r="B718" s="72">
        <v>45202</v>
      </c>
      <c r="C718" s="73">
        <v>170.5623779296875</v>
      </c>
      <c r="D718" s="73">
        <v>4229.4501953125</v>
      </c>
      <c r="E718" s="73">
        <v>-0.7769735331905947</v>
      </c>
      <c r="F718" s="73">
        <v>-1.3744071674259506</v>
      </c>
    </row>
    <row r="719" spans="2:6" x14ac:dyDescent="0.45">
      <c r="B719" s="72">
        <v>45203</v>
      </c>
      <c r="C719" s="73">
        <v>171.8089599609375</v>
      </c>
      <c r="D719" s="73">
        <v>4263.75</v>
      </c>
      <c r="E719" s="73">
        <v>0.73086576675418513</v>
      </c>
      <c r="F719" s="73">
        <v>0.81097549571607086</v>
      </c>
    </row>
    <row r="720" spans="2:6" x14ac:dyDescent="0.45">
      <c r="B720" s="72">
        <v>45204</v>
      </c>
      <c r="C720" s="73">
        <v>173.04563903808591</v>
      </c>
      <c r="D720" s="73">
        <v>4258.18994140625</v>
      </c>
      <c r="E720" s="73">
        <v>0.7197989426334761</v>
      </c>
      <c r="F720" s="73">
        <v>-0.1304030159777203</v>
      </c>
    </row>
    <row r="721" spans="2:6" x14ac:dyDescent="0.45">
      <c r="B721" s="72">
        <v>45205</v>
      </c>
      <c r="C721" s="73">
        <v>175.59814453125</v>
      </c>
      <c r="D721" s="73">
        <v>4308.5</v>
      </c>
      <c r="E721" s="73">
        <v>1.4750475697352439</v>
      </c>
      <c r="F721" s="73">
        <v>1.1814893014644445</v>
      </c>
    </row>
    <row r="722" spans="2:6" x14ac:dyDescent="0.45">
      <c r="B722" s="72">
        <v>45208</v>
      </c>
      <c r="C722" s="73">
        <v>177.0821533203125</v>
      </c>
      <c r="D722" s="73">
        <v>4335.66015625</v>
      </c>
      <c r="E722" s="73">
        <v>0.84511644073688164</v>
      </c>
      <c r="F722" s="73">
        <v>0.63038542996403102</v>
      </c>
    </row>
    <row r="723" spans="2:6" x14ac:dyDescent="0.45">
      <c r="B723" s="72">
        <v>45209</v>
      </c>
      <c r="C723" s="73">
        <v>176.48857116699219</v>
      </c>
      <c r="D723" s="73">
        <v>4358.240234375</v>
      </c>
      <c r="E723" s="73">
        <v>-0.33520156728985562</v>
      </c>
      <c r="F723" s="73">
        <v>0.52079907813922244</v>
      </c>
    </row>
    <row r="724" spans="2:6" x14ac:dyDescent="0.45">
      <c r="B724" s="72">
        <v>45210</v>
      </c>
      <c r="C724" s="73">
        <v>177.88349914550781</v>
      </c>
      <c r="D724" s="73">
        <v>4376.9501953125</v>
      </c>
      <c r="E724" s="73">
        <v>0.7903786456493922</v>
      </c>
      <c r="F724" s="73">
        <v>0.42930081710337298</v>
      </c>
    </row>
    <row r="725" spans="2:6" x14ac:dyDescent="0.45">
      <c r="B725" s="72">
        <v>45211</v>
      </c>
      <c r="C725" s="73">
        <v>178.7838439941406</v>
      </c>
      <c r="D725" s="73">
        <v>4349.60986328125</v>
      </c>
      <c r="E725" s="73">
        <v>0.50614298288358395</v>
      </c>
      <c r="F725" s="73">
        <v>-0.62464343461184901</v>
      </c>
    </row>
    <row r="726" spans="2:6" x14ac:dyDescent="0.45">
      <c r="B726" s="72">
        <v>45212</v>
      </c>
      <c r="C726" s="73">
        <v>176.94366455078119</v>
      </c>
      <c r="D726" s="73">
        <v>4327.77978515625</v>
      </c>
      <c r="E726" s="73">
        <v>-1.0292761371769821</v>
      </c>
      <c r="F726" s="73">
        <v>-0.5018858888767519</v>
      </c>
    </row>
    <row r="727" spans="2:6" x14ac:dyDescent="0.45">
      <c r="B727" s="72">
        <v>45215</v>
      </c>
      <c r="C727" s="73">
        <v>176.81498718261719</v>
      </c>
      <c r="D727" s="73">
        <v>4373.6298828125</v>
      </c>
      <c r="E727" s="73">
        <v>-7.2722224042709449E-2</v>
      </c>
      <c r="F727" s="73">
        <v>1.059436938392988</v>
      </c>
    </row>
    <row r="728" spans="2:6" x14ac:dyDescent="0.45">
      <c r="B728" s="72">
        <v>45216</v>
      </c>
      <c r="C728" s="73">
        <v>175.26176452636719</v>
      </c>
      <c r="D728" s="73">
        <v>4373.2001953125</v>
      </c>
      <c r="E728" s="73">
        <v>-0.87844513691919257</v>
      </c>
      <c r="F728" s="73">
        <v>-9.824505308242415E-3</v>
      </c>
    </row>
    <row r="729" spans="2:6" x14ac:dyDescent="0.45">
      <c r="B729" s="72">
        <v>45217</v>
      </c>
      <c r="C729" s="73">
        <v>173.9657287597656</v>
      </c>
      <c r="D729" s="73">
        <v>4314.60009765625</v>
      </c>
      <c r="E729" s="73">
        <v>-0.73948574585223081</v>
      </c>
      <c r="F729" s="73">
        <v>-1.3399820506516447</v>
      </c>
    </row>
    <row r="730" spans="2:6" x14ac:dyDescent="0.45">
      <c r="B730" s="72">
        <v>45218</v>
      </c>
      <c r="C730" s="73">
        <v>173.58978271484381</v>
      </c>
      <c r="D730" s="73">
        <v>4278</v>
      </c>
      <c r="E730" s="73">
        <v>-0.21610350935323819</v>
      </c>
      <c r="F730" s="73">
        <v>-0.84828481963210578</v>
      </c>
    </row>
    <row r="731" spans="2:6" x14ac:dyDescent="0.45">
      <c r="B731" s="72">
        <v>45219</v>
      </c>
      <c r="C731" s="73">
        <v>171.03729248046881</v>
      </c>
      <c r="D731" s="73">
        <v>4224.16015625</v>
      </c>
      <c r="E731" s="73">
        <v>-1.470415017782456</v>
      </c>
      <c r="F731" s="73">
        <v>-1.2585283719027562</v>
      </c>
    </row>
    <row r="732" spans="2:6" x14ac:dyDescent="0.45">
      <c r="B732" s="72">
        <v>45222</v>
      </c>
      <c r="C732" s="73">
        <v>171.15599060058591</v>
      </c>
      <c r="D732" s="73">
        <v>4217.0400390625</v>
      </c>
      <c r="E732" s="73">
        <v>6.9398970479284117E-2</v>
      </c>
      <c r="F732" s="73">
        <v>-0.16855698941634634</v>
      </c>
    </row>
    <row r="733" spans="2:6" x14ac:dyDescent="0.45">
      <c r="B733" s="72">
        <v>45223</v>
      </c>
      <c r="C733" s="73">
        <v>171.59130859375</v>
      </c>
      <c r="D733" s="73">
        <v>4247.68017578125</v>
      </c>
      <c r="E733" s="73">
        <v>0.25433991041539095</v>
      </c>
      <c r="F733" s="73">
        <v>0.72657922227272742</v>
      </c>
    </row>
    <row r="734" spans="2:6" x14ac:dyDescent="0.45">
      <c r="B734" s="72">
        <v>45224</v>
      </c>
      <c r="C734" s="73">
        <v>169.27626037597659</v>
      </c>
      <c r="D734" s="73">
        <v>4186.77001953125</v>
      </c>
      <c r="E734" s="73">
        <v>-1.3491640321098064</v>
      </c>
      <c r="F734" s="73">
        <v>-1.4339628627712542</v>
      </c>
    </row>
    <row r="735" spans="2:6" x14ac:dyDescent="0.45">
      <c r="B735" s="72">
        <v>45225</v>
      </c>
      <c r="C735" s="73">
        <v>165.1111145019531</v>
      </c>
      <c r="D735" s="73">
        <v>4137.22998046875</v>
      </c>
      <c r="E735" s="73">
        <v>-2.460561135254502</v>
      </c>
      <c r="F735" s="73">
        <v>-1.1832519778109618</v>
      </c>
    </row>
    <row r="736" spans="2:6" x14ac:dyDescent="0.45">
      <c r="B736" s="72">
        <v>45226</v>
      </c>
      <c r="C736" s="73">
        <v>166.42694091796881</v>
      </c>
      <c r="D736" s="73">
        <v>4117.3701171875</v>
      </c>
      <c r="E736" s="73">
        <v>0.79693388297015222</v>
      </c>
      <c r="F736" s="73">
        <v>-0.48002802297685276</v>
      </c>
    </row>
    <row r="737" spans="2:6" x14ac:dyDescent="0.45">
      <c r="B737" s="72">
        <v>45229</v>
      </c>
      <c r="C737" s="73">
        <v>168.4748840332031</v>
      </c>
      <c r="D737" s="73">
        <v>4166.81982421875</v>
      </c>
      <c r="E737" s="73">
        <v>1.2305358158591018</v>
      </c>
      <c r="F737" s="73">
        <v>1.2010022325859904</v>
      </c>
    </row>
    <row r="738" spans="2:6" x14ac:dyDescent="0.45">
      <c r="B738" s="72">
        <v>45230</v>
      </c>
      <c r="C738" s="73">
        <v>168.94978332519531</v>
      </c>
      <c r="D738" s="73">
        <v>4193.7998046875</v>
      </c>
      <c r="E738" s="73">
        <v>0.28188135858790986</v>
      </c>
      <c r="F738" s="73">
        <v>0.64749573072333533</v>
      </c>
    </row>
    <row r="739" spans="2:6" x14ac:dyDescent="0.45">
      <c r="B739" s="72">
        <v>45231</v>
      </c>
      <c r="C739" s="73">
        <v>172.11564636230469</v>
      </c>
      <c r="D739" s="73">
        <v>4237.85986328125</v>
      </c>
      <c r="E739" s="73">
        <v>1.8738485334519162</v>
      </c>
      <c r="F739" s="73">
        <v>1.0505999486313922</v>
      </c>
    </row>
    <row r="740" spans="2:6" x14ac:dyDescent="0.45">
      <c r="B740" s="72">
        <v>45232</v>
      </c>
      <c r="C740" s="73">
        <v>175.67730712890619</v>
      </c>
      <c r="D740" s="73">
        <v>4317.77978515625</v>
      </c>
      <c r="E740" s="73">
        <v>2.0693416559608879</v>
      </c>
      <c r="F740" s="73">
        <v>1.885855702012762</v>
      </c>
    </row>
    <row r="741" spans="2:6" x14ac:dyDescent="0.45">
      <c r="B741" s="72">
        <v>45233</v>
      </c>
      <c r="C741" s="73">
        <v>174.76708984375</v>
      </c>
      <c r="D741" s="73">
        <v>4358.33984375</v>
      </c>
      <c r="E741" s="73">
        <v>-0.51811887376456145</v>
      </c>
      <c r="F741" s="73">
        <v>0.93937302530313627</v>
      </c>
    </row>
    <row r="742" spans="2:6" x14ac:dyDescent="0.45">
      <c r="B742" s="72">
        <v>45236</v>
      </c>
      <c r="C742" s="73">
        <v>177.31959533691409</v>
      </c>
      <c r="D742" s="73">
        <v>4365.97998046875</v>
      </c>
      <c r="E742" s="73">
        <v>1.4605183936209798</v>
      </c>
      <c r="F742" s="73">
        <v>0.17529924220356374</v>
      </c>
    </row>
    <row r="743" spans="2:6" x14ac:dyDescent="0.45">
      <c r="B743" s="72">
        <v>45237</v>
      </c>
      <c r="C743" s="73">
        <v>179.8819580078125</v>
      </c>
      <c r="D743" s="73">
        <v>4378.3798828125</v>
      </c>
      <c r="E743" s="73">
        <v>1.4450533039114033</v>
      </c>
      <c r="F743" s="73">
        <v>0.28401189192852616</v>
      </c>
    </row>
    <row r="744" spans="2:6" x14ac:dyDescent="0.45">
      <c r="B744" s="72">
        <v>45238</v>
      </c>
      <c r="C744" s="73">
        <v>180.9405822753906</v>
      </c>
      <c r="D744" s="73">
        <v>4382.77978515625</v>
      </c>
      <c r="E744" s="73">
        <v>0.58851053174111545</v>
      </c>
      <c r="F744" s="73">
        <v>0.10049156221052513</v>
      </c>
    </row>
    <row r="745" spans="2:6" x14ac:dyDescent="0.45">
      <c r="B745" s="72">
        <v>45239</v>
      </c>
      <c r="C745" s="73">
        <v>180.4656982421875</v>
      </c>
      <c r="D745" s="73">
        <v>4347.35009765625</v>
      </c>
      <c r="E745" s="73">
        <v>-0.26245302586698216</v>
      </c>
      <c r="F745" s="73">
        <v>-0.80838393067328429</v>
      </c>
    </row>
    <row r="746" spans="2:6" x14ac:dyDescent="0.45">
      <c r="B746" s="72">
        <v>45240</v>
      </c>
      <c r="C746" s="73">
        <v>184.65611267089841</v>
      </c>
      <c r="D746" s="73">
        <v>4415.240234375</v>
      </c>
      <c r="E746" s="73">
        <v>2.3220005073137484</v>
      </c>
      <c r="F746" s="73">
        <v>1.5616441094852496</v>
      </c>
    </row>
    <row r="747" spans="2:6" x14ac:dyDescent="0.45">
      <c r="B747" s="72">
        <v>45243</v>
      </c>
      <c r="C747" s="73">
        <v>183.0710754394531</v>
      </c>
      <c r="D747" s="73">
        <v>4411.5498046875</v>
      </c>
      <c r="E747" s="73">
        <v>-0.85837246789128852</v>
      </c>
      <c r="F747" s="73">
        <v>-8.3583893324035152E-2</v>
      </c>
    </row>
    <row r="748" spans="2:6" x14ac:dyDescent="0.45">
      <c r="B748" s="72">
        <v>45244</v>
      </c>
      <c r="C748" s="73">
        <v>185.6863708496094</v>
      </c>
      <c r="D748" s="73">
        <v>4495.7001953125</v>
      </c>
      <c r="E748" s="73">
        <v>1.4285683327518672</v>
      </c>
      <c r="F748" s="73">
        <v>1.9075017703661823</v>
      </c>
    </row>
    <row r="749" spans="2:6" x14ac:dyDescent="0.45">
      <c r="B749" s="72">
        <v>45245</v>
      </c>
      <c r="C749" s="73">
        <v>186.25103759765619</v>
      </c>
      <c r="D749" s="73">
        <v>4502.8798828125</v>
      </c>
      <c r="E749" s="73">
        <v>0.3040970349429184</v>
      </c>
      <c r="F749" s="73">
        <v>0.15970120755575135</v>
      </c>
    </row>
    <row r="750" spans="2:6" x14ac:dyDescent="0.45">
      <c r="B750" s="72">
        <v>45246</v>
      </c>
      <c r="C750" s="73">
        <v>187.9351501464844</v>
      </c>
      <c r="D750" s="73">
        <v>4508.240234375</v>
      </c>
      <c r="E750" s="73">
        <v>0.90421646534193378</v>
      </c>
      <c r="F750" s="73">
        <v>0.11904273935798848</v>
      </c>
    </row>
    <row r="751" spans="2:6" x14ac:dyDescent="0.45">
      <c r="B751" s="72">
        <v>45247</v>
      </c>
      <c r="C751" s="73">
        <v>187.91534423828119</v>
      </c>
      <c r="D751" s="73">
        <v>4514.02001953125</v>
      </c>
      <c r="E751" s="73">
        <v>-1.0538692835149188E-2</v>
      </c>
      <c r="F751" s="73">
        <v>0.12820490603360213</v>
      </c>
    </row>
    <row r="752" spans="2:6" x14ac:dyDescent="0.45">
      <c r="B752" s="72">
        <v>45250</v>
      </c>
      <c r="C752" s="73">
        <v>189.65885925292969</v>
      </c>
      <c r="D752" s="73">
        <v>4547.3798828125</v>
      </c>
      <c r="E752" s="73">
        <v>0.92781939746104936</v>
      </c>
      <c r="F752" s="73">
        <v>0.73902780973298388</v>
      </c>
    </row>
    <row r="753" spans="2:6" x14ac:dyDescent="0.45">
      <c r="B753" s="72">
        <v>45251</v>
      </c>
      <c r="C753" s="73">
        <v>188.8564453125</v>
      </c>
      <c r="D753" s="73">
        <v>4538.18994140625</v>
      </c>
      <c r="E753" s="73">
        <v>-0.42308276217120078</v>
      </c>
      <c r="F753" s="73">
        <v>-0.20209310950652926</v>
      </c>
    </row>
    <row r="754" spans="2:6" x14ac:dyDescent="0.45">
      <c r="B754" s="72">
        <v>45252</v>
      </c>
      <c r="C754" s="73">
        <v>189.52018737792969</v>
      </c>
      <c r="D754" s="73">
        <v>4556.6201171875</v>
      </c>
      <c r="E754" s="73">
        <v>0.35145322381313626</v>
      </c>
      <c r="F754" s="73">
        <v>0.406112922094648</v>
      </c>
    </row>
    <row r="755" spans="2:6" x14ac:dyDescent="0.45">
      <c r="B755" s="72">
        <v>45254</v>
      </c>
      <c r="C755" s="73">
        <v>188.19273376464841</v>
      </c>
      <c r="D755" s="73">
        <v>4559.33984375</v>
      </c>
      <c r="E755" s="73">
        <v>-0.70042860955711328</v>
      </c>
      <c r="F755" s="73">
        <v>5.9687366788407914E-2</v>
      </c>
    </row>
    <row r="756" spans="2:6" x14ac:dyDescent="0.45">
      <c r="B756" s="72">
        <v>45257</v>
      </c>
      <c r="C756" s="73">
        <v>188.014404296875</v>
      </c>
      <c r="D756" s="73">
        <v>4550.43017578125</v>
      </c>
      <c r="E756" s="73">
        <v>-9.4758954932039341E-2</v>
      </c>
      <c r="F756" s="73">
        <v>-0.19541574600900891</v>
      </c>
    </row>
    <row r="757" spans="2:6" x14ac:dyDescent="0.45">
      <c r="B757" s="72">
        <v>45258</v>
      </c>
      <c r="C757" s="73">
        <v>188.61869812011719</v>
      </c>
      <c r="D757" s="73">
        <v>4554.89013671875</v>
      </c>
      <c r="E757" s="73">
        <v>0.32140825885234037</v>
      </c>
      <c r="F757" s="73">
        <v>9.8011853060331333E-2</v>
      </c>
    </row>
    <row r="758" spans="2:6" x14ac:dyDescent="0.45">
      <c r="B758" s="72">
        <v>45259</v>
      </c>
      <c r="C758" s="73">
        <v>187.59834289550781</v>
      </c>
      <c r="D758" s="73">
        <v>4550.580078125</v>
      </c>
      <c r="E758" s="73">
        <v>-0.5409618636852187</v>
      </c>
      <c r="F758" s="73">
        <v>-9.4624863923831182E-2</v>
      </c>
    </row>
    <row r="759" spans="2:6" x14ac:dyDescent="0.45">
      <c r="B759" s="72">
        <v>45260</v>
      </c>
      <c r="C759" s="73">
        <v>188.17289733886719</v>
      </c>
      <c r="D759" s="73">
        <v>4567.7998046875</v>
      </c>
      <c r="E759" s="73">
        <v>0.30626840007823564</v>
      </c>
      <c r="F759" s="73">
        <v>0.37840728581564065</v>
      </c>
    </row>
    <row r="760" spans="2:6" x14ac:dyDescent="0.45">
      <c r="B760" s="72">
        <v>45261</v>
      </c>
      <c r="C760" s="73">
        <v>189.4508361816406</v>
      </c>
      <c r="D760" s="73">
        <v>4594.6298828125</v>
      </c>
      <c r="E760" s="73">
        <v>0.67913013023976898</v>
      </c>
      <c r="F760" s="73">
        <v>0.58737421236076948</v>
      </c>
    </row>
    <row r="761" spans="2:6" x14ac:dyDescent="0.45">
      <c r="B761" s="72">
        <v>45264</v>
      </c>
      <c r="C761" s="73">
        <v>187.65776062011719</v>
      </c>
      <c r="D761" s="73">
        <v>4569.77978515625</v>
      </c>
      <c r="E761" s="73">
        <v>-0.94645956579693102</v>
      </c>
      <c r="F761" s="73">
        <v>-0.54085091269721053</v>
      </c>
    </row>
    <row r="762" spans="2:6" x14ac:dyDescent="0.45">
      <c r="B762" s="72">
        <v>45265</v>
      </c>
      <c r="C762" s="73">
        <v>191.61045837402341</v>
      </c>
      <c r="D762" s="73">
        <v>4567.18017578125</v>
      </c>
      <c r="E762" s="73">
        <v>2.1063332210959462</v>
      </c>
      <c r="F762" s="73">
        <v>-5.6886972616143616E-2</v>
      </c>
    </row>
    <row r="763" spans="2:6" x14ac:dyDescent="0.45">
      <c r="B763" s="72">
        <v>45266</v>
      </c>
      <c r="C763" s="73">
        <v>190.520751953125</v>
      </c>
      <c r="D763" s="73">
        <v>4549.33984375</v>
      </c>
      <c r="E763" s="73">
        <v>-0.5687092605202726</v>
      </c>
      <c r="F763" s="73">
        <v>-0.39062028088695522</v>
      </c>
    </row>
    <row r="764" spans="2:6" x14ac:dyDescent="0.45">
      <c r="B764" s="72">
        <v>45267</v>
      </c>
      <c r="C764" s="73">
        <v>192.45249938964841</v>
      </c>
      <c r="D764" s="73">
        <v>4585.58984375</v>
      </c>
      <c r="E764" s="73">
        <v>1.0139301974824599</v>
      </c>
      <c r="F764" s="73">
        <v>0.79681890658929166</v>
      </c>
    </row>
    <row r="765" spans="2:6" x14ac:dyDescent="0.45">
      <c r="B765" s="72">
        <v>45268</v>
      </c>
      <c r="C765" s="73">
        <v>193.8790283203125</v>
      </c>
      <c r="D765" s="73">
        <v>4604.3701171875</v>
      </c>
      <c r="E765" s="73">
        <v>0.74123689491600864</v>
      </c>
      <c r="F765" s="73">
        <v>0.40954978699407896</v>
      </c>
    </row>
    <row r="766" spans="2:6" x14ac:dyDescent="0.45">
      <c r="B766" s="72">
        <v>45271</v>
      </c>
      <c r="C766" s="73">
        <v>191.3726806640625</v>
      </c>
      <c r="D766" s="73">
        <v>4622.43994140625</v>
      </c>
      <c r="E766" s="73">
        <v>-1.2927378881377516</v>
      </c>
      <c r="F766" s="73">
        <v>0.3924494286698943</v>
      </c>
    </row>
    <row r="767" spans="2:6" x14ac:dyDescent="0.45">
      <c r="B767" s="72">
        <v>45272</v>
      </c>
      <c r="C767" s="73">
        <v>192.8883972167969</v>
      </c>
      <c r="D767" s="73">
        <v>4643.7001953125</v>
      </c>
      <c r="E767" s="73">
        <v>0.79202347350462166</v>
      </c>
      <c r="F767" s="73">
        <v>0.45993575202152304</v>
      </c>
    </row>
    <row r="768" spans="2:6" x14ac:dyDescent="0.45">
      <c r="B768" s="72">
        <v>45273</v>
      </c>
      <c r="C768" s="73">
        <v>196.10797119140619</v>
      </c>
      <c r="D768" s="73">
        <v>4707.08984375</v>
      </c>
      <c r="E768" s="73">
        <v>1.6691382276304845</v>
      </c>
      <c r="F768" s="73">
        <v>1.3650676351045998</v>
      </c>
    </row>
    <row r="769" spans="2:6" x14ac:dyDescent="0.45">
      <c r="B769" s="72">
        <v>45274</v>
      </c>
      <c r="C769" s="73">
        <v>196.256591796875</v>
      </c>
      <c r="D769" s="73">
        <v>4719.5498046875</v>
      </c>
      <c r="E769" s="73">
        <v>7.5785091531921367E-2</v>
      </c>
      <c r="F769" s="73">
        <v>0.26470624846992585</v>
      </c>
    </row>
    <row r="770" spans="2:6" x14ac:dyDescent="0.45">
      <c r="B770" s="72">
        <v>45275</v>
      </c>
      <c r="C770" s="73">
        <v>195.72163391113281</v>
      </c>
      <c r="D770" s="73">
        <v>4719.18994140625</v>
      </c>
      <c r="E770" s="73">
        <v>-0.27258084981719444</v>
      </c>
      <c r="F770" s="73">
        <v>-7.62494933082003E-3</v>
      </c>
    </row>
    <row r="771" spans="2:6" x14ac:dyDescent="0.45">
      <c r="B771" s="72">
        <v>45278</v>
      </c>
      <c r="C771" s="73">
        <v>194.05731201171881</v>
      </c>
      <c r="D771" s="73">
        <v>4740.56005859375</v>
      </c>
      <c r="E771" s="73">
        <v>-0.85035152535548608</v>
      </c>
      <c r="F771" s="73">
        <v>0.45283443669004164</v>
      </c>
    </row>
    <row r="772" spans="2:6" x14ac:dyDescent="0.45">
      <c r="B772" s="72">
        <v>45279</v>
      </c>
      <c r="C772" s="73">
        <v>195.09751892089841</v>
      </c>
      <c r="D772" s="73">
        <v>4768.3701171875</v>
      </c>
      <c r="E772" s="73">
        <v>0.536030772763052</v>
      </c>
      <c r="F772" s="73">
        <v>0.58664078189105684</v>
      </c>
    </row>
    <row r="773" spans="2:6" x14ac:dyDescent="0.45">
      <c r="B773" s="72">
        <v>45280</v>
      </c>
      <c r="C773" s="73">
        <v>193.00724792480469</v>
      </c>
      <c r="D773" s="73">
        <v>4698.35009765625</v>
      </c>
      <c r="E773" s="73">
        <v>-1.0713980411720225</v>
      </c>
      <c r="F773" s="73">
        <v>-1.4684266911006771</v>
      </c>
    </row>
    <row r="774" spans="2:6" x14ac:dyDescent="0.45">
      <c r="B774" s="72">
        <v>45281</v>
      </c>
      <c r="C774" s="73">
        <v>192.858642578125</v>
      </c>
      <c r="D774" s="73">
        <v>4746.75</v>
      </c>
      <c r="E774" s="73">
        <v>-7.6994697493215636E-2</v>
      </c>
      <c r="F774" s="73">
        <v>1.0301467821202559</v>
      </c>
    </row>
    <row r="775" spans="2:6" x14ac:dyDescent="0.45">
      <c r="B775" s="72">
        <v>45282</v>
      </c>
      <c r="C775" s="73">
        <v>191.78877258300781</v>
      </c>
      <c r="D775" s="73">
        <v>4754.6298828125</v>
      </c>
      <c r="E775" s="73">
        <v>-0.55474309100966845</v>
      </c>
      <c r="F775" s="73">
        <v>0.16600585268868873</v>
      </c>
    </row>
    <row r="776" spans="2:6" x14ac:dyDescent="0.45">
      <c r="B776" s="72">
        <v>45286</v>
      </c>
      <c r="C776" s="73">
        <v>191.24391174316409</v>
      </c>
      <c r="D776" s="73">
        <v>4774.75</v>
      </c>
      <c r="E776" s="73">
        <v>-0.28409423164116321</v>
      </c>
      <c r="F776" s="73">
        <v>0.42316894655107795</v>
      </c>
    </row>
    <row r="777" spans="2:6" x14ac:dyDescent="0.45">
      <c r="B777" s="72">
        <v>45287</v>
      </c>
      <c r="C777" s="73">
        <v>191.34295654296881</v>
      </c>
      <c r="D777" s="73">
        <v>4781.580078125</v>
      </c>
      <c r="E777" s="73">
        <v>5.1789779293853755E-2</v>
      </c>
      <c r="F777" s="73">
        <v>0.14304577464787638</v>
      </c>
    </row>
    <row r="778" spans="2:6" x14ac:dyDescent="0.45">
      <c r="B778" s="72">
        <v>45288</v>
      </c>
      <c r="C778" s="73">
        <v>191.7689514160156</v>
      </c>
      <c r="D778" s="73">
        <v>4783.35009765625</v>
      </c>
      <c r="E778" s="73">
        <v>0.22263420652806065</v>
      </c>
      <c r="F778" s="73">
        <v>3.7017460804378288E-2</v>
      </c>
    </row>
    <row r="779" spans="2:6" x14ac:dyDescent="0.45">
      <c r="B779" s="72">
        <v>45289</v>
      </c>
      <c r="C779" s="73">
        <v>190.72877502441409</v>
      </c>
      <c r="D779" s="73">
        <v>4769.830078125</v>
      </c>
      <c r="E779" s="73">
        <v>-0.54241126309596543</v>
      </c>
      <c r="F779" s="73">
        <v>-0.28264750133749628</v>
      </c>
    </row>
    <row r="780" spans="2:6" x14ac:dyDescent="0.45">
      <c r="B780" s="72">
        <v>45293</v>
      </c>
      <c r="C780" s="73">
        <v>183.9032287597656</v>
      </c>
      <c r="D780" s="73">
        <v>4742.830078125</v>
      </c>
      <c r="E780" s="73">
        <v>-3.5786662310261286</v>
      </c>
      <c r="F780" s="73">
        <v>-0.56605790054923277</v>
      </c>
    </row>
    <row r="781" spans="2:6" x14ac:dyDescent="0.45">
      <c r="B781" s="72">
        <v>45294</v>
      </c>
      <c r="C781" s="73">
        <v>182.52626037597659</v>
      </c>
      <c r="D781" s="73">
        <v>4704.81005859375</v>
      </c>
      <c r="E781" s="73">
        <v>-0.74874617105703534</v>
      </c>
      <c r="F781" s="73">
        <v>-0.8016314922730805</v>
      </c>
    </row>
    <row r="782" spans="2:6" x14ac:dyDescent="0.45">
      <c r="B782" s="72">
        <v>45295</v>
      </c>
      <c r="C782" s="73">
        <v>180.20814514160159</v>
      </c>
      <c r="D782" s="73">
        <v>4688.68017578125</v>
      </c>
      <c r="E782" s="73">
        <v>-1.2700173824851446</v>
      </c>
      <c r="F782" s="73">
        <v>-0.34283812973570083</v>
      </c>
    </row>
    <row r="783" spans="2:6" x14ac:dyDescent="0.45">
      <c r="B783" s="72">
        <v>45296</v>
      </c>
      <c r="C783" s="73">
        <v>179.4849548339844</v>
      </c>
      <c r="D783" s="73">
        <v>4697.240234375</v>
      </c>
      <c r="E783" s="73">
        <v>-0.40130833545227729</v>
      </c>
      <c r="F783" s="73">
        <v>0.18256861788026324</v>
      </c>
    </row>
    <row r="784" spans="2:6" x14ac:dyDescent="0.45">
      <c r="B784" s="72">
        <v>45299</v>
      </c>
      <c r="C784" s="73">
        <v>183.823974609375</v>
      </c>
      <c r="D784" s="73">
        <v>4763.5400390625</v>
      </c>
      <c r="E784" s="73">
        <v>2.4174838383551389</v>
      </c>
      <c r="F784" s="73">
        <v>1.4114629309846638</v>
      </c>
    </row>
    <row r="785" spans="2:6" x14ac:dyDescent="0.45">
      <c r="B785" s="72">
        <v>45300</v>
      </c>
      <c r="C785" s="73">
        <v>183.40791320800781</v>
      </c>
      <c r="D785" s="73">
        <v>4756.5</v>
      </c>
      <c r="E785" s="73">
        <v>-0.2263368541841837</v>
      </c>
      <c r="F785" s="73">
        <v>-0.14779006799081618</v>
      </c>
    </row>
    <row r="786" spans="2:6" x14ac:dyDescent="0.45">
      <c r="B786" s="72">
        <v>45301</v>
      </c>
      <c r="C786" s="73">
        <v>184.4480895996094</v>
      </c>
      <c r="D786" s="73">
        <v>4783.4501953125</v>
      </c>
      <c r="E786" s="73">
        <v>0.5671382294295535</v>
      </c>
      <c r="F786" s="73">
        <v>0.56659718937244197</v>
      </c>
    </row>
    <row r="787" spans="2:6" x14ac:dyDescent="0.45">
      <c r="B787" s="72">
        <v>45302</v>
      </c>
      <c r="C787" s="73">
        <v>183.85369873046881</v>
      </c>
      <c r="D787" s="73">
        <v>4780.240234375</v>
      </c>
      <c r="E787" s="73">
        <v>-0.32225374110995686</v>
      </c>
      <c r="F787" s="73">
        <v>-6.7105557838686991E-2</v>
      </c>
    </row>
    <row r="788" spans="2:6" x14ac:dyDescent="0.45">
      <c r="B788" s="72">
        <v>45303</v>
      </c>
      <c r="C788" s="73">
        <v>184.18060302734381</v>
      </c>
      <c r="D788" s="73">
        <v>4783.830078125</v>
      </c>
      <c r="E788" s="73">
        <v>0.17780675566079207</v>
      </c>
      <c r="F788" s="73">
        <v>7.5097559411041459E-2</v>
      </c>
    </row>
    <row r="789" spans="2:6" x14ac:dyDescent="0.45">
      <c r="B789" s="72">
        <v>45307</v>
      </c>
      <c r="C789" s="73">
        <v>181.9120178222656</v>
      </c>
      <c r="D789" s="73">
        <v>4765.97998046875</v>
      </c>
      <c r="E789" s="73">
        <v>-1.2317177638632271</v>
      </c>
      <c r="F789" s="73">
        <v>-0.37313402367431525</v>
      </c>
    </row>
    <row r="790" spans="2:6" x14ac:dyDescent="0.45">
      <c r="B790" s="72">
        <v>45308</v>
      </c>
      <c r="C790" s="73">
        <v>180.97090148925781</v>
      </c>
      <c r="D790" s="73">
        <v>4739.2099609375</v>
      </c>
      <c r="E790" s="73">
        <v>-0.51734698140025737</v>
      </c>
      <c r="F790" s="73">
        <v>-0.56168971839904991</v>
      </c>
    </row>
    <row r="791" spans="2:6" x14ac:dyDescent="0.45">
      <c r="B791" s="72">
        <v>45309</v>
      </c>
      <c r="C791" s="73">
        <v>186.8652648925781</v>
      </c>
      <c r="D791" s="73">
        <v>4780.93994140625</v>
      </c>
      <c r="E791" s="73">
        <v>3.2570779914417258</v>
      </c>
      <c r="F791" s="73">
        <v>0.8805260963896</v>
      </c>
    </row>
    <row r="792" spans="2:6" x14ac:dyDescent="0.45">
      <c r="B792" s="72">
        <v>45310</v>
      </c>
      <c r="C792" s="73">
        <v>189.76783752441409</v>
      </c>
      <c r="D792" s="73">
        <v>4839.81005859375</v>
      </c>
      <c r="E792" s="73">
        <v>1.5532970418577152</v>
      </c>
      <c r="F792" s="73">
        <v>1.2313502764936146</v>
      </c>
    </row>
    <row r="793" spans="2:6" x14ac:dyDescent="0.45">
      <c r="B793" s="72">
        <v>45313</v>
      </c>
      <c r="C793" s="73">
        <v>192.07603454589841</v>
      </c>
      <c r="D793" s="73">
        <v>4850.43017578125</v>
      </c>
      <c r="E793" s="73">
        <v>1.2163267767581365</v>
      </c>
      <c r="F793" s="73">
        <v>0.21943252026270788</v>
      </c>
    </row>
    <row r="794" spans="2:6" x14ac:dyDescent="0.45">
      <c r="B794" s="72">
        <v>45314</v>
      </c>
      <c r="C794" s="73">
        <v>193.35395812988281</v>
      </c>
      <c r="D794" s="73">
        <v>4864.60009765625</v>
      </c>
      <c r="E794" s="73">
        <v>0.66532172376716492</v>
      </c>
      <c r="F794" s="73">
        <v>0.2921374261968035</v>
      </c>
    </row>
    <row r="795" spans="2:6" x14ac:dyDescent="0.45">
      <c r="B795" s="72">
        <v>45315</v>
      </c>
      <c r="C795" s="73">
        <v>192.6803283691406</v>
      </c>
      <c r="D795" s="73">
        <v>4868.5498046875</v>
      </c>
      <c r="E795" s="73">
        <v>-0.34839202013631221</v>
      </c>
      <c r="F795" s="73">
        <v>8.1192841178312491E-2</v>
      </c>
    </row>
    <row r="796" spans="2:6" x14ac:dyDescent="0.45">
      <c r="B796" s="72">
        <v>45316</v>
      </c>
      <c r="C796" s="73">
        <v>192.35340881347659</v>
      </c>
      <c r="D796" s="73">
        <v>4894.16015625</v>
      </c>
      <c r="E796" s="73">
        <v>-0.16966939927447466</v>
      </c>
      <c r="F796" s="73">
        <v>0.52603655277063677</v>
      </c>
    </row>
    <row r="797" spans="2:6" x14ac:dyDescent="0.45">
      <c r="B797" s="72">
        <v>45317</v>
      </c>
      <c r="C797" s="73">
        <v>190.61981201171881</v>
      </c>
      <c r="D797" s="73">
        <v>4890.97021484375</v>
      </c>
      <c r="E797" s="73">
        <v>-0.90125608506311794</v>
      </c>
      <c r="F797" s="73">
        <v>-6.5178525107645324E-2</v>
      </c>
    </row>
    <row r="798" spans="2:6" x14ac:dyDescent="0.45">
      <c r="B798" s="72">
        <v>45320</v>
      </c>
      <c r="C798" s="73">
        <v>189.9362487792969</v>
      </c>
      <c r="D798" s="73">
        <v>4927.93017578125</v>
      </c>
      <c r="E798" s="73">
        <v>-0.35860030770562545</v>
      </c>
      <c r="F798" s="73">
        <v>0.75567748961808956</v>
      </c>
    </row>
    <row r="799" spans="2:6" x14ac:dyDescent="0.45">
      <c r="B799" s="72">
        <v>45321</v>
      </c>
      <c r="C799" s="73">
        <v>186.28077697753909</v>
      </c>
      <c r="D799" s="73">
        <v>4924.97021484375</v>
      </c>
      <c r="E799" s="73">
        <v>-1.9245782862677308</v>
      </c>
      <c r="F799" s="73">
        <v>-6.0064993453989857E-2</v>
      </c>
    </row>
    <row r="800" spans="2:6" x14ac:dyDescent="0.45">
      <c r="B800" s="72">
        <v>45322</v>
      </c>
      <c r="C800" s="73">
        <v>182.67481994628909</v>
      </c>
      <c r="D800" s="73">
        <v>4845.64990234375</v>
      </c>
      <c r="E800" s="73">
        <v>-1.9357644356855941</v>
      </c>
      <c r="F800" s="73">
        <v>-1.6105744611597972</v>
      </c>
    </row>
    <row r="801" spans="2:6" x14ac:dyDescent="0.45">
      <c r="B801" s="72">
        <v>45323</v>
      </c>
      <c r="C801" s="73">
        <v>185.11181640625</v>
      </c>
      <c r="D801" s="73">
        <v>4906.18994140625</v>
      </c>
      <c r="E801" s="73">
        <v>1.334062604072872</v>
      </c>
      <c r="F801" s="73">
        <v>1.2493688211609788</v>
      </c>
    </row>
    <row r="802" spans="2:6" x14ac:dyDescent="0.45">
      <c r="B802" s="72">
        <v>45324</v>
      </c>
      <c r="C802" s="73">
        <v>184.11126708984381</v>
      </c>
      <c r="D802" s="73">
        <v>4958.60986328125</v>
      </c>
      <c r="E802" s="73">
        <v>-0.54051077658401336</v>
      </c>
      <c r="F802" s="73">
        <v>1.068444607751462</v>
      </c>
    </row>
    <row r="803" spans="2:6" x14ac:dyDescent="0.45">
      <c r="B803" s="72">
        <v>45327</v>
      </c>
      <c r="C803" s="73">
        <v>185.92413330078119</v>
      </c>
      <c r="D803" s="73">
        <v>4942.81005859375</v>
      </c>
      <c r="E803" s="73">
        <v>0.98465794059889866</v>
      </c>
      <c r="F803" s="73">
        <v>-0.31863375266721894</v>
      </c>
    </row>
    <row r="804" spans="2:6" x14ac:dyDescent="0.45">
      <c r="B804" s="72">
        <v>45328</v>
      </c>
      <c r="C804" s="73">
        <v>187.52899169921881</v>
      </c>
      <c r="D804" s="73">
        <v>4954.22998046875</v>
      </c>
      <c r="E804" s="73">
        <v>0.863179174185702</v>
      </c>
      <c r="F804" s="73">
        <v>0.23104108269635937</v>
      </c>
    </row>
    <row r="805" spans="2:6" x14ac:dyDescent="0.45">
      <c r="B805" s="72">
        <v>45329</v>
      </c>
      <c r="C805" s="73">
        <v>187.6379699707031</v>
      </c>
      <c r="D805" s="73">
        <v>4995.06005859375</v>
      </c>
      <c r="E805" s="73">
        <v>5.8112759257555879E-2</v>
      </c>
      <c r="F805" s="73">
        <v>0.8241457963390042</v>
      </c>
    </row>
    <row r="806" spans="2:6" x14ac:dyDescent="0.45">
      <c r="B806" s="72">
        <v>45330</v>
      </c>
      <c r="C806" s="73">
        <v>186.55816650390619</v>
      </c>
      <c r="D806" s="73">
        <v>4997.91015625</v>
      </c>
      <c r="E806" s="73">
        <v>-0.57547172726580831</v>
      </c>
      <c r="F806" s="73">
        <v>5.7058326082515265E-2</v>
      </c>
    </row>
    <row r="807" spans="2:6" x14ac:dyDescent="0.45">
      <c r="B807" s="72">
        <v>45331</v>
      </c>
      <c r="C807" s="73">
        <v>187.32194519042969</v>
      </c>
      <c r="D807" s="73">
        <v>5026.60986328125</v>
      </c>
      <c r="E807" s="73">
        <v>0.40940512057803247</v>
      </c>
      <c r="F807" s="73">
        <v>0.57423415255595245</v>
      </c>
    </row>
    <row r="808" spans="2:6" x14ac:dyDescent="0.45">
      <c r="B808" s="72">
        <v>45334</v>
      </c>
      <c r="C808" s="73">
        <v>185.63569641113281</v>
      </c>
      <c r="D808" s="73">
        <v>5021.83984375</v>
      </c>
      <c r="E808" s="73">
        <v>-0.90018752345468744</v>
      </c>
      <c r="F808" s="73">
        <v>-9.489536011326738E-2</v>
      </c>
    </row>
    <row r="809" spans="2:6" x14ac:dyDescent="0.45">
      <c r="B809" s="72">
        <v>45335</v>
      </c>
      <c r="C809" s="73">
        <v>183.542724609375</v>
      </c>
      <c r="D809" s="73">
        <v>4953.169921875</v>
      </c>
      <c r="E809" s="73">
        <v>-1.1274619279701747</v>
      </c>
      <c r="F809" s="73">
        <v>-1.3674255653625456</v>
      </c>
    </row>
    <row r="810" spans="2:6" x14ac:dyDescent="0.45">
      <c r="B810" s="72">
        <v>45336</v>
      </c>
      <c r="C810" s="73">
        <v>182.6599426269531</v>
      </c>
      <c r="D810" s="73">
        <v>5000.6201171875</v>
      </c>
      <c r="E810" s="73">
        <v>-0.48096811480852208</v>
      </c>
      <c r="F810" s="73">
        <v>0.95797632750176387</v>
      </c>
    </row>
    <row r="811" spans="2:6" x14ac:dyDescent="0.45">
      <c r="B811" s="72">
        <v>45337</v>
      </c>
      <c r="C811" s="73">
        <v>182.3722839355469</v>
      </c>
      <c r="D811" s="73">
        <v>5029.72998046875</v>
      </c>
      <c r="E811" s="73">
        <v>-0.15748318283099749</v>
      </c>
      <c r="F811" s="73">
        <v>0.58212506847294954</v>
      </c>
    </row>
    <row r="812" spans="2:6" x14ac:dyDescent="0.45">
      <c r="B812" s="72">
        <v>45338</v>
      </c>
      <c r="C812" s="73">
        <v>180.8348388671875</v>
      </c>
      <c r="D812" s="73">
        <v>5005.56982421875</v>
      </c>
      <c r="E812" s="73">
        <v>-0.84302561506701679</v>
      </c>
      <c r="F812" s="73">
        <v>-0.48034698371121065</v>
      </c>
    </row>
    <row r="813" spans="2:6" x14ac:dyDescent="0.45">
      <c r="B813" s="72">
        <v>45342</v>
      </c>
      <c r="C813" s="73">
        <v>180.0909118652344</v>
      </c>
      <c r="D813" s="73">
        <v>4975.509765625</v>
      </c>
      <c r="E813" s="73">
        <v>-0.41138477884754554</v>
      </c>
      <c r="F813" s="73">
        <v>-0.60053220011653252</v>
      </c>
    </row>
    <row r="814" spans="2:6" x14ac:dyDescent="0.45">
      <c r="B814" s="72">
        <v>45343</v>
      </c>
      <c r="C814" s="73">
        <v>180.84478759765619</v>
      </c>
      <c r="D814" s="73">
        <v>4981.7998046875</v>
      </c>
      <c r="E814" s="73">
        <v>0.41860842649623642</v>
      </c>
      <c r="F814" s="73">
        <v>0.1264199922982101</v>
      </c>
    </row>
    <row r="815" spans="2:6" x14ac:dyDescent="0.45">
      <c r="B815" s="72">
        <v>45344</v>
      </c>
      <c r="C815" s="73">
        <v>182.878173828125</v>
      </c>
      <c r="D815" s="73">
        <v>5087.02978515625</v>
      </c>
      <c r="E815" s="73">
        <v>1.1243819949031009</v>
      </c>
      <c r="F815" s="73">
        <v>2.112288421741404</v>
      </c>
    </row>
    <row r="816" spans="2:6" x14ac:dyDescent="0.45">
      <c r="B816" s="72">
        <v>45345</v>
      </c>
      <c r="C816" s="73">
        <v>181.04313659667969</v>
      </c>
      <c r="D816" s="73">
        <v>5088.7998046875</v>
      </c>
      <c r="E816" s="73">
        <v>-1.0034205794125728</v>
      </c>
      <c r="F816" s="73">
        <v>3.4794754621159107E-2</v>
      </c>
    </row>
    <row r="817" spans="2:6" x14ac:dyDescent="0.45">
      <c r="B817" s="72">
        <v>45348</v>
      </c>
      <c r="C817" s="73">
        <v>179.69415283203119</v>
      </c>
      <c r="D817" s="73">
        <v>5069.52978515625</v>
      </c>
      <c r="E817" s="73">
        <v>-0.74511731845084972</v>
      </c>
      <c r="F817" s="73">
        <v>-0.37867513501905758</v>
      </c>
    </row>
    <row r="818" spans="2:6" x14ac:dyDescent="0.45">
      <c r="B818" s="72">
        <v>45349</v>
      </c>
      <c r="C818" s="73">
        <v>181.15223693847659</v>
      </c>
      <c r="D818" s="73">
        <v>5078.18017578125</v>
      </c>
      <c r="E818" s="73">
        <v>0.81142546013077688</v>
      </c>
      <c r="F818" s="73">
        <v>0.17063496993998672</v>
      </c>
    </row>
    <row r="819" spans="2:6" x14ac:dyDescent="0.45">
      <c r="B819" s="72">
        <v>45350</v>
      </c>
      <c r="C819" s="73">
        <v>179.95204162597659</v>
      </c>
      <c r="D819" s="73">
        <v>5069.759765625</v>
      </c>
      <c r="E819" s="73">
        <v>-0.66253408336747199</v>
      </c>
      <c r="F819" s="73">
        <v>-0.16581550604305439</v>
      </c>
    </row>
    <row r="820" spans="2:6" x14ac:dyDescent="0.45">
      <c r="B820" s="72">
        <v>45351</v>
      </c>
      <c r="C820" s="73">
        <v>179.2874755859375</v>
      </c>
      <c r="D820" s="73">
        <v>5096.27001953125</v>
      </c>
      <c r="E820" s="73">
        <v>-0.36930175064108228</v>
      </c>
      <c r="F820" s="73">
        <v>0.52290946971491614</v>
      </c>
    </row>
    <row r="821" spans="2:6" x14ac:dyDescent="0.45">
      <c r="B821" s="72">
        <v>45352</v>
      </c>
      <c r="C821" s="73">
        <v>178.20631408691409</v>
      </c>
      <c r="D821" s="73">
        <v>5137.080078125</v>
      </c>
      <c r="E821" s="73">
        <v>-0.60303236212680966</v>
      </c>
      <c r="F821" s="73">
        <v>0.80078289488876297</v>
      </c>
    </row>
    <row r="822" spans="2:6" x14ac:dyDescent="0.45">
      <c r="B822" s="72">
        <v>45355</v>
      </c>
      <c r="C822" s="73">
        <v>173.68316650390619</v>
      </c>
      <c r="D822" s="73">
        <v>5130.9501953125</v>
      </c>
      <c r="E822" s="73">
        <v>-2.5381522569407289</v>
      </c>
      <c r="F822" s="73">
        <v>-0.11932620709189656</v>
      </c>
    </row>
    <row r="823" spans="2:6" x14ac:dyDescent="0.45">
      <c r="B823" s="72">
        <v>45356</v>
      </c>
      <c r="C823" s="73">
        <v>168.74346923828119</v>
      </c>
      <c r="D823" s="73">
        <v>5078.64990234375</v>
      </c>
      <c r="E823" s="73">
        <v>-2.844085218537229</v>
      </c>
      <c r="F823" s="73">
        <v>-1.0193100883444606</v>
      </c>
    </row>
    <row r="824" spans="2:6" x14ac:dyDescent="0.45">
      <c r="B824" s="72">
        <v>45357</v>
      </c>
      <c r="C824" s="73">
        <v>167.7515563964844</v>
      </c>
      <c r="D824" s="73">
        <v>5104.759765625</v>
      </c>
      <c r="E824" s="73">
        <v>-0.5878229517707223</v>
      </c>
      <c r="F824" s="73">
        <v>0.51411032032746551</v>
      </c>
    </row>
    <row r="825" spans="2:6" x14ac:dyDescent="0.45">
      <c r="B825" s="72">
        <v>45358</v>
      </c>
      <c r="C825" s="73">
        <v>167.63252258300781</v>
      </c>
      <c r="D825" s="73">
        <v>5157.35986328125</v>
      </c>
      <c r="E825" s="73">
        <v>-7.0958395876374869E-2</v>
      </c>
      <c r="F825" s="73">
        <v>1.0304127925951478</v>
      </c>
    </row>
    <row r="826" spans="2:6" x14ac:dyDescent="0.45">
      <c r="B826" s="72">
        <v>45359</v>
      </c>
      <c r="C826" s="73">
        <v>169.34852600097659</v>
      </c>
      <c r="D826" s="73">
        <v>5123.68994140625</v>
      </c>
      <c r="E826" s="73">
        <v>1.0236697458985367</v>
      </c>
      <c r="F826" s="73">
        <v>-0.65285190034379825</v>
      </c>
    </row>
    <row r="827" spans="2:6" x14ac:dyDescent="0.45">
      <c r="B827" s="72">
        <v>45362</v>
      </c>
      <c r="C827" s="73">
        <v>171.3522033691406</v>
      </c>
      <c r="D827" s="73">
        <v>5117.93994140625</v>
      </c>
      <c r="E827" s="73">
        <v>1.1831678819291591</v>
      </c>
      <c r="F827" s="73">
        <v>-0.1122238087346461</v>
      </c>
    </row>
    <row r="828" spans="2:6" x14ac:dyDescent="0.45">
      <c r="B828" s="72">
        <v>45363</v>
      </c>
      <c r="C828" s="73">
        <v>171.82830810546881</v>
      </c>
      <c r="D828" s="73">
        <v>5175.27001953125</v>
      </c>
      <c r="E828" s="73">
        <v>0.27785154025861125</v>
      </c>
      <c r="F828" s="73">
        <v>1.1201787981366396</v>
      </c>
    </row>
    <row r="829" spans="2:6" x14ac:dyDescent="0.45">
      <c r="B829" s="72">
        <v>45364</v>
      </c>
      <c r="C829" s="73">
        <v>169.74530029296881</v>
      </c>
      <c r="D829" s="73">
        <v>5165.31005859375</v>
      </c>
      <c r="E829" s="73">
        <v>-1.2122611433858954</v>
      </c>
      <c r="F829" s="73">
        <v>-0.19245297153407392</v>
      </c>
    </row>
    <row r="830" spans="2:6" x14ac:dyDescent="0.45">
      <c r="B830" s="72">
        <v>45365</v>
      </c>
      <c r="C830" s="73">
        <v>171.60015869140619</v>
      </c>
      <c r="D830" s="73">
        <v>5150.47998046875</v>
      </c>
      <c r="E830" s="73">
        <v>1.0927303408318378</v>
      </c>
      <c r="F830" s="73">
        <v>-0.28710915621273925</v>
      </c>
    </row>
    <row r="831" spans="2:6" x14ac:dyDescent="0.45">
      <c r="B831" s="72">
        <v>45366</v>
      </c>
      <c r="C831" s="73">
        <v>171.22325134277341</v>
      </c>
      <c r="D831" s="73">
        <v>5117.08984375</v>
      </c>
      <c r="E831" s="73">
        <v>-0.21964277393856646</v>
      </c>
      <c r="F831" s="73">
        <v>-0.64829174844615034</v>
      </c>
    </row>
    <row r="832" spans="2:6" x14ac:dyDescent="0.45">
      <c r="B832" s="72">
        <v>45369</v>
      </c>
      <c r="C832" s="73">
        <v>172.31434631347659</v>
      </c>
      <c r="D832" s="73">
        <v>5149.419921875</v>
      </c>
      <c r="E832" s="73">
        <v>0.63723528326120604</v>
      </c>
      <c r="F832" s="73">
        <v>0.63180595049523447</v>
      </c>
    </row>
    <row r="833" spans="2:6" x14ac:dyDescent="0.45">
      <c r="B833" s="72">
        <v>45370</v>
      </c>
      <c r="C833" s="73">
        <v>174.6552429199219</v>
      </c>
      <c r="D833" s="73">
        <v>5178.509765625</v>
      </c>
      <c r="E833" s="73">
        <v>1.3585036049097887</v>
      </c>
      <c r="F833" s="73">
        <v>0.56491496501236416</v>
      </c>
    </row>
    <row r="834" spans="2:6" x14ac:dyDescent="0.45">
      <c r="B834" s="72">
        <v>45371</v>
      </c>
      <c r="C834" s="73">
        <v>177.22428894042969</v>
      </c>
      <c r="D834" s="73">
        <v>5224.6201171875</v>
      </c>
      <c r="E834" s="73">
        <v>1.4709240773755017</v>
      </c>
      <c r="F834" s="73">
        <v>0.89041739128465913</v>
      </c>
    </row>
    <row r="835" spans="2:6" x14ac:dyDescent="0.45">
      <c r="B835" s="72">
        <v>45372</v>
      </c>
      <c r="C835" s="73">
        <v>169.98335266113281</v>
      </c>
      <c r="D835" s="73">
        <v>5241.52978515625</v>
      </c>
      <c r="E835" s="73">
        <v>-4.0857471188561316</v>
      </c>
      <c r="F835" s="73">
        <v>0.32365354015160275</v>
      </c>
    </row>
    <row r="836" spans="2:6" x14ac:dyDescent="0.45">
      <c r="B836" s="72">
        <v>45373</v>
      </c>
      <c r="C836" s="73">
        <v>170.8860168457031</v>
      </c>
      <c r="D836" s="73">
        <v>5234.18017578125</v>
      </c>
      <c r="E836" s="73">
        <v>0.53103093358193298</v>
      </c>
      <c r="F836" s="73">
        <v>-0.14021878490156903</v>
      </c>
    </row>
    <row r="837" spans="2:6" x14ac:dyDescent="0.45">
      <c r="B837" s="72">
        <v>45376</v>
      </c>
      <c r="C837" s="73">
        <v>169.46757507324219</v>
      </c>
      <c r="D837" s="73">
        <v>5218.18994140625</v>
      </c>
      <c r="E837" s="73">
        <v>-0.83005139837840636</v>
      </c>
      <c r="F837" s="73">
        <v>-0.30549644525015296</v>
      </c>
    </row>
    <row r="838" spans="2:6" x14ac:dyDescent="0.45">
      <c r="B838" s="72">
        <v>45377</v>
      </c>
      <c r="C838" s="73">
        <v>168.3368225097656</v>
      </c>
      <c r="D838" s="73">
        <v>5203.580078125</v>
      </c>
      <c r="E838" s="73">
        <v>-0.66723829793864375</v>
      </c>
      <c r="F838" s="73">
        <v>-0.2799795225030266</v>
      </c>
    </row>
    <row r="839" spans="2:6" x14ac:dyDescent="0.45">
      <c r="B839" s="72">
        <v>45378</v>
      </c>
      <c r="C839" s="73">
        <v>171.9076843261719</v>
      </c>
      <c r="D839" s="73">
        <v>5248.490234375</v>
      </c>
      <c r="E839" s="73">
        <v>2.1212600803363513</v>
      </c>
      <c r="F839" s="73">
        <v>0.86306265255329251</v>
      </c>
    </row>
    <row r="840" spans="2:6" x14ac:dyDescent="0.45">
      <c r="B840" s="72">
        <v>45379</v>
      </c>
      <c r="C840" s="73">
        <v>170.09245300292969</v>
      </c>
      <c r="D840" s="73">
        <v>5254.35009765625</v>
      </c>
      <c r="E840" s="73">
        <v>-1.055933788159269</v>
      </c>
      <c r="F840" s="73">
        <v>0.11164855071790214</v>
      </c>
    </row>
    <row r="841" spans="2:6" x14ac:dyDescent="0.45">
      <c r="B841" s="72">
        <v>45383</v>
      </c>
      <c r="C841" s="73">
        <v>168.65419006347659</v>
      </c>
      <c r="D841" s="73">
        <v>5243.77001953125</v>
      </c>
      <c r="E841" s="73">
        <v>-0.84557716351373324</v>
      </c>
      <c r="F841" s="73">
        <v>-0.20135845401164643</v>
      </c>
    </row>
    <row r="842" spans="2:6" x14ac:dyDescent="0.45">
      <c r="B842" s="72">
        <v>45384</v>
      </c>
      <c r="C842" s="73">
        <v>167.47383117675781</v>
      </c>
      <c r="D842" s="73">
        <v>5205.81005859375</v>
      </c>
      <c r="E842" s="73">
        <v>-0.69986929247030094</v>
      </c>
      <c r="F842" s="73">
        <v>-0.72390590731691296</v>
      </c>
    </row>
    <row r="843" spans="2:6" x14ac:dyDescent="0.45">
      <c r="B843" s="72">
        <v>45385</v>
      </c>
      <c r="C843" s="73">
        <v>168.27726745605469</v>
      </c>
      <c r="D843" s="73">
        <v>5211.490234375</v>
      </c>
      <c r="E843" s="73">
        <v>0.47973840071102725</v>
      </c>
      <c r="F843" s="73">
        <v>0.1091122364688113</v>
      </c>
    </row>
    <row r="844" spans="2:6" x14ac:dyDescent="0.45">
      <c r="B844" s="72">
        <v>45386</v>
      </c>
      <c r="C844" s="73">
        <v>167.4540100097656</v>
      </c>
      <c r="D844" s="73">
        <v>5147.2099609375</v>
      </c>
      <c r="E844" s="73">
        <v>-0.48922677360688782</v>
      </c>
      <c r="F844" s="73">
        <v>-1.2334336350379616</v>
      </c>
    </row>
    <row r="845" spans="2:6" x14ac:dyDescent="0.45">
      <c r="B845" s="72">
        <v>45387</v>
      </c>
      <c r="C845" s="73">
        <v>168.20783996582031</v>
      </c>
      <c r="D845" s="73">
        <v>5204.33984375</v>
      </c>
      <c r="E845" s="73">
        <v>0.45017133719924551</v>
      </c>
      <c r="F845" s="73">
        <v>1.1099194174331695</v>
      </c>
    </row>
    <row r="846" spans="2:6" x14ac:dyDescent="0.45">
      <c r="B846" s="72">
        <v>45390</v>
      </c>
      <c r="C846" s="73">
        <v>167.08697509765619</v>
      </c>
      <c r="D846" s="73">
        <v>5202.39013671875</v>
      </c>
      <c r="E846" s="73">
        <v>-0.66635709036623192</v>
      </c>
      <c r="F846" s="73">
        <v>-3.7463099831791524E-2</v>
      </c>
    </row>
    <row r="847" spans="2:6" x14ac:dyDescent="0.45">
      <c r="B847" s="72">
        <v>45391</v>
      </c>
      <c r="C847" s="73">
        <v>168.297119140625</v>
      </c>
      <c r="D847" s="73">
        <v>5209.91015625</v>
      </c>
      <c r="E847" s="73">
        <v>0.72425995040099611</v>
      </c>
      <c r="F847" s="73">
        <v>0.14454931932483817</v>
      </c>
    </row>
    <row r="848" spans="2:6" x14ac:dyDescent="0.45">
      <c r="B848" s="72">
        <v>45392</v>
      </c>
      <c r="C848" s="73">
        <v>166.42240905761719</v>
      </c>
      <c r="D848" s="73">
        <v>5160.64013671875</v>
      </c>
      <c r="E848" s="73">
        <v>-1.1139288019786919</v>
      </c>
      <c r="F848" s="73">
        <v>-0.94569806491084929</v>
      </c>
    </row>
    <row r="849" spans="2:6" x14ac:dyDescent="0.45">
      <c r="B849" s="72">
        <v>45393</v>
      </c>
      <c r="C849" s="73">
        <v>173.62367248535159</v>
      </c>
      <c r="D849" s="73">
        <v>5199.06005859375</v>
      </c>
      <c r="E849" s="73">
        <v>4.3270996186825172</v>
      </c>
      <c r="F849" s="73">
        <v>0.74447977105855934</v>
      </c>
    </row>
    <row r="850" spans="2:6" x14ac:dyDescent="0.45">
      <c r="B850" s="72">
        <v>45394</v>
      </c>
      <c r="C850" s="73">
        <v>175.12144470214841</v>
      </c>
      <c r="D850" s="73">
        <v>5123.41015625</v>
      </c>
      <c r="E850" s="73">
        <v>0.86265438079775603</v>
      </c>
      <c r="F850" s="73">
        <v>-1.4550688295801639</v>
      </c>
    </row>
    <row r="851" spans="2:6" x14ac:dyDescent="0.45">
      <c r="B851" s="72">
        <v>45397</v>
      </c>
      <c r="C851" s="73">
        <v>171.29267883300781</v>
      </c>
      <c r="D851" s="73">
        <v>5061.81982421875</v>
      </c>
      <c r="E851" s="73">
        <v>-2.1863489509538203</v>
      </c>
      <c r="F851" s="73">
        <v>-1.202135494776202</v>
      </c>
    </row>
    <row r="852" spans="2:6" x14ac:dyDescent="0.45">
      <c r="B852" s="72">
        <v>45398</v>
      </c>
      <c r="C852" s="73">
        <v>168.00946044921881</v>
      </c>
      <c r="D852" s="73">
        <v>5051.41015625</v>
      </c>
      <c r="E852" s="73">
        <v>-1.9167301288981475</v>
      </c>
      <c r="F852" s="73">
        <v>-0.20565070133361507</v>
      </c>
    </row>
    <row r="853" spans="2:6" x14ac:dyDescent="0.45">
      <c r="B853" s="72">
        <v>45399</v>
      </c>
      <c r="C853" s="73">
        <v>166.64064025878909</v>
      </c>
      <c r="D853" s="73">
        <v>5022.2099609375</v>
      </c>
      <c r="E853" s="73">
        <v>-0.81472804374813634</v>
      </c>
      <c r="F853" s="73">
        <v>-0.5780602724641426</v>
      </c>
    </row>
    <row r="854" spans="2:6" x14ac:dyDescent="0.45">
      <c r="B854" s="72">
        <v>45400</v>
      </c>
      <c r="C854" s="73">
        <v>165.68840026855469</v>
      </c>
      <c r="D854" s="73">
        <v>5011.1201171875</v>
      </c>
      <c r="E854" s="73">
        <v>-0.57143322826628262</v>
      </c>
      <c r="F854" s="73">
        <v>-0.22081601199982481</v>
      </c>
    </row>
    <row r="855" spans="2:6" x14ac:dyDescent="0.45">
      <c r="B855" s="72">
        <v>45401</v>
      </c>
      <c r="C855" s="73">
        <v>163.66490173339841</v>
      </c>
      <c r="D855" s="73">
        <v>4967.22998046875</v>
      </c>
      <c r="E855" s="73">
        <v>-1.2212674706717608</v>
      </c>
      <c r="F855" s="73">
        <v>-0.87585481274361499</v>
      </c>
    </row>
    <row r="856" spans="2:6" x14ac:dyDescent="0.45">
      <c r="B856" s="72">
        <v>45404</v>
      </c>
      <c r="C856" s="73">
        <v>164.49810791015619</v>
      </c>
      <c r="D856" s="73">
        <v>5010.60009765625</v>
      </c>
      <c r="E856" s="73">
        <v>0.50909276694830474</v>
      </c>
      <c r="F856" s="73">
        <v>0.87312480714667462</v>
      </c>
    </row>
    <row r="857" spans="2:6" x14ac:dyDescent="0.45">
      <c r="B857" s="72">
        <v>45405</v>
      </c>
      <c r="C857" s="73">
        <v>165.54954528808591</v>
      </c>
      <c r="D857" s="73">
        <v>5070.5498046875</v>
      </c>
      <c r="E857" s="73">
        <v>0.63917901019505674</v>
      </c>
      <c r="F857" s="73">
        <v>1.1964576270872662</v>
      </c>
    </row>
    <row r="858" spans="2:6" x14ac:dyDescent="0.45">
      <c r="B858" s="72">
        <v>45406</v>
      </c>
      <c r="C858" s="73">
        <v>167.65238952636719</v>
      </c>
      <c r="D858" s="73">
        <v>5071.6298828125</v>
      </c>
      <c r="E858" s="73">
        <v>1.2702204857294896</v>
      </c>
      <c r="F858" s="73">
        <v>2.130100613548791E-2</v>
      </c>
    </row>
    <row r="859" spans="2:6" x14ac:dyDescent="0.45">
      <c r="B859" s="72">
        <v>45407</v>
      </c>
      <c r="C859" s="73">
        <v>168.51533508300781</v>
      </c>
      <c r="D859" s="73">
        <v>5048.419921875</v>
      </c>
      <c r="E859" s="73">
        <v>0.51472308809825673</v>
      </c>
      <c r="F859" s="73">
        <v>-0.45764303535156259</v>
      </c>
    </row>
    <row r="860" spans="2:6" x14ac:dyDescent="0.45">
      <c r="B860" s="72">
        <v>45408</v>
      </c>
      <c r="C860" s="73">
        <v>167.93011474609381</v>
      </c>
      <c r="D860" s="73">
        <v>5099.9599609375</v>
      </c>
      <c r="E860" s="73">
        <v>-0.34728016689148378</v>
      </c>
      <c r="F860" s="73">
        <v>1.020914263474304</v>
      </c>
    </row>
    <row r="861" spans="2:6" x14ac:dyDescent="0.45">
      <c r="B861" s="72">
        <v>45411</v>
      </c>
      <c r="C861" s="73">
        <v>172.09613037109381</v>
      </c>
      <c r="D861" s="73">
        <v>5116.169921875</v>
      </c>
      <c r="E861" s="73">
        <v>2.4808031789288698</v>
      </c>
      <c r="F861" s="73">
        <v>0.31784486665891176</v>
      </c>
    </row>
    <row r="862" spans="2:6" x14ac:dyDescent="0.45">
      <c r="B862" s="72">
        <v>45412</v>
      </c>
      <c r="C862" s="73">
        <v>168.9517822265625</v>
      </c>
      <c r="D862" s="73">
        <v>5035.68994140625</v>
      </c>
      <c r="E862" s="73">
        <v>-1.8270882312990344</v>
      </c>
      <c r="F862" s="73">
        <v>-1.5730513586862171</v>
      </c>
    </row>
    <row r="863" spans="2:6" x14ac:dyDescent="0.45">
      <c r="B863" s="72">
        <v>45413</v>
      </c>
      <c r="C863" s="73">
        <v>167.93011474609381</v>
      </c>
      <c r="D863" s="73">
        <v>5018.39013671875</v>
      </c>
      <c r="E863" s="73">
        <v>-0.60470950173147076</v>
      </c>
      <c r="F863" s="73">
        <v>-0.34354388154940185</v>
      </c>
    </row>
    <row r="864" spans="2:6" x14ac:dyDescent="0.45">
      <c r="B864" s="72">
        <v>45414</v>
      </c>
      <c r="C864" s="73">
        <v>171.62992858886719</v>
      </c>
      <c r="D864" s="73">
        <v>5064.2001953125</v>
      </c>
      <c r="E864" s="73">
        <v>2.2031866341349238</v>
      </c>
      <c r="F864" s="73">
        <v>0.91284370775730483</v>
      </c>
    </row>
    <row r="865" spans="2:6" x14ac:dyDescent="0.45">
      <c r="B865" s="72">
        <v>45415</v>
      </c>
      <c r="C865" s="73">
        <v>181.89616394042969</v>
      </c>
      <c r="D865" s="73">
        <v>5127.7900390625</v>
      </c>
      <c r="E865" s="73">
        <v>5.9816113867616094</v>
      </c>
      <c r="F865" s="73">
        <v>1.2556739721478527</v>
      </c>
    </row>
    <row r="866" spans="2:6" x14ac:dyDescent="0.45">
      <c r="B866" s="72">
        <v>45418</v>
      </c>
      <c r="C866" s="73">
        <v>180.23966979980469</v>
      </c>
      <c r="D866" s="73">
        <v>5180.740234375</v>
      </c>
      <c r="E866" s="73">
        <v>-0.91068118466065551</v>
      </c>
      <c r="F866" s="73">
        <v>1.0326123907011819</v>
      </c>
    </row>
    <row r="867" spans="2:6" x14ac:dyDescent="0.45">
      <c r="B867" s="72">
        <v>45419</v>
      </c>
      <c r="C867" s="73">
        <v>180.9241027832031</v>
      </c>
      <c r="D867" s="73">
        <v>5187.7001953125</v>
      </c>
      <c r="E867" s="73">
        <v>0.37973492969589628</v>
      </c>
      <c r="F867" s="73">
        <v>0.13434298232750663</v>
      </c>
    </row>
    <row r="868" spans="2:6" x14ac:dyDescent="0.45">
      <c r="B868" s="72">
        <v>45420</v>
      </c>
      <c r="C868" s="73">
        <v>181.2613525390625</v>
      </c>
      <c r="D868" s="73">
        <v>5187.669921875</v>
      </c>
      <c r="E868" s="73">
        <v>0.18640399519544992</v>
      </c>
      <c r="F868" s="73">
        <v>-5.8356181661389783E-4</v>
      </c>
    </row>
    <row r="869" spans="2:6" x14ac:dyDescent="0.45">
      <c r="B869" s="72">
        <v>45421</v>
      </c>
      <c r="C869" s="73">
        <v>183.0765686035156</v>
      </c>
      <c r="D869" s="73">
        <v>5214.080078125</v>
      </c>
      <c r="E869" s="73">
        <v>1.0014357936901641</v>
      </c>
      <c r="F869" s="73">
        <v>0.50909476986258362</v>
      </c>
    </row>
    <row r="870" spans="2:6" x14ac:dyDescent="0.45">
      <c r="B870" s="72">
        <v>45422</v>
      </c>
      <c r="C870" s="73">
        <v>181.81512451171881</v>
      </c>
      <c r="D870" s="73">
        <v>5222.68017578125</v>
      </c>
      <c r="E870" s="73">
        <v>-0.68902541784506832</v>
      </c>
      <c r="F870" s="73">
        <v>0.16493988445498431</v>
      </c>
    </row>
    <row r="871" spans="2:6" x14ac:dyDescent="0.45">
      <c r="B871" s="72">
        <v>45425</v>
      </c>
      <c r="C871" s="73">
        <v>185.02333068847659</v>
      </c>
      <c r="D871" s="73">
        <v>5221.419921875</v>
      </c>
      <c r="E871" s="73">
        <v>1.7645430683358887</v>
      </c>
      <c r="F871" s="73">
        <v>-2.4130405535727206E-2</v>
      </c>
    </row>
    <row r="872" spans="2:6" x14ac:dyDescent="0.45">
      <c r="B872" s="72">
        <v>45426</v>
      </c>
      <c r="C872" s="73">
        <v>186.16557312011719</v>
      </c>
      <c r="D872" s="73">
        <v>5246.68017578125</v>
      </c>
      <c r="E872" s="73">
        <v>0.6173504862280188</v>
      </c>
      <c r="F872" s="73">
        <v>0.48378131397597279</v>
      </c>
    </row>
    <row r="873" spans="2:6" x14ac:dyDescent="0.45">
      <c r="B873" s="72">
        <v>45427</v>
      </c>
      <c r="C873" s="73">
        <v>188.44012451171881</v>
      </c>
      <c r="D873" s="73">
        <v>5308.14990234375</v>
      </c>
      <c r="E873" s="73">
        <v>1.2217894820617747</v>
      </c>
      <c r="F873" s="73">
        <v>1.1715927882596233</v>
      </c>
    </row>
    <row r="874" spans="2:6" x14ac:dyDescent="0.45">
      <c r="B874" s="72">
        <v>45428</v>
      </c>
      <c r="C874" s="73">
        <v>188.559326171875</v>
      </c>
      <c r="D874" s="73">
        <v>5297.10009765625</v>
      </c>
      <c r="E874" s="73">
        <v>6.3257048075660016E-2</v>
      </c>
      <c r="F874" s="73">
        <v>-0.20816677921287052</v>
      </c>
    </row>
    <row r="875" spans="2:6" x14ac:dyDescent="0.45">
      <c r="B875" s="72">
        <v>45429</v>
      </c>
      <c r="C875" s="73">
        <v>188.58909606933591</v>
      </c>
      <c r="D875" s="73">
        <v>5303.27001953125</v>
      </c>
      <c r="E875" s="73">
        <v>1.5788080104695013E-2</v>
      </c>
      <c r="F875" s="73">
        <v>0.11647735102702228</v>
      </c>
    </row>
    <row r="876" spans="2:6" x14ac:dyDescent="0.45">
      <c r="B876" s="72">
        <v>45432</v>
      </c>
      <c r="C876" s="73">
        <v>189.75120544433591</v>
      </c>
      <c r="D876" s="73">
        <v>5308.1298828125</v>
      </c>
      <c r="E876" s="73">
        <v>0.61621238938052159</v>
      </c>
      <c r="F876" s="73">
        <v>9.163899374069473E-2</v>
      </c>
    </row>
    <row r="877" spans="2:6" x14ac:dyDescent="0.45">
      <c r="B877" s="72">
        <v>45433</v>
      </c>
      <c r="C877" s="73">
        <v>191.05238342285159</v>
      </c>
      <c r="D877" s="73">
        <v>5321.41015625</v>
      </c>
      <c r="E877" s="73">
        <v>0.68572843870411404</v>
      </c>
      <c r="F877" s="73">
        <v>0.2501874243978186</v>
      </c>
    </row>
    <row r="878" spans="2:6" x14ac:dyDescent="0.45">
      <c r="B878" s="72">
        <v>45434</v>
      </c>
      <c r="C878" s="73">
        <v>189.6121520996094</v>
      </c>
      <c r="D878" s="73">
        <v>5307.009765625</v>
      </c>
      <c r="E878" s="73">
        <v>-0.75384106570111076</v>
      </c>
      <c r="F878" s="73">
        <v>-0.27061230392261271</v>
      </c>
    </row>
    <row r="879" spans="2:6" x14ac:dyDescent="0.45">
      <c r="B879" s="72">
        <v>45435</v>
      </c>
      <c r="C879" s="73">
        <v>185.61930847167969</v>
      </c>
      <c r="D879" s="73">
        <v>5267.83984375</v>
      </c>
      <c r="E879" s="73">
        <v>-2.1057952160324356</v>
      </c>
      <c r="F879" s="73">
        <v>-0.73807894850155265</v>
      </c>
    </row>
    <row r="880" spans="2:6" x14ac:dyDescent="0.45">
      <c r="B880" s="72">
        <v>45436</v>
      </c>
      <c r="C880" s="73">
        <v>188.6983642578125</v>
      </c>
      <c r="D880" s="73">
        <v>5304.72021484375</v>
      </c>
      <c r="E880" s="73">
        <v>1.6588014530840578</v>
      </c>
      <c r="F880" s="73">
        <v>0.70010425881694704</v>
      </c>
    </row>
    <row r="881" spans="2:6" x14ac:dyDescent="0.45">
      <c r="B881" s="72">
        <v>45440</v>
      </c>
      <c r="C881" s="73">
        <v>188.70831298828119</v>
      </c>
      <c r="D881" s="73">
        <v>5306.0400390625</v>
      </c>
      <c r="E881" s="73">
        <v>5.2722929039905608E-3</v>
      </c>
      <c r="F881" s="73">
        <v>2.4880185293407742E-2</v>
      </c>
    </row>
    <row r="882" spans="2:6" x14ac:dyDescent="0.45">
      <c r="B882" s="72">
        <v>45441</v>
      </c>
      <c r="C882" s="73">
        <v>189.00627136230469</v>
      </c>
      <c r="D882" s="73">
        <v>5266.9501953125</v>
      </c>
      <c r="E882" s="73">
        <v>0.15789361332587681</v>
      </c>
      <c r="F882" s="73">
        <v>-0.73670465096804527</v>
      </c>
    </row>
    <row r="883" spans="2:6" x14ac:dyDescent="0.45">
      <c r="B883" s="72">
        <v>45442</v>
      </c>
      <c r="C883" s="73">
        <v>189.99951171875</v>
      </c>
      <c r="D883" s="73">
        <v>5235.47998046875</v>
      </c>
      <c r="E883" s="73">
        <v>0.52550656085976755</v>
      </c>
      <c r="F883" s="73">
        <v>-0.59750355854433224</v>
      </c>
    </row>
    <row r="884" spans="2:6" x14ac:dyDescent="0.45">
      <c r="B884" s="72">
        <v>45443</v>
      </c>
      <c r="C884" s="73">
        <v>190.95304870605469</v>
      </c>
      <c r="D884" s="73">
        <v>5277.509765625</v>
      </c>
      <c r="E884" s="73">
        <v>0.50186286200364361</v>
      </c>
      <c r="F884" s="73">
        <v>0.80278762048646701</v>
      </c>
    </row>
    <row r="885" spans="2:6" x14ac:dyDescent="0.45">
      <c r="B885" s="72">
        <v>45446</v>
      </c>
      <c r="C885" s="73">
        <v>192.72105407714841</v>
      </c>
      <c r="D885" s="73">
        <v>5283.39990234375</v>
      </c>
      <c r="E885" s="73">
        <v>0.92588486178888374</v>
      </c>
      <c r="F885" s="73">
        <v>0.11160825806737495</v>
      </c>
    </row>
    <row r="886" spans="2:6" x14ac:dyDescent="0.45">
      <c r="B886" s="72">
        <v>45447</v>
      </c>
      <c r="C886" s="73">
        <v>193.03889465332031</v>
      </c>
      <c r="D886" s="73">
        <v>5291.33984375</v>
      </c>
      <c r="E886" s="73">
        <v>0.16492260157765504</v>
      </c>
      <c r="F886" s="73">
        <v>0.15028090913065117</v>
      </c>
    </row>
    <row r="887" spans="2:6" x14ac:dyDescent="0.45">
      <c r="B887" s="72">
        <v>45448</v>
      </c>
      <c r="C887" s="73">
        <v>194.54862976074219</v>
      </c>
      <c r="D887" s="73">
        <v>5354.02978515625</v>
      </c>
      <c r="E887" s="73">
        <v>0.78208855792156751</v>
      </c>
      <c r="F887" s="73">
        <v>1.1847649793331305</v>
      </c>
    </row>
    <row r="888" spans="2:6" x14ac:dyDescent="0.45">
      <c r="B888" s="72">
        <v>45449</v>
      </c>
      <c r="C888" s="73">
        <v>193.16802978515619</v>
      </c>
      <c r="D888" s="73">
        <v>5352.9599609375</v>
      </c>
      <c r="E888" s="73">
        <v>-0.70964261083918956</v>
      </c>
      <c r="F888" s="73">
        <v>-1.9981663563317653E-2</v>
      </c>
    </row>
    <row r="889" spans="2:6" x14ac:dyDescent="0.45">
      <c r="B889" s="72">
        <v>45450</v>
      </c>
      <c r="C889" s="73">
        <v>195.56175231933591</v>
      </c>
      <c r="D889" s="73">
        <v>5346.990234375</v>
      </c>
      <c r="E889" s="73">
        <v>1.2391918770626953</v>
      </c>
      <c r="F889" s="73">
        <v>-0.11152197300303701</v>
      </c>
    </row>
    <row r="890" spans="2:6" x14ac:dyDescent="0.45">
      <c r="B890" s="72">
        <v>45453</v>
      </c>
      <c r="C890" s="73">
        <v>191.81719970703119</v>
      </c>
      <c r="D890" s="73">
        <v>5360.7900390625</v>
      </c>
      <c r="E890" s="73">
        <v>-1.9147673652413211</v>
      </c>
      <c r="F890" s="73">
        <v>0.25808546645145203</v>
      </c>
    </row>
    <row r="891" spans="2:6" x14ac:dyDescent="0.45">
      <c r="B891" s="72">
        <v>45454</v>
      </c>
      <c r="C891" s="73">
        <v>205.75251770019531</v>
      </c>
      <c r="D891" s="73">
        <v>5375.31982421875</v>
      </c>
      <c r="E891" s="73">
        <v>7.2648949178947486</v>
      </c>
      <c r="F891" s="73">
        <v>0.27103813151374556</v>
      </c>
    </row>
    <row r="892" spans="2:6" x14ac:dyDescent="0.45">
      <c r="B892" s="72">
        <v>45455</v>
      </c>
      <c r="C892" s="73">
        <v>211.6325988769531</v>
      </c>
      <c r="D892" s="73">
        <v>5421.02978515625</v>
      </c>
      <c r="E892" s="73">
        <v>2.8578416645796523</v>
      </c>
      <c r="F892" s="73">
        <v>0.85036727919987065</v>
      </c>
    </row>
    <row r="893" spans="2:6" x14ac:dyDescent="0.45">
      <c r="B893" s="72">
        <v>45456</v>
      </c>
      <c r="C893" s="73">
        <v>212.79469299316409</v>
      </c>
      <c r="D893" s="73">
        <v>5433.740234375</v>
      </c>
      <c r="E893" s="73">
        <v>0.54910922153663666</v>
      </c>
      <c r="F893" s="73">
        <v>0.23446558536817097</v>
      </c>
    </row>
    <row r="894" spans="2:6" x14ac:dyDescent="0.45">
      <c r="B894" s="72">
        <v>45457</v>
      </c>
      <c r="C894" s="73">
        <v>211.0565185546875</v>
      </c>
      <c r="D894" s="73">
        <v>5431.60009765625</v>
      </c>
      <c r="E894" s="73">
        <v>-0.81683166719408451</v>
      </c>
      <c r="F894" s="73">
        <v>-3.9386069750091401E-2</v>
      </c>
    </row>
    <row r="895" spans="2:6" x14ac:dyDescent="0.45">
      <c r="B895" s="72">
        <v>45460</v>
      </c>
      <c r="C895" s="73">
        <v>215.20831298828119</v>
      </c>
      <c r="D895" s="73">
        <v>5473.22998046875</v>
      </c>
      <c r="E895" s="73">
        <v>1.9671481658207535</v>
      </c>
      <c r="F895" s="73">
        <v>0.76643865645527054</v>
      </c>
    </row>
    <row r="896" spans="2:6" x14ac:dyDescent="0.45">
      <c r="B896" s="72">
        <v>45461</v>
      </c>
      <c r="C896" s="73">
        <v>212.8443908691406</v>
      </c>
      <c r="D896" s="73">
        <v>5487.02978515625</v>
      </c>
      <c r="E896" s="73">
        <v>-1.0984343895996784</v>
      </c>
      <c r="F896" s="73">
        <v>0.25213273947457537</v>
      </c>
    </row>
    <row r="897" spans="2:6" x14ac:dyDescent="0.45">
      <c r="B897" s="72">
        <v>45463</v>
      </c>
      <c r="C897" s="73">
        <v>208.26545715332031</v>
      </c>
      <c r="D897" s="73">
        <v>5473.169921875</v>
      </c>
      <c r="E897" s="73">
        <v>-2.1513057953382764</v>
      </c>
      <c r="F897" s="73">
        <v>-0.25259318472709014</v>
      </c>
    </row>
    <row r="898" spans="2:6" x14ac:dyDescent="0.45">
      <c r="B898" s="72">
        <v>45464</v>
      </c>
      <c r="C898" s="73">
        <v>206.09025573730469</v>
      </c>
      <c r="D898" s="73">
        <v>5464.6201171875</v>
      </c>
      <c r="E898" s="73">
        <v>-1.0444369631658512</v>
      </c>
      <c r="F898" s="73">
        <v>-0.15621303211011961</v>
      </c>
    </row>
    <row r="899" spans="2:6" x14ac:dyDescent="0.45">
      <c r="B899" s="72">
        <v>45467</v>
      </c>
      <c r="C899" s="73">
        <v>206.73585510253909</v>
      </c>
      <c r="D899" s="73">
        <v>5447.8701171875</v>
      </c>
      <c r="E899" s="73">
        <v>0.31326049983524396</v>
      </c>
      <c r="F899" s="73">
        <v>-0.30651718949900042</v>
      </c>
    </row>
    <row r="900" spans="2:6" x14ac:dyDescent="0.45">
      <c r="B900" s="72">
        <v>45468</v>
      </c>
      <c r="C900" s="73">
        <v>207.65959167480469</v>
      </c>
      <c r="D900" s="73">
        <v>5469.2998046875</v>
      </c>
      <c r="E900" s="73">
        <v>0.44681972162372574</v>
      </c>
      <c r="F900" s="73">
        <v>0.39335900157368986</v>
      </c>
    </row>
    <row r="901" spans="2:6" x14ac:dyDescent="0.45">
      <c r="B901" s="72">
        <v>45469</v>
      </c>
      <c r="C901" s="73">
        <v>211.81138610839841</v>
      </c>
      <c r="D901" s="73">
        <v>5477.89990234375</v>
      </c>
      <c r="E901" s="73">
        <v>1.9993270718240863</v>
      </c>
      <c r="F901" s="73">
        <v>0.15724312002203256</v>
      </c>
    </row>
    <row r="902" spans="2:6" x14ac:dyDescent="0.45">
      <c r="B902" s="72">
        <v>45470</v>
      </c>
      <c r="C902" s="73">
        <v>212.65565490722659</v>
      </c>
      <c r="D902" s="73">
        <v>5482.8701171875</v>
      </c>
      <c r="E902" s="73">
        <v>0.39859462436835358</v>
      </c>
      <c r="F902" s="73">
        <v>9.073212238914774E-2</v>
      </c>
    </row>
    <row r="903" spans="2:6" x14ac:dyDescent="0.45">
      <c r="B903" s="72">
        <v>45471</v>
      </c>
      <c r="C903" s="73">
        <v>209.1991271972656</v>
      </c>
      <c r="D903" s="73">
        <v>5460.47998046875</v>
      </c>
      <c r="E903" s="73">
        <v>-1.6254106722292216</v>
      </c>
      <c r="F903" s="73">
        <v>-0.40836525834456738</v>
      </c>
    </row>
    <row r="904" spans="2:6" x14ac:dyDescent="0.45">
      <c r="B904" s="72">
        <v>45474</v>
      </c>
      <c r="C904" s="73">
        <v>215.28779602050781</v>
      </c>
      <c r="D904" s="73">
        <v>5475.08984375</v>
      </c>
      <c r="E904" s="73">
        <v>2.9104656911407067</v>
      </c>
      <c r="F904" s="73">
        <v>0.26755639309195001</v>
      </c>
    </row>
    <row r="905" spans="2:6" x14ac:dyDescent="0.45">
      <c r="B905" s="72">
        <v>45475</v>
      </c>
      <c r="C905" s="73">
        <v>218.78404235839841</v>
      </c>
      <c r="D905" s="73">
        <v>5509.009765625</v>
      </c>
      <c r="E905" s="73">
        <v>1.6239872405761302</v>
      </c>
      <c r="F905" s="73">
        <v>0.61953178565135048</v>
      </c>
    </row>
    <row r="906" spans="2:6" x14ac:dyDescent="0.45">
      <c r="B906" s="72">
        <v>45476</v>
      </c>
      <c r="C906" s="73">
        <v>220.0553894042969</v>
      </c>
      <c r="D906" s="73">
        <v>5537.02001953125</v>
      </c>
      <c r="E906" s="73">
        <v>0.58109678941566933</v>
      </c>
      <c r="F906" s="73">
        <v>0.50844444097790653</v>
      </c>
    </row>
    <row r="907" spans="2:6" x14ac:dyDescent="0.45">
      <c r="B907" s="72">
        <v>45478</v>
      </c>
      <c r="C907" s="73">
        <v>224.81309509277341</v>
      </c>
      <c r="D907" s="73">
        <v>5567.18994140625</v>
      </c>
      <c r="E907" s="73">
        <v>2.1620491556039179</v>
      </c>
      <c r="F907" s="73">
        <v>0.54487651784855817</v>
      </c>
    </row>
    <row r="908" spans="2:6" x14ac:dyDescent="0.45">
      <c r="B908" s="72">
        <v>45481</v>
      </c>
      <c r="C908" s="73">
        <v>226.2831115722656</v>
      </c>
      <c r="D908" s="73">
        <v>5572.85009765625</v>
      </c>
      <c r="E908" s="73">
        <v>0.65388383131577132</v>
      </c>
      <c r="F908" s="73">
        <v>0.10166989647510949</v>
      </c>
    </row>
    <row r="909" spans="2:6" x14ac:dyDescent="0.45">
      <c r="B909" s="72">
        <v>45482</v>
      </c>
      <c r="C909" s="73">
        <v>227.13728332519531</v>
      </c>
      <c r="D909" s="73">
        <v>5576.97998046875</v>
      </c>
      <c r="E909" s="73">
        <v>0.37747923253959037</v>
      </c>
      <c r="F909" s="73">
        <v>7.4107193628569767E-2</v>
      </c>
    </row>
    <row r="910" spans="2:6" x14ac:dyDescent="0.45">
      <c r="B910" s="72">
        <v>45483</v>
      </c>
      <c r="C910" s="73">
        <v>231.40827941894531</v>
      </c>
      <c r="D910" s="73">
        <v>5633.91015625</v>
      </c>
      <c r="E910" s="73">
        <v>1.8803588874641841</v>
      </c>
      <c r="F910" s="73">
        <v>1.0208065293514812</v>
      </c>
    </row>
    <row r="911" spans="2:6" x14ac:dyDescent="0.45">
      <c r="B911" s="72">
        <v>45484</v>
      </c>
      <c r="C911" s="73">
        <v>226.0347900390625</v>
      </c>
      <c r="D911" s="73">
        <v>5584.5400390625</v>
      </c>
      <c r="E911" s="73">
        <v>-2.3220817307727182</v>
      </c>
      <c r="F911" s="73">
        <v>-0.87630288411204571</v>
      </c>
    </row>
    <row r="912" spans="2:6" x14ac:dyDescent="0.45">
      <c r="B912" s="72">
        <v>45485</v>
      </c>
      <c r="C912" s="73">
        <v>228.98475646972659</v>
      </c>
      <c r="D912" s="73">
        <v>5615.35009765625</v>
      </c>
      <c r="E912" s="73">
        <v>1.305093976973315</v>
      </c>
      <c r="F912" s="73">
        <v>0.55170270744306915</v>
      </c>
    </row>
    <row r="913" spans="2:6" x14ac:dyDescent="0.45">
      <c r="B913" s="72">
        <v>45488</v>
      </c>
      <c r="C913" s="73">
        <v>232.81871032714841</v>
      </c>
      <c r="D913" s="73">
        <v>5631.22021484375</v>
      </c>
      <c r="E913" s="73">
        <v>1.6743271109091129</v>
      </c>
      <c r="F913" s="73">
        <v>0.28262026252154904</v>
      </c>
    </row>
    <row r="914" spans="2:6" x14ac:dyDescent="0.45">
      <c r="B914" s="72">
        <v>45489</v>
      </c>
      <c r="C914" s="73">
        <v>233.23588562011719</v>
      </c>
      <c r="D914" s="73">
        <v>5667.2001953125</v>
      </c>
      <c r="E914" s="73">
        <v>0.17918460779315915</v>
      </c>
      <c r="F914" s="73">
        <v>0.63893754987431883</v>
      </c>
    </row>
    <row r="915" spans="2:6" x14ac:dyDescent="0.45">
      <c r="B915" s="72">
        <v>45490</v>
      </c>
      <c r="C915" s="73">
        <v>227.33595275878909</v>
      </c>
      <c r="D915" s="73">
        <v>5588.27001953125</v>
      </c>
      <c r="E915" s="73">
        <v>-2.5295990990587103</v>
      </c>
      <c r="F915" s="73">
        <v>-1.3927543241993745</v>
      </c>
    </row>
    <row r="916" spans="2:6" x14ac:dyDescent="0.45">
      <c r="B916" s="72">
        <v>45491</v>
      </c>
      <c r="C916" s="73">
        <v>222.66764831542969</v>
      </c>
      <c r="D916" s="73">
        <v>5544.58984375</v>
      </c>
      <c r="E916" s="73">
        <v>-2.0534826923362282</v>
      </c>
      <c r="F916" s="73">
        <v>-0.78164039369225113</v>
      </c>
    </row>
    <row r="917" spans="2:6" x14ac:dyDescent="0.45">
      <c r="B917" s="72">
        <v>45492</v>
      </c>
      <c r="C917" s="73">
        <v>222.7967834472656</v>
      </c>
      <c r="D917" s="73">
        <v>5505</v>
      </c>
      <c r="E917" s="73">
        <v>5.7994564011831784E-2</v>
      </c>
      <c r="F917" s="73">
        <v>-0.71402655319269259</v>
      </c>
    </row>
    <row r="918" spans="2:6" x14ac:dyDescent="0.45">
      <c r="B918" s="72">
        <v>45495</v>
      </c>
      <c r="C918" s="73">
        <v>222.44914245605469</v>
      </c>
      <c r="D918" s="73">
        <v>5564.41015625</v>
      </c>
      <c r="E918" s="73">
        <v>-0.15603501353653737</v>
      </c>
      <c r="F918" s="73">
        <v>1.0792035649409559</v>
      </c>
    </row>
    <row r="919" spans="2:6" x14ac:dyDescent="0.45">
      <c r="B919" s="72">
        <v>45496</v>
      </c>
      <c r="C919" s="73">
        <v>223.4920349121094</v>
      </c>
      <c r="D919" s="73">
        <v>5555.740234375</v>
      </c>
      <c r="E919" s="73">
        <v>0.46882287094487385</v>
      </c>
      <c r="F919" s="73">
        <v>-0.15581025897707379</v>
      </c>
    </row>
    <row r="920" spans="2:6" x14ac:dyDescent="0.45">
      <c r="B920" s="72">
        <v>45497</v>
      </c>
      <c r="C920" s="73">
        <v>217.0657043457031</v>
      </c>
      <c r="D920" s="73">
        <v>5427.1298828125</v>
      </c>
      <c r="E920" s="73">
        <v>-2.8754181637540399</v>
      </c>
      <c r="F920" s="73">
        <v>-2.3149093754734951</v>
      </c>
    </row>
    <row r="921" spans="2:6" x14ac:dyDescent="0.45">
      <c r="B921" s="72">
        <v>45498</v>
      </c>
      <c r="C921" s="73">
        <v>216.02278137207031</v>
      </c>
      <c r="D921" s="73">
        <v>5399.22021484375</v>
      </c>
      <c r="E921" s="73">
        <v>-0.48046418791787282</v>
      </c>
      <c r="F921" s="73">
        <v>-0.51426202378422881</v>
      </c>
    </row>
    <row r="922" spans="2:6" x14ac:dyDescent="0.45">
      <c r="B922" s="72">
        <v>45499</v>
      </c>
      <c r="C922" s="73">
        <v>216.4896240234375</v>
      </c>
      <c r="D922" s="73">
        <v>5459.10009765625</v>
      </c>
      <c r="E922" s="73">
        <v>0.21610806434488872</v>
      </c>
      <c r="F922" s="73">
        <v>1.1090468702846357</v>
      </c>
    </row>
    <row r="923" spans="2:6" x14ac:dyDescent="0.45">
      <c r="B923" s="72">
        <v>45502</v>
      </c>
      <c r="C923" s="73">
        <v>216.7677307128906</v>
      </c>
      <c r="D923" s="73">
        <v>5463.5400390625</v>
      </c>
      <c r="E923" s="73">
        <v>0.12846190236950328</v>
      </c>
      <c r="F923" s="73">
        <v>8.1331012929330981E-2</v>
      </c>
    </row>
    <row r="924" spans="2:6" x14ac:dyDescent="0.45">
      <c r="B924" s="72">
        <v>45503</v>
      </c>
      <c r="C924" s="73">
        <v>217.3239440917969</v>
      </c>
      <c r="D924" s="73">
        <v>5436.43994140625</v>
      </c>
      <c r="E924" s="73">
        <v>0.25659417897538894</v>
      </c>
      <c r="F924" s="73">
        <v>-0.49601718780302173</v>
      </c>
    </row>
    <row r="925" spans="2:6" x14ac:dyDescent="0.45">
      <c r="B925" s="72">
        <v>45504</v>
      </c>
      <c r="C925" s="73">
        <v>220.5818176269531</v>
      </c>
      <c r="D925" s="73">
        <v>5522.2998046875</v>
      </c>
      <c r="E925" s="73">
        <v>1.4990863288308898</v>
      </c>
      <c r="F925" s="73">
        <v>1.5793398659167401</v>
      </c>
    </row>
    <row r="926" spans="2:6" x14ac:dyDescent="0.45">
      <c r="B926" s="72">
        <v>45505</v>
      </c>
      <c r="C926" s="73">
        <v>216.88691711425781</v>
      </c>
      <c r="D926" s="73">
        <v>5446.68017578125</v>
      </c>
      <c r="E926" s="73">
        <v>-1.6750702992864408</v>
      </c>
      <c r="F926" s="73">
        <v>-1.3693502993456064</v>
      </c>
    </row>
    <row r="927" spans="2:6" x14ac:dyDescent="0.45">
      <c r="B927" s="72">
        <v>45506</v>
      </c>
      <c r="C927" s="73">
        <v>218.3768005371094</v>
      </c>
      <c r="D927" s="73">
        <v>5346.56005859375</v>
      </c>
      <c r="E927" s="73">
        <v>0.68694020030111158</v>
      </c>
      <c r="F927" s="73">
        <v>-1.8381860868696753</v>
      </c>
    </row>
    <row r="928" spans="2:6" x14ac:dyDescent="0.45">
      <c r="B928" s="72">
        <v>45509</v>
      </c>
      <c r="C928" s="73">
        <v>207.85826110839841</v>
      </c>
      <c r="D928" s="73">
        <v>5186.330078125</v>
      </c>
      <c r="E928" s="73">
        <v>-4.8166927085844691</v>
      </c>
      <c r="F928" s="73">
        <v>-2.996879838863975</v>
      </c>
    </row>
    <row r="929" spans="2:6" x14ac:dyDescent="0.45">
      <c r="B929" s="72">
        <v>45510</v>
      </c>
      <c r="C929" s="73">
        <v>205.8320007324219</v>
      </c>
      <c r="D929" s="73">
        <v>5240.02978515625</v>
      </c>
      <c r="E929" s="73">
        <v>-0.97482792609325797</v>
      </c>
      <c r="F929" s="73">
        <v>1.0354085880061037</v>
      </c>
    </row>
    <row r="930" spans="2:6" x14ac:dyDescent="0.45">
      <c r="B930" s="72">
        <v>45511</v>
      </c>
      <c r="C930" s="73">
        <v>208.404541015625</v>
      </c>
      <c r="D930" s="73">
        <v>5199.5</v>
      </c>
      <c r="E930" s="73">
        <v>1.2498252332237447</v>
      </c>
      <c r="F930" s="73">
        <v>-0.77346478585028633</v>
      </c>
    </row>
    <row r="931" spans="2:6" x14ac:dyDescent="0.45">
      <c r="B931" s="72">
        <v>45512</v>
      </c>
      <c r="C931" s="73">
        <v>211.87098693847659</v>
      </c>
      <c r="D931" s="73">
        <v>5319.31005859375</v>
      </c>
      <c r="E931" s="73">
        <v>1.6633255235027233</v>
      </c>
      <c r="F931" s="73">
        <v>2.3042611519136447</v>
      </c>
    </row>
    <row r="932" spans="2:6" x14ac:dyDescent="0.45">
      <c r="B932" s="72">
        <v>45513</v>
      </c>
      <c r="C932" s="73">
        <v>214.7812194824219</v>
      </c>
      <c r="D932" s="73">
        <v>5344.16015625</v>
      </c>
      <c r="E932" s="73">
        <v>1.3735870993938359</v>
      </c>
      <c r="F932" s="73">
        <v>0.46716768495385086</v>
      </c>
    </row>
    <row r="933" spans="2:6" x14ac:dyDescent="0.45">
      <c r="B933" s="72">
        <v>45516</v>
      </c>
      <c r="C933" s="73">
        <v>216.3126220703125</v>
      </c>
      <c r="D933" s="73">
        <v>5344.39013671875</v>
      </c>
      <c r="E933" s="73">
        <v>0.71300581660769247</v>
      </c>
      <c r="F933" s="73">
        <v>4.3033977655149158E-3</v>
      </c>
    </row>
    <row r="934" spans="2:6" x14ac:dyDescent="0.45">
      <c r="B934" s="72">
        <v>45517</v>
      </c>
      <c r="C934" s="73">
        <v>220.03166198730469</v>
      </c>
      <c r="D934" s="73">
        <v>5434.43017578125</v>
      </c>
      <c r="E934" s="73">
        <v>1.7192893698932288</v>
      </c>
      <c r="F934" s="73">
        <v>1.6847579753558328</v>
      </c>
    </row>
    <row r="935" spans="2:6" x14ac:dyDescent="0.45">
      <c r="B935" s="72">
        <v>45518</v>
      </c>
      <c r="C935" s="73">
        <v>220.47917175292969</v>
      </c>
      <c r="D935" s="73">
        <v>5455.2099609375</v>
      </c>
      <c r="E935" s="73">
        <v>0.203384259148498</v>
      </c>
      <c r="F935" s="73">
        <v>0.38237284285767004</v>
      </c>
    </row>
    <row r="936" spans="2:6" x14ac:dyDescent="0.45">
      <c r="B936" s="72">
        <v>45519</v>
      </c>
      <c r="C936" s="73">
        <v>223.4623718261719</v>
      </c>
      <c r="D936" s="73">
        <v>5543.22021484375</v>
      </c>
      <c r="E936" s="73">
        <v>1.353053011549421</v>
      </c>
      <c r="F936" s="73">
        <v>1.6133247764330783</v>
      </c>
    </row>
    <row r="937" spans="2:6" x14ac:dyDescent="0.45">
      <c r="B937" s="72">
        <v>45520</v>
      </c>
      <c r="C937" s="73">
        <v>224.78492736816409</v>
      </c>
      <c r="D937" s="73">
        <v>5554.25</v>
      </c>
      <c r="E937" s="73">
        <v>0.59184708869957081</v>
      </c>
      <c r="F937" s="73">
        <v>0.1989779357261412</v>
      </c>
    </row>
    <row r="938" spans="2:6" x14ac:dyDescent="0.45">
      <c r="B938" s="72">
        <v>45523</v>
      </c>
      <c r="C938" s="73">
        <v>224.62580871582031</v>
      </c>
      <c r="D938" s="73">
        <v>5608.25</v>
      </c>
      <c r="E938" s="73">
        <v>-7.0787064865418525E-2</v>
      </c>
      <c r="F938" s="73">
        <v>0.97222847369131671</v>
      </c>
    </row>
    <row r="939" spans="2:6" x14ac:dyDescent="0.45">
      <c r="B939" s="72">
        <v>45524</v>
      </c>
      <c r="C939" s="73">
        <v>225.2423400878906</v>
      </c>
      <c r="D939" s="73">
        <v>5597.1201171875</v>
      </c>
      <c r="E939" s="73">
        <v>0.27447040729424721</v>
      </c>
      <c r="F939" s="73">
        <v>-0.19845553982971165</v>
      </c>
    </row>
    <row r="940" spans="2:6" x14ac:dyDescent="0.45">
      <c r="B940" s="72">
        <v>45525</v>
      </c>
      <c r="C940" s="73">
        <v>225.13294982910159</v>
      </c>
      <c r="D940" s="73">
        <v>5620.85009765625</v>
      </c>
      <c r="E940" s="73">
        <v>-4.8565584404036688E-2</v>
      </c>
      <c r="F940" s="73">
        <v>0.4239676828782013</v>
      </c>
    </row>
    <row r="941" spans="2:6" x14ac:dyDescent="0.45">
      <c r="B941" s="72">
        <v>45526</v>
      </c>
      <c r="C941" s="73">
        <v>223.27342224121091</v>
      </c>
      <c r="D941" s="73">
        <v>5570.64013671875</v>
      </c>
      <c r="E941" s="73">
        <v>-0.82596865065831526</v>
      </c>
      <c r="F941" s="73">
        <v>-0.89328055481209256</v>
      </c>
    </row>
    <row r="942" spans="2:6" x14ac:dyDescent="0.45">
      <c r="B942" s="72">
        <v>45527</v>
      </c>
      <c r="C942" s="73">
        <v>225.57049560546881</v>
      </c>
      <c r="D942" s="73">
        <v>5634.60986328125</v>
      </c>
      <c r="E942" s="73">
        <v>1.0288163011969553</v>
      </c>
      <c r="F942" s="73">
        <v>1.148337085011919</v>
      </c>
    </row>
    <row r="943" spans="2:6" x14ac:dyDescent="0.45">
      <c r="B943" s="72">
        <v>45530</v>
      </c>
      <c r="C943" s="73">
        <v>225.90858459472659</v>
      </c>
      <c r="D943" s="73">
        <v>5616.83984375</v>
      </c>
      <c r="E943" s="73">
        <v>0.14988174244610075</v>
      </c>
      <c r="F943" s="73">
        <v>-0.31537266931381813</v>
      </c>
    </row>
    <row r="944" spans="2:6" x14ac:dyDescent="0.45">
      <c r="B944" s="72">
        <v>45531</v>
      </c>
      <c r="C944" s="73">
        <v>226.75384521484381</v>
      </c>
      <c r="D944" s="73">
        <v>5625.7998046875</v>
      </c>
      <c r="E944" s="73">
        <v>0.3741604692152789</v>
      </c>
      <c r="F944" s="73">
        <v>0.15951960865450143</v>
      </c>
    </row>
    <row r="945" spans="2:6" x14ac:dyDescent="0.45">
      <c r="B945" s="72">
        <v>45532</v>
      </c>
      <c r="C945" s="73">
        <v>225.22245788574219</v>
      </c>
      <c r="D945" s="73">
        <v>5592.18017578125</v>
      </c>
      <c r="E945" s="73">
        <v>-0.67535230886632824</v>
      </c>
      <c r="F945" s="73">
        <v>-0.59759732079761596</v>
      </c>
    </row>
    <row r="946" spans="2:6" x14ac:dyDescent="0.45">
      <c r="B946" s="72">
        <v>45533</v>
      </c>
      <c r="C946" s="73">
        <v>228.50396728515619</v>
      </c>
      <c r="D946" s="73">
        <v>5591.9599609375</v>
      </c>
      <c r="E946" s="73">
        <v>1.4570080755795356</v>
      </c>
      <c r="F946" s="73">
        <v>-3.9379068060729772E-3</v>
      </c>
    </row>
    <row r="947" spans="2:6" x14ac:dyDescent="0.45">
      <c r="B947" s="72">
        <v>45534</v>
      </c>
      <c r="C947" s="73">
        <v>227.7184143066406</v>
      </c>
      <c r="D947" s="73">
        <v>5648.39990234375</v>
      </c>
      <c r="E947" s="73">
        <v>-0.34378089266838829</v>
      </c>
      <c r="F947" s="73">
        <v>1.0093051774424433</v>
      </c>
    </row>
    <row r="948" spans="2:6" x14ac:dyDescent="0.45">
      <c r="B948" s="72">
        <v>45538</v>
      </c>
      <c r="C948" s="73">
        <v>221.5233154296875</v>
      </c>
      <c r="D948" s="73">
        <v>5528.93017578125</v>
      </c>
      <c r="E948" s="73">
        <v>-2.7205085262059225</v>
      </c>
      <c r="F948" s="73">
        <v>-2.1151074397711689</v>
      </c>
    </row>
    <row r="949" spans="2:6" x14ac:dyDescent="0.45">
      <c r="B949" s="72">
        <v>45539</v>
      </c>
      <c r="C949" s="73">
        <v>219.61402893066409</v>
      </c>
      <c r="D949" s="73">
        <v>5520.06982421875</v>
      </c>
      <c r="E949" s="73">
        <v>-0.86188963690796427</v>
      </c>
      <c r="F949" s="73">
        <v>-0.16025435809103872</v>
      </c>
    </row>
    <row r="950" spans="2:6" x14ac:dyDescent="0.45">
      <c r="B950" s="72">
        <v>45540</v>
      </c>
      <c r="C950" s="73">
        <v>221.13548278808591</v>
      </c>
      <c r="D950" s="73">
        <v>5503.41015625</v>
      </c>
      <c r="E950" s="73">
        <v>0.69278536750589925</v>
      </c>
      <c r="F950" s="73">
        <v>-0.30180176155847338</v>
      </c>
    </row>
    <row r="951" spans="2:6" x14ac:dyDescent="0.45">
      <c r="B951" s="72">
        <v>45541</v>
      </c>
      <c r="C951" s="73">
        <v>219.58421325683591</v>
      </c>
      <c r="D951" s="73">
        <v>5408.419921875</v>
      </c>
      <c r="E951" s="73">
        <v>-0.70150186288130412</v>
      </c>
      <c r="F951" s="73">
        <v>-1.7260249859284649</v>
      </c>
    </row>
    <row r="952" spans="2:6" x14ac:dyDescent="0.45">
      <c r="B952" s="72">
        <v>45544</v>
      </c>
      <c r="C952" s="73">
        <v>219.67369079589841</v>
      </c>
      <c r="D952" s="73">
        <v>5471.0498046875</v>
      </c>
      <c r="E952" s="73">
        <v>4.0748621103214866E-2</v>
      </c>
      <c r="F952" s="73">
        <v>1.1580070282484201</v>
      </c>
    </row>
    <row r="953" spans="2:6" x14ac:dyDescent="0.45">
      <c r="B953" s="72">
        <v>45545</v>
      </c>
      <c r="C953" s="73">
        <v>218.878173828125</v>
      </c>
      <c r="D953" s="73">
        <v>5495.52001953125</v>
      </c>
      <c r="E953" s="73">
        <v>-0.36213575002594922</v>
      </c>
      <c r="F953" s="73">
        <v>0.44726726528396821</v>
      </c>
    </row>
    <row r="954" spans="2:6" x14ac:dyDescent="0.45">
      <c r="B954" s="72">
        <v>45546</v>
      </c>
      <c r="C954" s="73">
        <v>221.41389465332031</v>
      </c>
      <c r="D954" s="73">
        <v>5554.1298828125</v>
      </c>
      <c r="E954" s="73">
        <v>1.1585078497532209</v>
      </c>
      <c r="F954" s="73">
        <v>1.0665025888896507</v>
      </c>
    </row>
    <row r="955" spans="2:6" x14ac:dyDescent="0.45">
      <c r="B955" s="72">
        <v>45547</v>
      </c>
      <c r="C955" s="73">
        <v>221.5233154296875</v>
      </c>
      <c r="D955" s="73">
        <v>5595.759765625</v>
      </c>
      <c r="E955" s="73">
        <v>4.9419110096282637E-2</v>
      </c>
      <c r="F955" s="73">
        <v>0.74953023589392487</v>
      </c>
    </row>
    <row r="956" spans="2:6" x14ac:dyDescent="0.45">
      <c r="B956" s="72">
        <v>45548</v>
      </c>
      <c r="C956" s="73">
        <v>221.25480651855469</v>
      </c>
      <c r="D956" s="73">
        <v>5626.02001953125</v>
      </c>
      <c r="E956" s="73">
        <v>-0.12121022593580832</v>
      </c>
      <c r="F956" s="73">
        <v>0.5407711405364557</v>
      </c>
    </row>
    <row r="957" spans="2:6" x14ac:dyDescent="0.45">
      <c r="B957" s="72">
        <v>45551</v>
      </c>
      <c r="C957" s="73">
        <v>215.10939025878909</v>
      </c>
      <c r="D957" s="73">
        <v>5633.08984375</v>
      </c>
      <c r="E957" s="73">
        <v>-2.7775289298631489</v>
      </c>
      <c r="F957" s="73">
        <v>0.12566297656613212</v>
      </c>
    </row>
    <row r="958" spans="2:6" x14ac:dyDescent="0.45">
      <c r="B958" s="72">
        <v>45552</v>
      </c>
      <c r="C958" s="73">
        <v>215.57673645019531</v>
      </c>
      <c r="D958" s="73">
        <v>5634.580078125</v>
      </c>
      <c r="E958" s="73">
        <v>0.21725978156694747</v>
      </c>
      <c r="F958" s="73">
        <v>2.6455008109871336E-2</v>
      </c>
    </row>
    <row r="959" spans="2:6" x14ac:dyDescent="0.45">
      <c r="B959" s="72">
        <v>45553</v>
      </c>
      <c r="C959" s="73">
        <v>219.4549255371094</v>
      </c>
      <c r="D959" s="73">
        <v>5618.259765625</v>
      </c>
      <c r="E959" s="73">
        <v>1.7989831142146695</v>
      </c>
      <c r="F959" s="73">
        <v>-0.28964558624980929</v>
      </c>
    </row>
    <row r="960" spans="2:6" x14ac:dyDescent="0.45">
      <c r="B960" s="72">
        <v>45554</v>
      </c>
      <c r="C960" s="73">
        <v>227.5891418457031</v>
      </c>
      <c r="D960" s="73">
        <v>5713.64013671875</v>
      </c>
      <c r="E960" s="73">
        <v>3.7065544501612147</v>
      </c>
      <c r="F960" s="73">
        <v>1.6976853166763339</v>
      </c>
    </row>
    <row r="961" spans="2:6" x14ac:dyDescent="0.45">
      <c r="B961" s="72">
        <v>45555</v>
      </c>
      <c r="C961" s="73">
        <v>226.92289733886719</v>
      </c>
      <c r="D961" s="73">
        <v>5702.5498046875</v>
      </c>
      <c r="E961" s="73">
        <v>-0.29274002328617543</v>
      </c>
      <c r="F961" s="73">
        <v>-0.19410273951238066</v>
      </c>
    </row>
    <row r="962" spans="2:6" x14ac:dyDescent="0.45">
      <c r="B962" s="72">
        <v>45558</v>
      </c>
      <c r="C962" s="73">
        <v>225.20257568359381</v>
      </c>
      <c r="D962" s="73">
        <v>5718.56982421875</v>
      </c>
      <c r="E962" s="73">
        <v>-0.75810844804453659</v>
      </c>
      <c r="F962" s="73">
        <v>0.28092730585327352</v>
      </c>
    </row>
    <row r="963" spans="2:6" x14ac:dyDescent="0.45">
      <c r="B963" s="72">
        <v>45559</v>
      </c>
      <c r="C963" s="73">
        <v>226.0975341796875</v>
      </c>
      <c r="D963" s="73">
        <v>5732.93017578125</v>
      </c>
      <c r="E963" s="73">
        <v>0.3974015365397543</v>
      </c>
      <c r="F963" s="73">
        <v>0.25111788443470395</v>
      </c>
    </row>
    <row r="964" spans="2:6" x14ac:dyDescent="0.45">
      <c r="B964" s="72">
        <v>45560</v>
      </c>
      <c r="C964" s="73">
        <v>225.10313415527341</v>
      </c>
      <c r="D964" s="73">
        <v>5722.259765625</v>
      </c>
      <c r="E964" s="73">
        <v>-0.43981020315940755</v>
      </c>
      <c r="F964" s="73">
        <v>-0.18612489301417234</v>
      </c>
    </row>
    <row r="965" spans="2:6" x14ac:dyDescent="0.45">
      <c r="B965" s="72">
        <v>45561</v>
      </c>
      <c r="C965" s="73">
        <v>226.24668884277341</v>
      </c>
      <c r="D965" s="73">
        <v>5745.3701171875</v>
      </c>
      <c r="E965" s="73">
        <v>0.50801366750903298</v>
      </c>
      <c r="F965" s="73">
        <v>0.40386757171231302</v>
      </c>
    </row>
    <row r="966" spans="2:6" x14ac:dyDescent="0.45">
      <c r="B966" s="72">
        <v>45562</v>
      </c>
      <c r="C966" s="73">
        <v>226.5151672363281</v>
      </c>
      <c r="D966" s="73">
        <v>5738.169921875</v>
      </c>
      <c r="E966" s="73">
        <v>0.11866622001317495</v>
      </c>
      <c r="F966" s="73">
        <v>-0.12532169669905446</v>
      </c>
    </row>
    <row r="967" spans="2:6" x14ac:dyDescent="0.45">
      <c r="B967" s="72">
        <v>45565</v>
      </c>
      <c r="C967" s="73">
        <v>231.696044921875</v>
      </c>
      <c r="D967" s="73">
        <v>5762.47998046875</v>
      </c>
      <c r="E967" s="73">
        <v>2.2872100569502285</v>
      </c>
      <c r="F967" s="73">
        <v>0.42365525811767224</v>
      </c>
    </row>
    <row r="968" spans="2:6" x14ac:dyDescent="0.45">
      <c r="B968" s="72">
        <v>45566</v>
      </c>
      <c r="C968" s="73">
        <v>224.94403076171881</v>
      </c>
      <c r="D968" s="73">
        <v>5708.75</v>
      </c>
      <c r="E968" s="73">
        <v>-2.9141689330229537</v>
      </c>
      <c r="F968" s="73">
        <v>-0.93241070946643578</v>
      </c>
    </row>
    <row r="969" spans="2:6" x14ac:dyDescent="0.45">
      <c r="B969" s="72">
        <v>45567</v>
      </c>
      <c r="C969" s="73">
        <v>225.51084899902341</v>
      </c>
      <c r="D969" s="73">
        <v>5709.5400390625</v>
      </c>
      <c r="E969" s="73">
        <v>0.25198189762369871</v>
      </c>
      <c r="F969" s="73">
        <v>1.3839090212397487E-2</v>
      </c>
    </row>
    <row r="970" spans="2:6" x14ac:dyDescent="0.45">
      <c r="B970" s="72">
        <v>45568</v>
      </c>
      <c r="C970" s="73">
        <v>224.40704345703119</v>
      </c>
      <c r="D970" s="73">
        <v>5699.93994140625</v>
      </c>
      <c r="E970" s="73">
        <v>-0.48946893104774292</v>
      </c>
      <c r="F970" s="73">
        <v>-0.1681413492255035</v>
      </c>
    </row>
    <row r="971" spans="2:6" x14ac:dyDescent="0.45">
      <c r="B971" s="72">
        <v>45569</v>
      </c>
      <c r="C971" s="73">
        <v>225.5307312011719</v>
      </c>
      <c r="D971" s="73">
        <v>5751.06982421875</v>
      </c>
      <c r="E971" s="73">
        <v>0.50073639705336959</v>
      </c>
      <c r="F971" s="73">
        <v>0.89702493952743545</v>
      </c>
    </row>
    <row r="972" spans="2:6" x14ac:dyDescent="0.45">
      <c r="B972" s="72">
        <v>45572</v>
      </c>
      <c r="C972" s="73">
        <v>220.44932556152341</v>
      </c>
      <c r="D972" s="73">
        <v>5695.93994140625</v>
      </c>
      <c r="E972" s="73">
        <v>-2.2530879107184321</v>
      </c>
      <c r="F972" s="73">
        <v>-0.95860221658826683</v>
      </c>
    </row>
    <row r="973" spans="2:6" x14ac:dyDescent="0.45">
      <c r="B973" s="72">
        <v>45573</v>
      </c>
      <c r="C973" s="73">
        <v>224.5065002441406</v>
      </c>
      <c r="D973" s="73">
        <v>5751.1298828125</v>
      </c>
      <c r="E973" s="73">
        <v>1.8404114742845534</v>
      </c>
      <c r="F973" s="73">
        <v>0.96893474955819237</v>
      </c>
    </row>
    <row r="974" spans="2:6" x14ac:dyDescent="0.45">
      <c r="B974" s="72">
        <v>45574</v>
      </c>
      <c r="C974" s="73">
        <v>228.25538635253909</v>
      </c>
      <c r="D974" s="73">
        <v>5792.0400390625</v>
      </c>
      <c r="E974" s="73">
        <v>1.6698341047238108</v>
      </c>
      <c r="F974" s="73">
        <v>0.71134119874882717</v>
      </c>
    </row>
    <row r="975" spans="2:6" x14ac:dyDescent="0.45">
      <c r="B975" s="72">
        <v>45575</v>
      </c>
      <c r="C975" s="73">
        <v>227.75816345214841</v>
      </c>
      <c r="D975" s="73">
        <v>5780.0498046875</v>
      </c>
      <c r="E975" s="73">
        <v>-0.21783621772795136</v>
      </c>
      <c r="F975" s="73">
        <v>-0.2070122839989974</v>
      </c>
    </row>
    <row r="976" spans="2:6" x14ac:dyDescent="0.45">
      <c r="B976" s="72">
        <v>45576</v>
      </c>
      <c r="C976" s="73">
        <v>226.27655029296881</v>
      </c>
      <c r="D976" s="73">
        <v>5815.02978515625</v>
      </c>
      <c r="E976" s="73">
        <v>-0.65052033118052632</v>
      </c>
      <c r="F976" s="73">
        <v>0.60518475879536293</v>
      </c>
    </row>
    <row r="977" spans="2:6" x14ac:dyDescent="0.45">
      <c r="B977" s="72">
        <v>45579</v>
      </c>
      <c r="C977" s="73">
        <v>230.00555419921881</v>
      </c>
      <c r="D977" s="73">
        <v>5859.85009765625</v>
      </c>
      <c r="E977" s="73">
        <v>1.6479851320969408</v>
      </c>
      <c r="F977" s="73">
        <v>0.77076668832223305</v>
      </c>
    </row>
    <row r="978" spans="2:6" x14ac:dyDescent="0.45">
      <c r="B978" s="72">
        <v>45580</v>
      </c>
      <c r="C978" s="73">
        <v>232.5412902832031</v>
      </c>
      <c r="D978" s="73">
        <v>5815.259765625</v>
      </c>
      <c r="E978" s="73">
        <v>1.1024673264141915</v>
      </c>
      <c r="F978" s="73">
        <v>-0.76094663324381973</v>
      </c>
    </row>
    <row r="979" spans="2:6" x14ac:dyDescent="0.45">
      <c r="B979" s="72">
        <v>45581</v>
      </c>
      <c r="C979" s="73">
        <v>230.48283386230469</v>
      </c>
      <c r="D979" s="73">
        <v>5842.47021484375</v>
      </c>
      <c r="E979" s="73">
        <v>-0.88520039533258599</v>
      </c>
      <c r="F979" s="73">
        <v>0.46791459565738158</v>
      </c>
    </row>
    <row r="980" spans="2:6" x14ac:dyDescent="0.45">
      <c r="B980" s="72">
        <v>45582</v>
      </c>
      <c r="C980" s="73">
        <v>230.85078430175781</v>
      </c>
      <c r="D980" s="73">
        <v>5841.47021484375</v>
      </c>
      <c r="E980" s="73">
        <v>0.15964331628834927</v>
      </c>
      <c r="F980" s="73">
        <v>-1.7116047891174713E-2</v>
      </c>
    </row>
    <row r="981" spans="2:6" x14ac:dyDescent="0.45">
      <c r="B981" s="72">
        <v>45583</v>
      </c>
      <c r="C981" s="73">
        <v>233.68482971191409</v>
      </c>
      <c r="D981" s="73">
        <v>5864.669921875</v>
      </c>
      <c r="E981" s="73">
        <v>1.2276524936782218</v>
      </c>
      <c r="F981" s="73">
        <v>0.39715527389487804</v>
      </c>
    </row>
    <row r="982" spans="2:6" x14ac:dyDescent="0.45">
      <c r="B982" s="72">
        <v>45586</v>
      </c>
      <c r="C982" s="73">
        <v>235.15653991699219</v>
      </c>
      <c r="D982" s="73">
        <v>5853.97998046875</v>
      </c>
      <c r="E982" s="73">
        <v>0.62978422985027205</v>
      </c>
      <c r="F982" s="73">
        <v>-0.18227694906369774</v>
      </c>
    </row>
    <row r="983" spans="2:6" x14ac:dyDescent="0.45">
      <c r="B983" s="72">
        <v>45587</v>
      </c>
      <c r="C983" s="73">
        <v>234.54002380371091</v>
      </c>
      <c r="D983" s="73">
        <v>5851.2001953125</v>
      </c>
      <c r="E983" s="73">
        <v>-0.26217264189161149</v>
      </c>
      <c r="F983" s="73">
        <v>-4.7485388838441889E-2</v>
      </c>
    </row>
    <row r="984" spans="2:6" x14ac:dyDescent="0.45">
      <c r="B984" s="72">
        <v>45588</v>
      </c>
      <c r="C984" s="73">
        <v>229.46856689453119</v>
      </c>
      <c r="D984" s="73">
        <v>5797.419921875</v>
      </c>
      <c r="E984" s="73">
        <v>-2.1622991363828281</v>
      </c>
      <c r="F984" s="73">
        <v>-0.91913234280693867</v>
      </c>
    </row>
    <row r="985" spans="2:6" x14ac:dyDescent="0.45">
      <c r="B985" s="72">
        <v>45589</v>
      </c>
      <c r="C985" s="73">
        <v>229.27961730957031</v>
      </c>
      <c r="D985" s="73">
        <v>5809.85986328125</v>
      </c>
      <c r="E985" s="73">
        <v>-8.2342251715772363E-2</v>
      </c>
      <c r="F985" s="73">
        <v>0.2145772011323821</v>
      </c>
    </row>
    <row r="986" spans="2:6" x14ac:dyDescent="0.45">
      <c r="B986" s="72">
        <v>45590</v>
      </c>
      <c r="C986" s="73">
        <v>230.11494445800781</v>
      </c>
      <c r="D986" s="73">
        <v>5808.1201171875</v>
      </c>
      <c r="E986" s="73">
        <v>0.36432682426787988</v>
      </c>
      <c r="F986" s="73">
        <v>-2.9944716993013376E-2</v>
      </c>
    </row>
    <row r="987" spans="2:6" x14ac:dyDescent="0.45">
      <c r="B987" s="72">
        <v>45593</v>
      </c>
      <c r="C987" s="73">
        <v>232.0937805175781</v>
      </c>
      <c r="D987" s="73">
        <v>5823.52001953125</v>
      </c>
      <c r="E987" s="73">
        <v>0.85993374495128005</v>
      </c>
      <c r="F987" s="73">
        <v>0.26514435020339455</v>
      </c>
    </row>
    <row r="988" spans="2:6" x14ac:dyDescent="0.45">
      <c r="B988" s="72">
        <v>45594</v>
      </c>
      <c r="C988" s="73">
        <v>232.3622741699219</v>
      </c>
      <c r="D988" s="73">
        <v>5832.919921875</v>
      </c>
      <c r="E988" s="73">
        <v>0.11568326033772891</v>
      </c>
      <c r="F988" s="73">
        <v>0.1614127248163344</v>
      </c>
    </row>
    <row r="989" spans="2:6" x14ac:dyDescent="0.45">
      <c r="B989" s="72">
        <v>45595</v>
      </c>
      <c r="C989" s="73">
        <v>228.812255859375</v>
      </c>
      <c r="D989" s="73">
        <v>5813.669921875</v>
      </c>
      <c r="E989" s="73">
        <v>-1.5277946143489873</v>
      </c>
      <c r="F989" s="73">
        <v>-0.33002338893437511</v>
      </c>
    </row>
    <row r="990" spans="2:6" x14ac:dyDescent="0.45">
      <c r="B990" s="72">
        <v>45596</v>
      </c>
      <c r="C990" s="73">
        <v>224.64570617675781</v>
      </c>
      <c r="D990" s="73">
        <v>5705.4501953125</v>
      </c>
      <c r="E990" s="73">
        <v>-1.8209469011913004</v>
      </c>
      <c r="F990" s="73">
        <v>-1.8614700871699585</v>
      </c>
    </row>
    <row r="991" spans="2:6" x14ac:dyDescent="0.45">
      <c r="B991" s="72">
        <v>45597</v>
      </c>
      <c r="C991" s="73">
        <v>221.6625061035156</v>
      </c>
      <c r="D991" s="73">
        <v>5728.7998046875</v>
      </c>
      <c r="E991" s="73">
        <v>-1.3279577535726172</v>
      </c>
      <c r="F991" s="73">
        <v>0.4092509543626166</v>
      </c>
    </row>
    <row r="992" spans="2:6" x14ac:dyDescent="0.45">
      <c r="B992" s="72">
        <v>45600</v>
      </c>
      <c r="C992" s="73">
        <v>220.76753234863281</v>
      </c>
      <c r="D992" s="73">
        <v>5712.68994140625</v>
      </c>
      <c r="E992" s="73">
        <v>-0.40375513685875219</v>
      </c>
      <c r="F992" s="73">
        <v>-0.2812083478299976</v>
      </c>
    </row>
    <row r="993" spans="2:6" x14ac:dyDescent="0.45">
      <c r="B993" s="72">
        <v>45601</v>
      </c>
      <c r="C993" s="73">
        <v>222.1994934082031</v>
      </c>
      <c r="D993" s="73">
        <v>5782.759765625</v>
      </c>
      <c r="E993" s="73">
        <v>0.64862846648525707</v>
      </c>
      <c r="F993" s="73">
        <v>1.2265644545291332</v>
      </c>
    </row>
    <row r="994" spans="2:6" x14ac:dyDescent="0.45">
      <c r="B994" s="72">
        <v>45602</v>
      </c>
      <c r="C994" s="73">
        <v>221.47355651855469</v>
      </c>
      <c r="D994" s="73">
        <v>5929.0400390625</v>
      </c>
      <c r="E994" s="73">
        <v>-0.32670501562070964</v>
      </c>
      <c r="F994" s="73">
        <v>2.5295927786425976</v>
      </c>
    </row>
    <row r="995" spans="2:6" x14ac:dyDescent="0.45">
      <c r="B995" s="72">
        <v>45603</v>
      </c>
      <c r="C995" s="73">
        <v>226.20692443847659</v>
      </c>
      <c r="D995" s="73">
        <v>5973.10009765625</v>
      </c>
      <c r="E995" s="73">
        <v>2.1372158348508474</v>
      </c>
      <c r="F995" s="73">
        <v>0.7431229727488331</v>
      </c>
    </row>
    <row r="996" spans="2:6" x14ac:dyDescent="0.45">
      <c r="B996" s="72">
        <v>45604</v>
      </c>
      <c r="C996" s="73">
        <v>225.9381408691406</v>
      </c>
      <c r="D996" s="73">
        <v>5995.5400390625</v>
      </c>
      <c r="E996" s="73">
        <v>-0.11882199008859118</v>
      </c>
      <c r="F996" s="73">
        <v>0.37568333092317108</v>
      </c>
    </row>
    <row r="997" spans="2:6" x14ac:dyDescent="0.45">
      <c r="B997" s="72">
        <v>45607</v>
      </c>
      <c r="C997" s="73">
        <v>223.2204284667969</v>
      </c>
      <c r="D997" s="73">
        <v>6001.35009765625</v>
      </c>
      <c r="E997" s="73">
        <v>-1.20285684917526</v>
      </c>
      <c r="F997" s="73">
        <v>9.6906342979874438E-2</v>
      </c>
    </row>
    <row r="998" spans="2:6" x14ac:dyDescent="0.45">
      <c r="B998" s="72">
        <v>45608</v>
      </c>
      <c r="C998" s="73">
        <v>223.2204284667969</v>
      </c>
      <c r="D998" s="73">
        <v>5983.990234375</v>
      </c>
      <c r="E998" s="73">
        <v>0</v>
      </c>
      <c r="F998" s="73">
        <v>-0.28926596513724201</v>
      </c>
    </row>
    <row r="999" spans="2:6" x14ac:dyDescent="0.45">
      <c r="B999" s="72">
        <v>45609</v>
      </c>
      <c r="C999" s="73">
        <v>224.10639953613281</v>
      </c>
      <c r="D999" s="73">
        <v>5985.3798828125</v>
      </c>
      <c r="E999" s="73">
        <v>0.39690411644726087</v>
      </c>
      <c r="F999" s="73">
        <v>2.3222772482434095E-2</v>
      </c>
    </row>
    <row r="1000" spans="2:6" x14ac:dyDescent="0.45">
      <c r="B1000" s="72">
        <v>45610</v>
      </c>
      <c r="C1000" s="73">
        <v>227.19245910644531</v>
      </c>
      <c r="D1000" s="73">
        <v>5949.169921875</v>
      </c>
      <c r="E1000" s="73">
        <v>1.3770510689119941</v>
      </c>
      <c r="F1000" s="73">
        <v>-0.60497347948590408</v>
      </c>
    </row>
    <row r="1001" spans="2:6" x14ac:dyDescent="0.45">
      <c r="B1001" s="72">
        <v>45611</v>
      </c>
      <c r="C1001" s="73">
        <v>223.9869689941406</v>
      </c>
      <c r="D1001" s="73">
        <v>5870.6201171875</v>
      </c>
      <c r="E1001" s="73">
        <v>-1.410913955908577</v>
      </c>
      <c r="F1001" s="73">
        <v>-1.3203489851361216</v>
      </c>
    </row>
    <row r="1002" spans="2:6" x14ac:dyDescent="0.45">
      <c r="B1002" s="72">
        <v>45614</v>
      </c>
      <c r="C1002" s="73">
        <v>226.9933776855469</v>
      </c>
      <c r="D1002" s="73">
        <v>5893.6201171875</v>
      </c>
      <c r="E1002" s="73">
        <v>1.3422248200005482</v>
      </c>
      <c r="F1002" s="73">
        <v>0.39178143945410859</v>
      </c>
    </row>
    <row r="1003" spans="2:6" x14ac:dyDescent="0.45">
      <c r="B1003" s="72">
        <v>45615</v>
      </c>
      <c r="C1003" s="73">
        <v>227.252197265625</v>
      </c>
      <c r="D1003" s="73">
        <v>5916.97998046875</v>
      </c>
      <c r="E1003" s="73">
        <v>0.1140207625072831</v>
      </c>
      <c r="F1003" s="73">
        <v>0.39635848284700348</v>
      </c>
    </row>
    <row r="1004" spans="2:6" x14ac:dyDescent="0.45">
      <c r="B1004" s="72">
        <v>45616</v>
      </c>
      <c r="C1004" s="73">
        <v>227.96894836425781</v>
      </c>
      <c r="D1004" s="73">
        <v>5917.10986328125</v>
      </c>
      <c r="E1004" s="73">
        <v>0.31539897402841355</v>
      </c>
      <c r="F1004" s="73">
        <v>2.195086225209586E-3</v>
      </c>
    </row>
    <row r="1005" spans="2:6" x14ac:dyDescent="0.45">
      <c r="B1005" s="72">
        <v>45617</v>
      </c>
      <c r="C1005" s="73">
        <v>227.4911193847656</v>
      </c>
      <c r="D1005" s="73">
        <v>5948.7099609375</v>
      </c>
      <c r="E1005" s="73">
        <v>-0.2096026598888856</v>
      </c>
      <c r="F1005" s="73">
        <v>0.53404615405816536</v>
      </c>
    </row>
    <row r="1006" spans="2:6" x14ac:dyDescent="0.45">
      <c r="B1006" s="72">
        <v>45618</v>
      </c>
      <c r="C1006" s="73">
        <v>228.83503723144531</v>
      </c>
      <c r="D1006" s="73">
        <v>5969.33984375</v>
      </c>
      <c r="E1006" s="73">
        <v>0.59075617998374241</v>
      </c>
      <c r="F1006" s="73">
        <v>0.34679590949915351</v>
      </c>
    </row>
    <row r="1007" spans="2:6" x14ac:dyDescent="0.45">
      <c r="B1007" s="72">
        <v>45621</v>
      </c>
      <c r="C1007" s="73">
        <v>231.82151794433591</v>
      </c>
      <c r="D1007" s="73">
        <v>5987.3701171875</v>
      </c>
      <c r="E1007" s="73">
        <v>1.3050801787271915</v>
      </c>
      <c r="F1007" s="73">
        <v>0.30204803059383778</v>
      </c>
    </row>
    <row r="1008" spans="2:6" x14ac:dyDescent="0.45">
      <c r="B1008" s="72">
        <v>45622</v>
      </c>
      <c r="C1008" s="73">
        <v>234.00166320800781</v>
      </c>
      <c r="D1008" s="73">
        <v>6021.6298828125</v>
      </c>
      <c r="E1008" s="73">
        <v>0.9404412856080846</v>
      </c>
      <c r="F1008" s="73">
        <v>0.57220056476303682</v>
      </c>
    </row>
    <row r="1009" spans="2:6" x14ac:dyDescent="0.45">
      <c r="B1009" s="72">
        <v>45623</v>
      </c>
      <c r="C1009" s="73">
        <v>233.87223815917969</v>
      </c>
      <c r="D1009" s="73">
        <v>5998.740234375</v>
      </c>
      <c r="E1009" s="73">
        <v>-5.5309456802055124E-2</v>
      </c>
      <c r="F1009" s="73">
        <v>-0.3801238017440034</v>
      </c>
    </row>
    <row r="1010" spans="2:6" x14ac:dyDescent="0.45">
      <c r="B1010" s="72">
        <v>45625</v>
      </c>
      <c r="C1010" s="73">
        <v>236.2614440917969</v>
      </c>
      <c r="D1010" s="73">
        <v>6032.3798828125</v>
      </c>
      <c r="E1010" s="73">
        <v>1.0215859528359461</v>
      </c>
      <c r="F1010" s="73">
        <v>0.56077854888152423</v>
      </c>
    </row>
    <row r="1011" spans="2:6" x14ac:dyDescent="0.45">
      <c r="B1011" s="72">
        <v>45628</v>
      </c>
      <c r="C1011" s="73">
        <v>238.5112609863281</v>
      </c>
      <c r="D1011" s="73">
        <v>6047.14990234375</v>
      </c>
      <c r="E1011" s="73">
        <v>0.95225731950450143</v>
      </c>
      <c r="F1011" s="73">
        <v>0.24484564662998753</v>
      </c>
    </row>
    <row r="1012" spans="2:6" x14ac:dyDescent="0.45">
      <c r="B1012" s="72">
        <v>45629</v>
      </c>
      <c r="C1012" s="73">
        <v>241.5574951171875</v>
      </c>
      <c r="D1012" s="73">
        <v>6049.8798828125</v>
      </c>
      <c r="E1012" s="73">
        <v>1.2771867115465074</v>
      </c>
      <c r="F1012" s="73">
        <v>4.5144911451466818E-2</v>
      </c>
    </row>
    <row r="1013" spans="2:6" x14ac:dyDescent="0.45">
      <c r="B1013" s="72">
        <v>45630</v>
      </c>
      <c r="C1013" s="73">
        <v>241.9158630371094</v>
      </c>
      <c r="D1013" s="73">
        <v>6086.490234375</v>
      </c>
      <c r="E1013" s="73">
        <v>0.14835719328354369</v>
      </c>
      <c r="F1013" s="73">
        <v>0.60514179242647792</v>
      </c>
    </row>
    <row r="1014" spans="2:6" x14ac:dyDescent="0.45">
      <c r="B1014" s="72">
        <v>45631</v>
      </c>
      <c r="C1014" s="73">
        <v>241.94573974609381</v>
      </c>
      <c r="D1014" s="73">
        <v>6075.10986328125</v>
      </c>
      <c r="E1014" s="73">
        <v>1.2350041295072778E-2</v>
      </c>
      <c r="F1014" s="73">
        <v>-0.18697756269248078</v>
      </c>
    </row>
    <row r="1015" spans="2:6" x14ac:dyDescent="0.45">
      <c r="B1015" s="72">
        <v>45632</v>
      </c>
      <c r="C1015" s="73">
        <v>241.74664306640619</v>
      </c>
      <c r="D1015" s="73">
        <v>6090.27001953125</v>
      </c>
      <c r="E1015" s="73">
        <v>-8.2289805927793225E-2</v>
      </c>
      <c r="F1015" s="73">
        <v>0.24954538421815275</v>
      </c>
    </row>
    <row r="1016" spans="2:6" x14ac:dyDescent="0.45">
      <c r="B1016" s="72">
        <v>45635</v>
      </c>
      <c r="C1016" s="73">
        <v>245.63902282714841</v>
      </c>
      <c r="D1016" s="73">
        <v>6052.85009765625</v>
      </c>
      <c r="E1016" s="73">
        <v>1.6101070572769105</v>
      </c>
      <c r="F1016" s="73">
        <v>-0.61442139272964713</v>
      </c>
    </row>
    <row r="1017" spans="2:6" x14ac:dyDescent="0.45">
      <c r="B1017" s="72">
        <v>45636</v>
      </c>
      <c r="C1017" s="73">
        <v>246.6544494628906</v>
      </c>
      <c r="D1017" s="73">
        <v>6034.91015625</v>
      </c>
      <c r="E1017" s="73">
        <v>0.4133816459841233</v>
      </c>
      <c r="F1017" s="73">
        <v>-0.2963883313944371</v>
      </c>
    </row>
    <row r="1018" spans="2:6" x14ac:dyDescent="0.45">
      <c r="B1018" s="72">
        <v>45637</v>
      </c>
      <c r="C1018" s="73">
        <v>245.3802185058594</v>
      </c>
      <c r="D1018" s="73">
        <v>6084.18994140625</v>
      </c>
      <c r="E1018" s="73">
        <v>-0.51660570478494483</v>
      </c>
      <c r="F1018" s="73">
        <v>0.8165786048233592</v>
      </c>
    </row>
    <row r="1019" spans="2:6" x14ac:dyDescent="0.45">
      <c r="B1019" s="72">
        <v>45638</v>
      </c>
      <c r="C1019" s="73">
        <v>246.8435974121094</v>
      </c>
      <c r="D1019" s="73">
        <v>6051.25</v>
      </c>
      <c r="E1019" s="73">
        <v>0.59637199573814303</v>
      </c>
      <c r="F1019" s="73">
        <v>-0.54140225278102028</v>
      </c>
    </row>
    <row r="1020" spans="2:6" x14ac:dyDescent="0.45">
      <c r="B1020" s="72">
        <v>45639</v>
      </c>
      <c r="C1020" s="73">
        <v>247.01283264160159</v>
      </c>
      <c r="D1020" s="73">
        <v>6051.08984375</v>
      </c>
      <c r="E1020" s="73">
        <v>6.8559699853043554E-2</v>
      </c>
      <c r="F1020" s="73">
        <v>-2.6466639124200775E-3</v>
      </c>
    </row>
    <row r="1021" spans="2:6" x14ac:dyDescent="0.45">
      <c r="B1021" s="72">
        <v>45642</v>
      </c>
      <c r="C1021" s="73">
        <v>249.9096984863281</v>
      </c>
      <c r="D1021" s="73">
        <v>6074.080078125</v>
      </c>
      <c r="E1021" s="73">
        <v>1.1727592505000217</v>
      </c>
      <c r="F1021" s="73">
        <v>0.37993543260221863</v>
      </c>
    </row>
    <row r="1022" spans="2:6" x14ac:dyDescent="0.45">
      <c r="B1022" s="72">
        <v>45643</v>
      </c>
      <c r="C1022" s="73">
        <v>252.33872985839841</v>
      </c>
      <c r="D1022" s="73">
        <v>6050.60986328125</v>
      </c>
      <c r="E1022" s="73">
        <v>0.97196362797549174</v>
      </c>
      <c r="F1022" s="73">
        <v>-0.38639949658014761</v>
      </c>
    </row>
    <row r="1023" spans="2:6" x14ac:dyDescent="0.45">
      <c r="B1023" s="72">
        <v>45644</v>
      </c>
      <c r="C1023" s="73">
        <v>246.93318176269531</v>
      </c>
      <c r="D1023" s="73">
        <v>5872.16015625</v>
      </c>
      <c r="E1023" s="73">
        <v>-2.1421793232994646</v>
      </c>
      <c r="F1023" s="73">
        <v>-2.949284635160343</v>
      </c>
    </row>
    <row r="1024" spans="2:6" x14ac:dyDescent="0.45">
      <c r="B1024" s="72">
        <v>45645</v>
      </c>
      <c r="C1024" s="73">
        <v>248.66532897949219</v>
      </c>
      <c r="D1024" s="73">
        <v>5867.080078125</v>
      </c>
      <c r="E1024" s="73">
        <v>0.7014639362892483</v>
      </c>
      <c r="F1024" s="73">
        <v>-8.6511232490704693E-2</v>
      </c>
    </row>
    <row r="1025" spans="2:6" x14ac:dyDescent="0.45">
      <c r="B1025" s="72">
        <v>45646</v>
      </c>
      <c r="C1025" s="73">
        <v>253.34417724609381</v>
      </c>
      <c r="D1025" s="73">
        <v>5930.85009765625</v>
      </c>
      <c r="E1025" s="73">
        <v>1.8815844918161018</v>
      </c>
      <c r="F1025" s="73">
        <v>1.0869123768910471</v>
      </c>
    </row>
    <row r="1026" spans="2:6" x14ac:dyDescent="0.45">
      <c r="B1026" s="72">
        <v>45649</v>
      </c>
      <c r="C1026" s="73">
        <v>254.12068176269531</v>
      </c>
      <c r="D1026" s="73">
        <v>5974.06982421875</v>
      </c>
      <c r="E1026" s="73">
        <v>0.3065018209782</v>
      </c>
      <c r="F1026" s="73">
        <v>0.72872734685336393</v>
      </c>
    </row>
    <row r="1027" spans="2:6" x14ac:dyDescent="0.45">
      <c r="B1027" s="72">
        <v>45650</v>
      </c>
      <c r="C1027" s="73">
        <v>257.0374755859375</v>
      </c>
      <c r="D1027" s="73">
        <v>6040.0400390625</v>
      </c>
      <c r="E1027" s="73">
        <v>1.1477986769947268</v>
      </c>
      <c r="F1027" s="73">
        <v>1.1042759255392109</v>
      </c>
    </row>
    <row r="1028" spans="2:6" x14ac:dyDescent="0.45">
      <c r="B1028" s="72">
        <v>45652</v>
      </c>
      <c r="C1028" s="73">
        <v>257.853759765625</v>
      </c>
      <c r="D1028" s="73">
        <v>6037.58984375</v>
      </c>
      <c r="E1028" s="73">
        <v>0.31757399493077543</v>
      </c>
      <c r="F1028" s="73">
        <v>-4.0565878647391695E-2</v>
      </c>
    </row>
    <row r="1029" spans="2:6" x14ac:dyDescent="0.45">
      <c r="B1029" s="72">
        <v>45653</v>
      </c>
      <c r="C1029" s="73">
        <v>254.439208984375</v>
      </c>
      <c r="D1029" s="73">
        <v>5970.83984375</v>
      </c>
      <c r="E1029" s="73">
        <v>-1.324219892839118</v>
      </c>
      <c r="F1029" s="73">
        <v>-1.1055736101235558</v>
      </c>
    </row>
    <row r="1030" spans="2:6" x14ac:dyDescent="0.45">
      <c r="B1030" s="72">
        <v>45656</v>
      </c>
      <c r="C1030" s="73">
        <v>251.0644836425781</v>
      </c>
      <c r="D1030" s="73">
        <v>5906.93994140625</v>
      </c>
      <c r="E1030" s="73">
        <v>-1.3263385605023381</v>
      </c>
      <c r="F1030" s="73">
        <v>-1.0701995701766776</v>
      </c>
    </row>
    <row r="1031" spans="2:6" x14ac:dyDescent="0.45">
      <c r="B1031" s="72">
        <v>45657</v>
      </c>
      <c r="C1031" s="73">
        <v>249.2925109863281</v>
      </c>
      <c r="D1031" s="73">
        <v>5881.6298828125</v>
      </c>
      <c r="E1031" s="73">
        <v>-0.70578388091429023</v>
      </c>
      <c r="F1031" s="73">
        <v>-0.42848003949274016</v>
      </c>
    </row>
    <row r="1032" spans="2:6" x14ac:dyDescent="0.45">
      <c r="B1032" s="72">
        <v>45659</v>
      </c>
      <c r="C1032" s="73">
        <v>242.75209045410159</v>
      </c>
      <c r="D1032" s="73">
        <v>5868.5498046875</v>
      </c>
      <c r="E1032" s="73">
        <v>-2.6235928654050888</v>
      </c>
      <c r="F1032" s="73">
        <v>-0.22238866412221947</v>
      </c>
    </row>
    <row r="1033" spans="2:6" x14ac:dyDescent="0.45">
      <c r="B1033" s="72">
        <v>45660</v>
      </c>
      <c r="C1033" s="73">
        <v>242.26429748535159</v>
      </c>
      <c r="D1033" s="73">
        <v>5942.47021484375</v>
      </c>
      <c r="E1033" s="73">
        <v>-0.20094284989987665</v>
      </c>
      <c r="F1033" s="73">
        <v>1.259602672149196</v>
      </c>
    </row>
    <row r="1034" spans="2:6" x14ac:dyDescent="0.45">
      <c r="B1034" s="72">
        <v>45663</v>
      </c>
      <c r="C1034" s="73">
        <v>243.89691162109381</v>
      </c>
      <c r="D1034" s="73">
        <v>5975.3798828125</v>
      </c>
      <c r="E1034" s="73">
        <v>0.67389795058057089</v>
      </c>
      <c r="F1034" s="73">
        <v>0.55380450854503049</v>
      </c>
    </row>
    <row r="1035" spans="2:6" x14ac:dyDescent="0.45">
      <c r="B1035" s="72">
        <v>45664</v>
      </c>
      <c r="C1035" s="73">
        <v>241.1194763183594</v>
      </c>
      <c r="D1035" s="73">
        <v>5909.02978515625</v>
      </c>
      <c r="E1035" s="73">
        <v>-1.1387742814264468</v>
      </c>
      <c r="F1035" s="73">
        <v>-1.110391288210788</v>
      </c>
    </row>
    <row r="1036" spans="2:6" x14ac:dyDescent="0.45">
      <c r="B1036" s="72">
        <v>45665</v>
      </c>
      <c r="C1036" s="73">
        <v>241.6072692871094</v>
      </c>
      <c r="D1036" s="73">
        <v>5918.25</v>
      </c>
      <c r="E1036" s="73">
        <v>0.20230342907097132</v>
      </c>
      <c r="F1036" s="73">
        <v>0.1560360190925314</v>
      </c>
    </row>
    <row r="1037" spans="2:6" x14ac:dyDescent="0.45">
      <c r="B1037" s="72">
        <v>45667</v>
      </c>
      <c r="C1037" s="73">
        <v>235.78363037109381</v>
      </c>
      <c r="D1037" s="73">
        <v>5827.0400390625</v>
      </c>
      <c r="E1037" s="73">
        <v>-2.4103740476016822</v>
      </c>
      <c r="F1037" s="73">
        <v>-1.541164380306681</v>
      </c>
    </row>
    <row r="1038" spans="2:6" x14ac:dyDescent="0.45">
      <c r="B1038" s="72">
        <v>45670</v>
      </c>
      <c r="C1038" s="73">
        <v>233.34465026855469</v>
      </c>
      <c r="D1038" s="73">
        <v>5836.22021484375</v>
      </c>
      <c r="E1038" s="73">
        <v>-1.0344145175390174</v>
      </c>
      <c r="F1038" s="73">
        <v>0.15754440882007614</v>
      </c>
    </row>
    <row r="1039" spans="2:6" x14ac:dyDescent="0.45">
      <c r="B1039" s="72">
        <v>45671</v>
      </c>
      <c r="C1039" s="73">
        <v>232.22967529296881</v>
      </c>
      <c r="D1039" s="73">
        <v>5842.91015625</v>
      </c>
      <c r="E1039" s="73">
        <v>-0.47782324313099256</v>
      </c>
      <c r="F1039" s="73">
        <v>0.11462798112440442</v>
      </c>
    </row>
    <row r="1040" spans="2:6" x14ac:dyDescent="0.45">
      <c r="B1040" s="72">
        <v>45672</v>
      </c>
      <c r="C1040" s="73">
        <v>236.79901123046881</v>
      </c>
      <c r="D1040" s="73">
        <v>5949.91015625</v>
      </c>
      <c r="E1040" s="73">
        <v>1.9675934747510393</v>
      </c>
      <c r="F1040" s="73">
        <v>1.8312792279639112</v>
      </c>
    </row>
    <row r="1041" spans="2:6" x14ac:dyDescent="0.45">
      <c r="B1041" s="72">
        <v>45673</v>
      </c>
      <c r="C1041" s="73">
        <v>227.23228454589841</v>
      </c>
      <c r="D1041" s="73">
        <v>5937.33984375</v>
      </c>
      <c r="E1041" s="73">
        <v>-4.0400196921681513</v>
      </c>
      <c r="F1041" s="73">
        <v>-0.21126894641922966</v>
      </c>
    </row>
    <row r="1042" spans="2:6" x14ac:dyDescent="0.45">
      <c r="B1042" s="72">
        <v>45674</v>
      </c>
      <c r="C1042" s="73">
        <v>228.94453430175781</v>
      </c>
      <c r="D1042" s="73">
        <v>5996.66015625</v>
      </c>
      <c r="E1042" s="73">
        <v>0.75352398066197424</v>
      </c>
      <c r="F1042" s="73">
        <v>0.99910589693537055</v>
      </c>
    </row>
    <row r="1043" spans="2:6" x14ac:dyDescent="0.45">
      <c r="B1043" s="72">
        <v>45678</v>
      </c>
      <c r="C1043" s="73">
        <v>221.6375732421875</v>
      </c>
      <c r="D1043" s="73">
        <v>6049.240234375</v>
      </c>
      <c r="E1043" s="73">
        <v>-3.1915857182855722</v>
      </c>
      <c r="F1043" s="73">
        <v>0.87682271055828931</v>
      </c>
    </row>
    <row r="1044" spans="2:6" x14ac:dyDescent="0.45">
      <c r="B1044" s="72">
        <v>45679</v>
      </c>
      <c r="C1044" s="73">
        <v>222.8222351074219</v>
      </c>
      <c r="D1044" s="73">
        <v>6086.3701171875</v>
      </c>
      <c r="E1044" s="73">
        <v>0.53450407704107583</v>
      </c>
      <c r="F1044" s="73">
        <v>0.61379415222275746</v>
      </c>
    </row>
    <row r="1045" spans="2:6" x14ac:dyDescent="0.45">
      <c r="B1045" s="72">
        <v>45680</v>
      </c>
      <c r="C1045" s="73">
        <v>222.65301513671881</v>
      </c>
      <c r="D1045" s="73">
        <v>6118.7099609375</v>
      </c>
      <c r="E1045" s="73">
        <v>-7.5943933791666751E-2</v>
      </c>
      <c r="F1045" s="73">
        <v>0.53134862204113897</v>
      </c>
    </row>
    <row r="1046" spans="2:6" x14ac:dyDescent="0.45">
      <c r="B1046" s="72">
        <v>45681</v>
      </c>
      <c r="C1046" s="73">
        <v>221.7769470214844</v>
      </c>
      <c r="D1046" s="73">
        <v>6101.240234375</v>
      </c>
      <c r="E1046" s="73">
        <v>-0.39346788755429962</v>
      </c>
      <c r="F1046" s="73">
        <v>-0.28551323193988232</v>
      </c>
    </row>
    <row r="1047" spans="2:6" x14ac:dyDescent="0.45">
      <c r="B1047" s="72">
        <v>45684</v>
      </c>
      <c r="C1047" s="73">
        <v>228.82508850097659</v>
      </c>
      <c r="D1047" s="73">
        <v>6012.27978515625</v>
      </c>
      <c r="E1047" s="73">
        <v>3.1780316097549166</v>
      </c>
      <c r="F1047" s="73">
        <v>-1.4580715690809543</v>
      </c>
    </row>
    <row r="1048" spans="2:6" x14ac:dyDescent="0.45">
      <c r="B1048" s="72">
        <v>45685</v>
      </c>
      <c r="C1048" s="73">
        <v>237.18724060058591</v>
      </c>
      <c r="D1048" s="73">
        <v>6067.7001953125</v>
      </c>
      <c r="E1048" s="73">
        <v>3.6543860441131892</v>
      </c>
      <c r="F1048" s="73">
        <v>0.92178694499676084</v>
      </c>
    </row>
    <row r="1049" spans="2:6" x14ac:dyDescent="0.45">
      <c r="B1049" s="72">
        <v>45686</v>
      </c>
      <c r="C1049" s="73">
        <v>238.28230285644531</v>
      </c>
      <c r="D1049" s="73">
        <v>6039.31005859375</v>
      </c>
      <c r="E1049" s="73">
        <v>0.46168683150349388</v>
      </c>
      <c r="F1049" s="73">
        <v>-0.46788957603215442</v>
      </c>
    </row>
    <row r="1050" spans="2:6" x14ac:dyDescent="0.45">
      <c r="B1050" s="72">
        <v>45687</v>
      </c>
      <c r="C1050" s="73">
        <v>236.52027893066409</v>
      </c>
      <c r="D1050" s="73">
        <v>6071.169921875</v>
      </c>
      <c r="E1050" s="73">
        <v>-0.73946906868814777</v>
      </c>
      <c r="F1050" s="73">
        <v>0.52754144053117624</v>
      </c>
    </row>
    <row r="1051" spans="2:6" x14ac:dyDescent="0.45">
      <c r="B1051" s="72">
        <v>45688</v>
      </c>
      <c r="C1051" s="73">
        <v>234.93743896484381</v>
      </c>
      <c r="D1051" s="73">
        <v>6040.52978515625</v>
      </c>
      <c r="E1051" s="73">
        <v>-0.66921955824527091</v>
      </c>
      <c r="F1051" s="73">
        <v>-0.50468257540199346</v>
      </c>
    </row>
    <row r="1052" spans="2:6" x14ac:dyDescent="0.45">
      <c r="B1052" s="72">
        <v>45691</v>
      </c>
      <c r="C1052" s="73">
        <v>226.9833984375</v>
      </c>
      <c r="D1052" s="73">
        <v>5994.56982421875</v>
      </c>
      <c r="E1052" s="73">
        <v>-3.3855994014364232</v>
      </c>
      <c r="F1052" s="73">
        <v>-0.76085976846667069</v>
      </c>
    </row>
    <row r="1053" spans="2:6" x14ac:dyDescent="0.45">
      <c r="B1053" s="72">
        <v>45692</v>
      </c>
      <c r="C1053" s="73">
        <v>231.7518615722656</v>
      </c>
      <c r="D1053" s="73">
        <v>6037.8798828125</v>
      </c>
      <c r="E1053" s="73">
        <v>2.1007981938725884</v>
      </c>
      <c r="F1053" s="73">
        <v>0.72248818286797523</v>
      </c>
    </row>
    <row r="1054" spans="2:6" x14ac:dyDescent="0.45">
      <c r="B1054" s="72">
        <v>45693</v>
      </c>
      <c r="C1054" s="73">
        <v>231.42333984375</v>
      </c>
      <c r="D1054" s="73">
        <v>6061.47998046875</v>
      </c>
      <c r="E1054" s="73">
        <v>-0.14175580998004866</v>
      </c>
      <c r="F1054" s="73">
        <v>0.39086729306143653</v>
      </c>
    </row>
    <row r="1055" spans="2:6" x14ac:dyDescent="0.45">
      <c r="B1055" s="72">
        <v>45694</v>
      </c>
      <c r="C1055" s="73">
        <v>232.1699523925781</v>
      </c>
      <c r="D1055" s="73">
        <v>6083.56982421875</v>
      </c>
      <c r="E1055" s="73">
        <v>0.32261765357468608</v>
      </c>
      <c r="F1055" s="73">
        <v>0.36442987226186219</v>
      </c>
    </row>
    <row r="1056" spans="2:6" x14ac:dyDescent="0.45">
      <c r="B1056" s="72">
        <v>45695</v>
      </c>
      <c r="C1056" s="73">
        <v>226.60514831542969</v>
      </c>
      <c r="D1056" s="73">
        <v>6025.990234375</v>
      </c>
      <c r="E1056" s="73">
        <v>-2.3968666142201056</v>
      </c>
      <c r="F1056" s="73">
        <v>-0.94647701115428973</v>
      </c>
    </row>
    <row r="1057" spans="2:6" x14ac:dyDescent="0.45">
      <c r="B1057" s="72">
        <v>45698</v>
      </c>
      <c r="C1057" s="73">
        <v>226.87419128417969</v>
      </c>
      <c r="D1057" s="73">
        <v>6066.43994140625</v>
      </c>
      <c r="E1057" s="73">
        <v>0.11872765060725321</v>
      </c>
      <c r="F1057" s="73">
        <v>0.67125410858628332</v>
      </c>
    </row>
    <row r="1058" spans="2:6" x14ac:dyDescent="0.45">
      <c r="B1058" s="72">
        <v>45699</v>
      </c>
      <c r="C1058" s="73">
        <v>231.82725524902341</v>
      </c>
      <c r="D1058" s="73">
        <v>6068.5</v>
      </c>
      <c r="E1058" s="73">
        <v>2.1831764718621471</v>
      </c>
      <c r="F1058" s="73">
        <v>3.3958278885926063E-2</v>
      </c>
    </row>
    <row r="1059" spans="2:6" x14ac:dyDescent="0.45">
      <c r="B1059" s="72">
        <v>45700</v>
      </c>
      <c r="C1059" s="73">
        <v>236.0627746582031</v>
      </c>
      <c r="D1059" s="73">
        <v>6051.97021484375</v>
      </c>
      <c r="E1059" s="73">
        <v>1.8270152940516038</v>
      </c>
      <c r="F1059" s="73">
        <v>-0.27238667143857365</v>
      </c>
    </row>
    <row r="1060" spans="2:6" x14ac:dyDescent="0.45">
      <c r="B1060" s="72">
        <v>45701</v>
      </c>
      <c r="C1060" s="73">
        <v>240.70689392089841</v>
      </c>
      <c r="D1060" s="73">
        <v>6115.06982421875</v>
      </c>
      <c r="E1060" s="73">
        <v>1.9673238482516231</v>
      </c>
      <c r="F1060" s="73">
        <v>1.0426292122230674</v>
      </c>
    </row>
    <row r="1061" spans="2:6" x14ac:dyDescent="0.45">
      <c r="B1061" s="72">
        <v>45702</v>
      </c>
      <c r="C1061" s="73">
        <v>243.76643371582031</v>
      </c>
      <c r="D1061" s="73">
        <v>6114.6298828125</v>
      </c>
      <c r="E1061" s="73">
        <v>1.2710644656182213</v>
      </c>
      <c r="F1061" s="73">
        <v>-7.1943807494645462E-3</v>
      </c>
    </row>
    <row r="1062" spans="2:6" x14ac:dyDescent="0.45">
      <c r="B1062" s="72">
        <v>45706</v>
      </c>
      <c r="C1062" s="73">
        <v>243.63688659667969</v>
      </c>
      <c r="D1062" s="73">
        <v>6129.580078125</v>
      </c>
      <c r="E1062" s="73">
        <v>-5.3143953072576355E-2</v>
      </c>
      <c r="F1062" s="73">
        <v>0.24449877750611915</v>
      </c>
    </row>
    <row r="1063" spans="2:6" x14ac:dyDescent="0.45">
      <c r="B1063" s="72">
        <v>45707</v>
      </c>
      <c r="C1063" s="73">
        <v>244.03550720214841</v>
      </c>
      <c r="D1063" s="73">
        <v>6144.14990234375</v>
      </c>
      <c r="E1063" s="73">
        <v>0.16361258388948308</v>
      </c>
      <c r="F1063" s="73">
        <v>0.23769693899173827</v>
      </c>
    </row>
    <row r="1064" spans="2:6" x14ac:dyDescent="0.45">
      <c r="B1064" s="72">
        <v>45708</v>
      </c>
      <c r="C1064" s="73">
        <v>244.99226379394531</v>
      </c>
      <c r="D1064" s="73">
        <v>6117.52001953125</v>
      </c>
      <c r="E1064" s="73">
        <v>0.39205630474272724</v>
      </c>
      <c r="F1064" s="73">
        <v>-0.43341850761716705</v>
      </c>
    </row>
    <row r="1065" spans="2:6" x14ac:dyDescent="0.45">
      <c r="B1065" s="72">
        <v>45709</v>
      </c>
      <c r="C1065" s="73">
        <v>244.71319580078119</v>
      </c>
      <c r="D1065" s="73">
        <v>6013.1298828125</v>
      </c>
      <c r="E1065" s="73">
        <v>-0.11390890015973154</v>
      </c>
      <c r="F1065" s="73">
        <v>-1.706412670256352</v>
      </c>
    </row>
    <row r="1066" spans="2:6" x14ac:dyDescent="0.45">
      <c r="B1066" s="72">
        <v>45712</v>
      </c>
      <c r="C1066" s="73">
        <v>246.25791931152341</v>
      </c>
      <c r="D1066" s="73">
        <v>5983.25</v>
      </c>
      <c r="E1066" s="73">
        <v>0.63123833828715448</v>
      </c>
      <c r="F1066" s="73">
        <v>-0.49691065044024096</v>
      </c>
    </row>
    <row r="1067" spans="2:6" x14ac:dyDescent="0.45">
      <c r="B1067" s="72">
        <v>45713</v>
      </c>
      <c r="C1067" s="73">
        <v>246.1981201171875</v>
      </c>
      <c r="D1067" s="73">
        <v>5955.25</v>
      </c>
      <c r="E1067" s="73">
        <v>-2.4283155848592308E-2</v>
      </c>
      <c r="F1067" s="73">
        <v>-0.46797309154723576</v>
      </c>
    </row>
    <row r="1068" spans="2:6" x14ac:dyDescent="0.45">
      <c r="B1068" s="72">
        <v>45714</v>
      </c>
      <c r="C1068" s="73">
        <v>239.5408935546875</v>
      </c>
      <c r="D1068" s="73">
        <v>5956.06005859375</v>
      </c>
      <c r="E1068" s="73">
        <v>-2.7040119393808681</v>
      </c>
      <c r="F1068" s="73">
        <v>1.3602428004699796E-2</v>
      </c>
    </row>
    <row r="1069" spans="2:6" x14ac:dyDescent="0.45">
      <c r="B1069" s="72">
        <v>45715</v>
      </c>
      <c r="C1069" s="73">
        <v>236.49131774902341</v>
      </c>
      <c r="D1069" s="73">
        <v>5861.56982421875</v>
      </c>
      <c r="E1069" s="73">
        <v>-1.2730919386705342</v>
      </c>
      <c r="F1069" s="73">
        <v>-1.5864553655509872</v>
      </c>
    </row>
    <row r="1070" spans="2:6" x14ac:dyDescent="0.45">
      <c r="B1070" s="72">
        <v>45716</v>
      </c>
      <c r="C1070" s="73">
        <v>241.0158386230469</v>
      </c>
      <c r="D1070" s="73">
        <v>5954.5</v>
      </c>
      <c r="E1070" s="73">
        <v>1.9131868844441735</v>
      </c>
      <c r="F1070" s="73">
        <v>1.5854144634988909</v>
      </c>
    </row>
    <row r="1071" spans="2:6" x14ac:dyDescent="0.45">
      <c r="B1071" s="72">
        <v>45719</v>
      </c>
      <c r="C1071" s="73">
        <v>237.21881103515619</v>
      </c>
      <c r="D1071" s="73">
        <v>5849.72021484375</v>
      </c>
      <c r="E1071" s="73">
        <v>-1.5754265817481516</v>
      </c>
      <c r="F1071" s="73">
        <v>-1.75967394669998</v>
      </c>
    </row>
    <row r="1072" spans="2:6" x14ac:dyDescent="0.45">
      <c r="B1072" s="72">
        <v>45720</v>
      </c>
      <c r="C1072" s="73">
        <v>235.1259765625</v>
      </c>
      <c r="D1072" s="73">
        <v>5778.14990234375</v>
      </c>
      <c r="E1072" s="73">
        <v>-0.88223799096017741</v>
      </c>
      <c r="F1072" s="73">
        <v>-1.2234826602200433</v>
      </c>
    </row>
    <row r="1073" spans="2:6" x14ac:dyDescent="0.45">
      <c r="B1073" s="72">
        <v>45721</v>
      </c>
      <c r="C1073" s="73">
        <v>234.93663024902341</v>
      </c>
      <c r="D1073" s="73">
        <v>5842.6298828125</v>
      </c>
      <c r="E1073" s="73">
        <v>-8.0529729740963507E-2</v>
      </c>
      <c r="F1073" s="73">
        <v>1.1159277893187936</v>
      </c>
    </row>
    <row r="1074" spans="2:6" x14ac:dyDescent="0.45">
      <c r="B1074" s="72">
        <v>45722</v>
      </c>
      <c r="C1074" s="73">
        <v>234.52803039550781</v>
      </c>
      <c r="D1074" s="73">
        <v>5738.52001953125</v>
      </c>
      <c r="E1074" s="73">
        <v>-0.17391917687867853</v>
      </c>
      <c r="F1074" s="73">
        <v>-1.7819007085749905</v>
      </c>
    </row>
    <row r="1075" spans="2:6" x14ac:dyDescent="0.45">
      <c r="B1075" s="72">
        <v>45723</v>
      </c>
      <c r="C1075" s="73">
        <v>238.25529479980469</v>
      </c>
      <c r="D1075" s="73">
        <v>5770.2001953125</v>
      </c>
      <c r="E1075" s="73">
        <v>1.5892618029543115</v>
      </c>
      <c r="F1075" s="73">
        <v>0.55206178027480401</v>
      </c>
    </row>
    <row r="1076" spans="2:6" x14ac:dyDescent="0.45">
      <c r="B1076" s="72">
        <v>45726</v>
      </c>
      <c r="C1076" s="73">
        <v>226.70477294921881</v>
      </c>
      <c r="D1076" s="73">
        <v>5614.56005859375</v>
      </c>
      <c r="E1076" s="73">
        <v>-4.8479601934098726</v>
      </c>
      <c r="F1076" s="73">
        <v>-2.69730913054258</v>
      </c>
    </row>
    <row r="1077" spans="2:6" x14ac:dyDescent="0.45">
      <c r="B1077" s="72">
        <v>45727</v>
      </c>
      <c r="C1077" s="73">
        <v>220.08740234375</v>
      </c>
      <c r="D1077" s="73">
        <v>5572.06982421875</v>
      </c>
      <c r="E1077" s="73">
        <v>-2.9189374883391128</v>
      </c>
      <c r="F1077" s="73">
        <v>-0.75678653236531668</v>
      </c>
    </row>
    <row r="1078" spans="2:6" x14ac:dyDescent="0.45">
      <c r="B1078" s="72">
        <v>45728</v>
      </c>
      <c r="C1078" s="73">
        <v>216.24055480957031</v>
      </c>
      <c r="D1078" s="73">
        <v>5599.2998046875</v>
      </c>
      <c r="E1078" s="73">
        <v>-1.7478726602313088</v>
      </c>
      <c r="F1078" s="73">
        <v>0.48868699294464246</v>
      </c>
    </row>
    <row r="1079" spans="2:6" x14ac:dyDescent="0.45">
      <c r="B1079" s="72">
        <v>45729</v>
      </c>
      <c r="C1079" s="73">
        <v>208.9654235839844</v>
      </c>
      <c r="D1079" s="73">
        <v>5521.52001953125</v>
      </c>
      <c r="E1079" s="73">
        <v>-3.364369478238094</v>
      </c>
      <c r="F1079" s="73">
        <v>-1.3890984206835322</v>
      </c>
    </row>
    <row r="1080" spans="2:6" x14ac:dyDescent="0.45">
      <c r="B1080" s="72">
        <v>45730</v>
      </c>
      <c r="C1080" s="73">
        <v>212.762451171875</v>
      </c>
      <c r="D1080" s="73">
        <v>5638.93994140625</v>
      </c>
      <c r="E1080" s="73">
        <v>1.8170602211444509</v>
      </c>
      <c r="F1080" s="73">
        <v>2.1265869083087807</v>
      </c>
    </row>
    <row r="1081" spans="2:6" x14ac:dyDescent="0.45">
      <c r="B1081" s="72">
        <v>45733</v>
      </c>
      <c r="C1081" s="73">
        <v>213.2707214355469</v>
      </c>
      <c r="D1081" s="73">
        <v>5675.1201171875</v>
      </c>
      <c r="E1081" s="73">
        <v>0.23889096072751137</v>
      </c>
      <c r="F1081" s="73">
        <v>0.64161307191059613</v>
      </c>
    </row>
    <row r="1082" spans="2:6" x14ac:dyDescent="0.45">
      <c r="B1082" s="72">
        <v>45734</v>
      </c>
      <c r="C1082" s="73">
        <v>211.96519470214841</v>
      </c>
      <c r="D1082" s="73">
        <v>5614.66015625</v>
      </c>
      <c r="E1082" s="73">
        <v>-0.6121453168118296</v>
      </c>
      <c r="F1082" s="73">
        <v>-1.0653512117636543</v>
      </c>
    </row>
    <row r="1083" spans="2:6" x14ac:dyDescent="0.45">
      <c r="B1083" s="72">
        <v>45735</v>
      </c>
      <c r="C1083" s="73">
        <v>214.50648498535159</v>
      </c>
      <c r="D1083" s="73">
        <v>5675.2900390625</v>
      </c>
      <c r="E1083" s="73">
        <v>1.1989186652903827</v>
      </c>
      <c r="F1083" s="73">
        <v>1.0798495567894584</v>
      </c>
    </row>
    <row r="1084" spans="2:6" x14ac:dyDescent="0.45">
      <c r="B1084" s="72">
        <v>45736</v>
      </c>
      <c r="C1084" s="73">
        <v>213.3703918457031</v>
      </c>
      <c r="D1084" s="73">
        <v>5662.89013671875</v>
      </c>
      <c r="E1084" s="73">
        <v>-0.5296311389961339</v>
      </c>
      <c r="F1084" s="73">
        <v>-0.21848931523151816</v>
      </c>
    </row>
    <row r="1085" spans="2:6" x14ac:dyDescent="0.45">
      <c r="B1085" s="72">
        <v>45737</v>
      </c>
      <c r="C1085" s="73">
        <v>217.52618408203119</v>
      </c>
      <c r="D1085" s="73">
        <v>5667.56005859375</v>
      </c>
      <c r="E1085" s="73">
        <v>1.947689274214448</v>
      </c>
      <c r="F1085" s="73">
        <v>8.2465344766613491E-2</v>
      </c>
    </row>
    <row r="1086" spans="2:6" x14ac:dyDescent="0.45">
      <c r="B1086" s="72">
        <v>45740</v>
      </c>
      <c r="C1086" s="73">
        <v>219.977783203125</v>
      </c>
      <c r="D1086" s="73">
        <v>5767.56982421875</v>
      </c>
      <c r="E1086" s="73">
        <v>1.1270363296444819</v>
      </c>
      <c r="F1086" s="73">
        <v>1.7646000146633645</v>
      </c>
    </row>
    <row r="1087" spans="2:6" x14ac:dyDescent="0.45">
      <c r="B1087" s="72">
        <v>45741</v>
      </c>
      <c r="C1087" s="73">
        <v>222.98750305175781</v>
      </c>
      <c r="D1087" s="73">
        <v>5776.64990234375</v>
      </c>
      <c r="E1087" s="73">
        <v>1.3681926441879266</v>
      </c>
      <c r="F1087" s="73">
        <v>0.15743334544251475</v>
      </c>
    </row>
    <row r="1088" spans="2:6" x14ac:dyDescent="0.45">
      <c r="B1088" s="72">
        <v>45742</v>
      </c>
      <c r="C1088" s="73">
        <v>220.7750549316406</v>
      </c>
      <c r="D1088" s="73">
        <v>5712.2001953125</v>
      </c>
      <c r="E1088" s="73">
        <v>-0.99218480400835585</v>
      </c>
      <c r="F1088" s="73">
        <v>-1.1156934922627149</v>
      </c>
    </row>
    <row r="1089" spans="2:6" x14ac:dyDescent="0.45">
      <c r="B1089" s="72">
        <v>45743</v>
      </c>
      <c r="C1089" s="73">
        <v>223.087158203125</v>
      </c>
      <c r="D1089" s="73">
        <v>5693.31005859375</v>
      </c>
      <c r="E1089" s="73">
        <v>1.0472665366113576</v>
      </c>
      <c r="F1089" s="73">
        <v>-0.3306980860763864</v>
      </c>
    </row>
    <row r="1090" spans="2:6" x14ac:dyDescent="0.45">
      <c r="B1090" s="72">
        <v>45744</v>
      </c>
      <c r="C1090" s="73">
        <v>217.15742492675781</v>
      </c>
      <c r="D1090" s="73">
        <v>5580.93994140625</v>
      </c>
      <c r="E1090" s="73">
        <v>-2.6580343414335239</v>
      </c>
      <c r="F1090" s="73">
        <v>-1.973722070834405</v>
      </c>
    </row>
    <row r="1091" spans="2:6" x14ac:dyDescent="0.45">
      <c r="B1091" s="72">
        <v>45747</v>
      </c>
      <c r="C1091" s="73">
        <v>221.3730163574219</v>
      </c>
      <c r="D1091" s="73">
        <v>5611.85009765625</v>
      </c>
      <c r="E1091" s="73">
        <v>1.9412605542204808</v>
      </c>
      <c r="F1091" s="73">
        <v>0.55385215706533764</v>
      </c>
    </row>
    <row r="1092" spans="2:6" x14ac:dyDescent="0.45">
      <c r="B1092" s="72">
        <v>45748</v>
      </c>
      <c r="C1092" s="73">
        <v>222.4294128417969</v>
      </c>
      <c r="D1092" s="73">
        <v>5633.06982421875</v>
      </c>
      <c r="E1092" s="73">
        <v>0.47720201032512843</v>
      </c>
      <c r="F1092" s="73">
        <v>0.37812354559083605</v>
      </c>
    </row>
    <row r="1093" spans="2:6" x14ac:dyDescent="0.45">
      <c r="B1093" s="72">
        <v>45749</v>
      </c>
      <c r="C1093" s="73">
        <v>223.12702941894531</v>
      </c>
      <c r="D1093" s="73">
        <v>5670.97021484375</v>
      </c>
      <c r="E1093" s="73">
        <v>0.31363503964494388</v>
      </c>
      <c r="F1093" s="73">
        <v>0.6728194715792668</v>
      </c>
    </row>
    <row r="1094" spans="2:6" x14ac:dyDescent="0.45">
      <c r="B1094" s="72">
        <v>45750</v>
      </c>
      <c r="C1094" s="73">
        <v>202.49754333496091</v>
      </c>
      <c r="D1094" s="73">
        <v>5396.52001953125</v>
      </c>
      <c r="E1094" s="73">
        <v>-9.2456239558723734</v>
      </c>
      <c r="F1094" s="73">
        <v>-4.8395633359901495</v>
      </c>
    </row>
    <row r="1095" spans="2:6" x14ac:dyDescent="0.45">
      <c r="B1095" s="72">
        <v>45751</v>
      </c>
      <c r="C1095" s="73">
        <v>187.738037109375</v>
      </c>
      <c r="D1095" s="73">
        <v>5074.080078125</v>
      </c>
      <c r="E1095" s="73">
        <v>-7.2887334742483763</v>
      </c>
      <c r="F1095" s="73">
        <v>-5.9749605345531087</v>
      </c>
    </row>
    <row r="1096" spans="2:6" x14ac:dyDescent="0.45">
      <c r="B1096" s="72">
        <v>45754</v>
      </c>
      <c r="C1096" s="73">
        <v>180.84161376953119</v>
      </c>
      <c r="D1096" s="73">
        <v>5062.25</v>
      </c>
      <c r="E1096" s="73">
        <v>-3.6734289151143074</v>
      </c>
      <c r="F1096" s="73">
        <v>-0.23314724921273955</v>
      </c>
    </row>
    <row r="1097" spans="2:6" x14ac:dyDescent="0.45">
      <c r="B1097" s="72">
        <v>45755</v>
      </c>
      <c r="C1097" s="73">
        <v>171.8323974609375</v>
      </c>
      <c r="D1097" s="73">
        <v>4982.77001953125</v>
      </c>
      <c r="E1097" s="73">
        <v>-4.9818269815238736</v>
      </c>
      <c r="F1097" s="73">
        <v>-1.5700524562941354</v>
      </c>
    </row>
    <row r="1098" spans="2:6" x14ac:dyDescent="0.45">
      <c r="B1098" s="72">
        <v>45756</v>
      </c>
      <c r="C1098" s="73">
        <v>198.17234802246091</v>
      </c>
      <c r="D1098" s="73">
        <v>5456.89990234375</v>
      </c>
      <c r="E1098" s="73">
        <v>15.328861699384277</v>
      </c>
      <c r="F1098" s="73">
        <v>9.5153876449048482</v>
      </c>
    </row>
    <row r="1099" spans="2:6" x14ac:dyDescent="0.45">
      <c r="B1099" s="72">
        <v>45757</v>
      </c>
      <c r="C1099" s="73">
        <v>189.77107238769531</v>
      </c>
      <c r="D1099" s="73">
        <v>5268.0498046875</v>
      </c>
      <c r="E1099" s="73">
        <v>-4.2393783585858325</v>
      </c>
      <c r="F1099" s="73">
        <v>-3.4607579584726933</v>
      </c>
    </row>
    <row r="1100" spans="2:6" x14ac:dyDescent="0.45">
      <c r="B1100" s="72">
        <v>45758</v>
      </c>
      <c r="C1100" s="73">
        <v>197.47471618652341</v>
      </c>
      <c r="D1100" s="73">
        <v>5363.35986328125</v>
      </c>
      <c r="E1100" s="73">
        <v>4.0594405153014268</v>
      </c>
      <c r="F1100" s="73">
        <v>1.8092095201708958</v>
      </c>
    </row>
    <row r="1101" spans="2:6" x14ac:dyDescent="0.45">
      <c r="B1101" s="72">
        <v>45761</v>
      </c>
      <c r="C1101" s="73">
        <v>201.82984924316409</v>
      </c>
      <c r="D1101" s="73">
        <v>5405.97021484375</v>
      </c>
      <c r="E1101" s="73">
        <v>2.2054129970375813</v>
      </c>
      <c r="F1101" s="73">
        <v>0.79447123908689132</v>
      </c>
    </row>
    <row r="1102" spans="2:6" x14ac:dyDescent="0.45">
      <c r="B1102" s="72">
        <v>45762</v>
      </c>
      <c r="C1102" s="73">
        <v>201.45112609863281</v>
      </c>
      <c r="D1102" s="73">
        <v>5396.6298828125</v>
      </c>
      <c r="E1102" s="73">
        <v>-0.18764476411762265</v>
      </c>
      <c r="F1102" s="73">
        <v>-0.17277808903947145</v>
      </c>
    </row>
    <row r="1103" spans="2:6" x14ac:dyDescent="0.45">
      <c r="B1103" s="72">
        <v>45763</v>
      </c>
      <c r="C1103" s="73">
        <v>193.60795593261719</v>
      </c>
      <c r="D1103" s="73">
        <v>5275.7001953125</v>
      </c>
      <c r="E1103" s="73">
        <v>-3.89333647218012</v>
      </c>
      <c r="F1103" s="73">
        <v>-2.24083715440897</v>
      </c>
    </row>
    <row r="1104" spans="2:6" x14ac:dyDescent="0.45">
      <c r="B1104" s="72">
        <v>45764</v>
      </c>
      <c r="C1104" s="73">
        <v>196.3087158203125</v>
      </c>
      <c r="D1104" s="73">
        <v>5282.7001953125</v>
      </c>
      <c r="E1104" s="73">
        <v>1.3949632775603904</v>
      </c>
      <c r="F1104" s="73">
        <v>0.13268380955802073</v>
      </c>
    </row>
    <row r="1105" spans="2:6" x14ac:dyDescent="0.45">
      <c r="B1105" s="72">
        <v>45768</v>
      </c>
      <c r="C1105" s="73">
        <v>192.5017395019531</v>
      </c>
      <c r="D1105" s="73">
        <v>5158.2001953125</v>
      </c>
      <c r="E1105" s="73">
        <v>-1.9392803332502262</v>
      </c>
      <c r="F1105" s="73">
        <v>-2.3567493023827546</v>
      </c>
    </row>
    <row r="1106" spans="2:6" x14ac:dyDescent="0.45">
      <c r="B1106" s="72">
        <v>45769</v>
      </c>
      <c r="C1106" s="73">
        <v>199.059326171875</v>
      </c>
      <c r="D1106" s="73">
        <v>5287.759765625</v>
      </c>
      <c r="E1106" s="73">
        <v>3.406507747352272</v>
      </c>
      <c r="F1106" s="73">
        <v>2.5117204723895226</v>
      </c>
    </row>
    <row r="1107" spans="2:6" x14ac:dyDescent="0.45">
      <c r="B1107" s="72">
        <v>45770</v>
      </c>
      <c r="C1107" s="73">
        <v>203.90275573730469</v>
      </c>
      <c r="D1107" s="73">
        <v>5375.85986328125</v>
      </c>
      <c r="E1107" s="73">
        <v>2.4331588268553084</v>
      </c>
      <c r="F1107" s="73">
        <v>1.6661138470960069</v>
      </c>
    </row>
    <row r="1108" spans="2:6" x14ac:dyDescent="0.45">
      <c r="B1108" s="72">
        <v>45771</v>
      </c>
      <c r="C1108" s="73">
        <v>207.65989685058591</v>
      </c>
      <c r="D1108" s="73">
        <v>5484.77001953125</v>
      </c>
      <c r="E1108" s="73">
        <v>1.8426141911106253</v>
      </c>
      <c r="F1108" s="73">
        <v>2.0259113708281262</v>
      </c>
    </row>
    <row r="1109" spans="2:6" x14ac:dyDescent="0.45">
      <c r="B1109" s="72">
        <v>45772</v>
      </c>
      <c r="C1109" s="73">
        <v>208.5668029785156</v>
      </c>
      <c r="D1109" s="73">
        <v>5525.2099609375</v>
      </c>
      <c r="E1109" s="73">
        <v>0.43672665819640688</v>
      </c>
      <c r="F1109" s="73">
        <v>0.73731334699984608</v>
      </c>
    </row>
    <row r="1110" spans="2:6" x14ac:dyDescent="0.45">
      <c r="B1110" s="72">
        <v>45775</v>
      </c>
      <c r="C1110" s="73">
        <v>209.42387390136719</v>
      </c>
      <c r="D1110" s="73">
        <v>5528.75</v>
      </c>
      <c r="E1110" s="73">
        <v>0.41093352854426612</v>
      </c>
      <c r="F1110" s="73">
        <v>6.4070670391314088E-2</v>
      </c>
    </row>
    <row r="1111" spans="2:6" x14ac:dyDescent="0.45">
      <c r="B1111" s="72">
        <v>45776</v>
      </c>
      <c r="C1111" s="73">
        <v>210.490234375</v>
      </c>
      <c r="D1111" s="73">
        <v>5560.830078125</v>
      </c>
      <c r="E1111" s="73">
        <v>0.50918763642726628</v>
      </c>
      <c r="F1111" s="73">
        <v>0.58024106940990361</v>
      </c>
    </row>
    <row r="1112" spans="2:6" x14ac:dyDescent="0.45">
      <c r="B1112" s="72">
        <v>45777</v>
      </c>
      <c r="C1112" s="73">
        <v>211.77583312988281</v>
      </c>
      <c r="D1112" s="73">
        <v>5569.06005859375</v>
      </c>
      <c r="E1112" s="73">
        <v>0.61076408542186655</v>
      </c>
      <c r="F1112" s="73">
        <v>0.147999135976562</v>
      </c>
    </row>
    <row r="1113" spans="2:6" x14ac:dyDescent="0.45">
      <c r="B1113" s="72">
        <v>45778</v>
      </c>
      <c r="C1113" s="73">
        <v>212.5930480957031</v>
      </c>
      <c r="D1113" s="73">
        <v>5604.14013671875</v>
      </c>
      <c r="E1113" s="73">
        <v>0.38588679064202047</v>
      </c>
      <c r="F1113" s="73">
        <v>0.62991021385856438</v>
      </c>
    </row>
    <row r="1114" spans="2:6" x14ac:dyDescent="0.45">
      <c r="B1114" s="72">
        <v>45779</v>
      </c>
      <c r="C1114" s="73">
        <v>204.65020751953119</v>
      </c>
      <c r="D1114" s="73">
        <v>5686.669921875</v>
      </c>
      <c r="E1114" s="73">
        <v>-3.7361713599384783</v>
      </c>
      <c r="F1114" s="73">
        <v>1.472657412963474</v>
      </c>
    </row>
    <row r="1115" spans="2:6" x14ac:dyDescent="0.45">
      <c r="B1115" s="72">
        <v>45782</v>
      </c>
      <c r="C1115" s="73">
        <v>198.21221923828119</v>
      </c>
      <c r="D1115" s="73">
        <v>5650.3798828125</v>
      </c>
      <c r="E1115" s="73">
        <v>-3.1458498670887347</v>
      </c>
      <c r="F1115" s="73">
        <v>-0.63815975889338628</v>
      </c>
    </row>
    <row r="1116" spans="2:6" x14ac:dyDescent="0.45">
      <c r="B1116" s="72">
        <v>45783</v>
      </c>
      <c r="C1116" s="73">
        <v>197.83351135253909</v>
      </c>
      <c r="D1116" s="73">
        <v>5606.91015625</v>
      </c>
      <c r="E1116" s="73">
        <v>-0.19106182615655776</v>
      </c>
      <c r="F1116" s="73">
        <v>-0.76932396518555324</v>
      </c>
    </row>
    <row r="1117" spans="2:6" x14ac:dyDescent="0.45">
      <c r="B1117" s="72">
        <v>45784</v>
      </c>
      <c r="C1117" s="73">
        <v>195.5812072753906</v>
      </c>
      <c r="D1117" s="73">
        <v>5631.27978515625</v>
      </c>
      <c r="E1117" s="73">
        <v>-1.1384846084720679</v>
      </c>
      <c r="F1117" s="73">
        <v>0.43463562331358396</v>
      </c>
    </row>
    <row r="1118" spans="2:6" x14ac:dyDescent="0.45">
      <c r="B1118" s="72">
        <v>45785</v>
      </c>
      <c r="C1118" s="73">
        <v>196.8169860839844</v>
      </c>
      <c r="D1118" s="73">
        <v>5663.93994140625</v>
      </c>
      <c r="E1118" s="73">
        <v>0.63184946335552716</v>
      </c>
      <c r="F1118" s="73">
        <v>0.57997750948355353</v>
      </c>
    </row>
    <row r="1119" spans="2:6" x14ac:dyDescent="0.45">
      <c r="B1119" s="72">
        <v>45786</v>
      </c>
      <c r="C1119" s="73">
        <v>197.85343933105469</v>
      </c>
      <c r="D1119" s="73">
        <v>5659.91015625</v>
      </c>
      <c r="E1119" s="73">
        <v>0.52660762045610987</v>
      </c>
      <c r="F1119" s="73">
        <v>-7.1148091221628906E-2</v>
      </c>
    </row>
    <row r="1120" spans="2:6" x14ac:dyDescent="0.45">
      <c r="B1120" s="72">
        <v>45789</v>
      </c>
      <c r="C1120" s="73">
        <v>210.3471374511719</v>
      </c>
      <c r="D1120" s="73">
        <v>5844.18994140625</v>
      </c>
      <c r="E1120" s="73">
        <v>6.3146226632999625</v>
      </c>
      <c r="F1120" s="73">
        <v>3.2558782749008364</v>
      </c>
    </row>
    <row r="1121" spans="2:6" x14ac:dyDescent="0.45">
      <c r="B1121" s="72">
        <v>45790</v>
      </c>
      <c r="C1121" s="73">
        <v>212.4826354980469</v>
      </c>
      <c r="D1121" s="73">
        <v>5886.5498046875</v>
      </c>
      <c r="E1121" s="73">
        <v>1.0152256278603833</v>
      </c>
      <c r="F1121" s="73">
        <v>0.72482009835321826</v>
      </c>
    </row>
    <row r="1122" spans="2:6" x14ac:dyDescent="0.45">
      <c r="B1122" s="72">
        <v>45791</v>
      </c>
      <c r="C1122" s="73">
        <v>211.88389587402341</v>
      </c>
      <c r="D1122" s="73">
        <v>5892.580078125</v>
      </c>
      <c r="E1122" s="73">
        <v>-0.28178284904085693</v>
      </c>
      <c r="F1122" s="73">
        <v>0.1024415597859818</v>
      </c>
    </row>
    <row r="1123" spans="2:6" x14ac:dyDescent="0.45">
      <c r="B1123" s="72">
        <v>45792</v>
      </c>
      <c r="C1123" s="73">
        <v>211.00575256347659</v>
      </c>
      <c r="D1123" s="73">
        <v>5916.93017578125</v>
      </c>
      <c r="E1123" s="73">
        <v>-0.41444551834600718</v>
      </c>
      <c r="F1123" s="73">
        <v>0.41323320741357694</v>
      </c>
    </row>
    <row r="1124" spans="2:6" x14ac:dyDescent="0.45">
      <c r="B1124" s="72">
        <v>45793</v>
      </c>
      <c r="C1124" s="73">
        <v>210.81614685058591</v>
      </c>
      <c r="D1124" s="73">
        <v>5958.3798828125</v>
      </c>
      <c r="E1124" s="73">
        <v>-8.9858077605553532E-2</v>
      </c>
      <c r="F1124" s="73">
        <v>0.70052722948985569</v>
      </c>
    </row>
    <row r="1125" spans="2:6" x14ac:dyDescent="0.45">
      <c r="B1125" s="72">
        <v>45796</v>
      </c>
      <c r="C1125" s="73">
        <v>208.34135437011719</v>
      </c>
      <c r="D1125" s="73">
        <v>5963.60009765625</v>
      </c>
      <c r="E1125" s="73">
        <v>-1.1739103087880176</v>
      </c>
      <c r="F1125" s="73">
        <v>8.7611312914237516E-2</v>
      </c>
    </row>
    <row r="1126" spans="2:6" x14ac:dyDescent="0.45">
      <c r="B1126" s="72">
        <v>45797</v>
      </c>
      <c r="C1126" s="73">
        <v>206.42539978027341</v>
      </c>
      <c r="D1126" s="73">
        <v>5940.4599609375</v>
      </c>
      <c r="E1126" s="73">
        <v>-0.91962279674926428</v>
      </c>
      <c r="F1126" s="73">
        <v>-0.38802294486252054</v>
      </c>
    </row>
    <row r="1127" spans="2:6" x14ac:dyDescent="0.45">
      <c r="B1127" s="72">
        <v>45798</v>
      </c>
      <c r="C1127" s="73">
        <v>201.6654052734375</v>
      </c>
      <c r="D1127" s="73">
        <v>5844.60986328125</v>
      </c>
      <c r="E1127" s="73">
        <v>-2.3059151208633333</v>
      </c>
      <c r="F1127" s="73">
        <v>-1.6135130661014241</v>
      </c>
    </row>
    <row r="1128" spans="2:6" x14ac:dyDescent="0.45">
      <c r="B1128" s="72">
        <v>45799</v>
      </c>
      <c r="C1128" s="73">
        <v>200.93693542480469</v>
      </c>
      <c r="D1128" s="73">
        <v>5842.009765625</v>
      </c>
      <c r="E1128" s="73">
        <v>-0.36122697774815249</v>
      </c>
      <c r="F1128" s="73">
        <v>-4.4487103794299543E-2</v>
      </c>
    </row>
    <row r="1129" spans="2:6" x14ac:dyDescent="0.45">
      <c r="B1129" s="72">
        <v>45800</v>
      </c>
      <c r="C1129" s="73">
        <v>194.85975646972659</v>
      </c>
      <c r="D1129" s="73">
        <v>5802.81982421875</v>
      </c>
      <c r="E1129" s="73">
        <v>-3.0244210414726469</v>
      </c>
      <c r="F1129" s="73">
        <v>-0.67082978253216741</v>
      </c>
    </row>
    <row r="1130" spans="2:6" x14ac:dyDescent="0.45">
      <c r="B1130" s="72">
        <v>45804</v>
      </c>
      <c r="C1130" s="73">
        <v>199.78936767578119</v>
      </c>
      <c r="D1130" s="73">
        <v>5921.5400390625</v>
      </c>
      <c r="E1130" s="73">
        <v>2.5298251908779656</v>
      </c>
      <c r="F1130" s="73">
        <v>2.04590558452733</v>
      </c>
    </row>
    <row r="1131" spans="2:6" x14ac:dyDescent="0.45">
      <c r="B1131" s="72">
        <v>45805</v>
      </c>
      <c r="C1131" s="73">
        <v>199.99891662597659</v>
      </c>
      <c r="D1131" s="73">
        <v>5888.5498046875</v>
      </c>
      <c r="E1131" s="73">
        <v>0.10488493588680647</v>
      </c>
      <c r="F1131" s="73">
        <v>-0.55712254172688436</v>
      </c>
    </row>
    <row r="1132" spans="2:6" x14ac:dyDescent="0.45">
      <c r="B1132" s="72">
        <v>45806</v>
      </c>
      <c r="C1132" s="73">
        <v>199.5299072265625</v>
      </c>
      <c r="D1132" s="73">
        <v>5912.169921875</v>
      </c>
      <c r="E1132" s="73">
        <v>-0.23450596999542439</v>
      </c>
      <c r="F1132" s="73">
        <v>0.40111942619043273</v>
      </c>
    </row>
    <row r="1133" spans="2:6" x14ac:dyDescent="0.45">
      <c r="B1133" s="72">
        <v>45807</v>
      </c>
      <c r="C1133" s="73">
        <v>200.42802429199219</v>
      </c>
      <c r="D1133" s="73">
        <v>5911.68994140625</v>
      </c>
      <c r="E1133" s="73">
        <v>0.45011651532012031</v>
      </c>
      <c r="F1133" s="73">
        <v>-8.1185161301622344E-3</v>
      </c>
    </row>
    <row r="1134" spans="2:6" x14ac:dyDescent="0.45">
      <c r="B1134" s="72">
        <v>45810</v>
      </c>
      <c r="C1134" s="73">
        <v>201.27622985839841</v>
      </c>
      <c r="D1134" s="73">
        <v>5935.93994140625</v>
      </c>
      <c r="E1134" s="73">
        <v>0.42319709002893724</v>
      </c>
      <c r="F1134" s="73">
        <v>0.41020419271569075</v>
      </c>
    </row>
    <row r="1135" spans="2:6" x14ac:dyDescent="0.45">
      <c r="B1135" s="72">
        <v>45811</v>
      </c>
      <c r="C1135" s="73">
        <v>202.8429260253906</v>
      </c>
      <c r="D1135" s="73">
        <v>5970.3701171875</v>
      </c>
      <c r="E1135" s="73">
        <v>0.77838111738002258</v>
      </c>
      <c r="F1135" s="73">
        <v>0.58002904546055056</v>
      </c>
    </row>
    <row r="1136" spans="2:6" x14ac:dyDescent="0.45">
      <c r="B1136" s="72">
        <v>45812</v>
      </c>
      <c r="C1136" s="73">
        <v>202.3938903808594</v>
      </c>
      <c r="D1136" s="73">
        <v>5970.81005859375</v>
      </c>
      <c r="E1136" s="73">
        <v>-0.22137111376266949</v>
      </c>
      <c r="F1136" s="73">
        <v>7.3687459506643904E-3</v>
      </c>
    </row>
    <row r="1137" spans="2:6" x14ac:dyDescent="0.45">
      <c r="B1137" s="72">
        <v>45813</v>
      </c>
      <c r="C1137" s="73">
        <v>200.20849609375</v>
      </c>
      <c r="D1137" s="73">
        <v>5939.2998046875</v>
      </c>
      <c r="E1137" s="73">
        <v>-1.0797728543075036</v>
      </c>
      <c r="F1137" s="73">
        <v>-0.5277383403094138</v>
      </c>
    </row>
    <row r="1138" spans="2:6" x14ac:dyDescent="0.45">
      <c r="B1138" s="72">
        <v>45814</v>
      </c>
      <c r="C1138" s="73">
        <v>203.49156188964841</v>
      </c>
      <c r="D1138" s="73">
        <v>6000.35986328125</v>
      </c>
      <c r="E1138" s="73">
        <v>1.6398234140678314</v>
      </c>
      <c r="F1138" s="73">
        <v>1.0280683010067904</v>
      </c>
    </row>
    <row r="1139" spans="2:6" x14ac:dyDescent="0.45">
      <c r="B1139" s="72">
        <v>45817</v>
      </c>
      <c r="C1139" s="73">
        <v>201.0267639160156</v>
      </c>
      <c r="D1139" s="73">
        <v>6005.8798828125</v>
      </c>
      <c r="E1139" s="73">
        <v>-1.2112531599563048</v>
      </c>
      <c r="F1139" s="73">
        <v>9.1994807928585942E-2</v>
      </c>
    </row>
    <row r="1140" spans="2:6" x14ac:dyDescent="0.45">
      <c r="B1140" s="72">
        <v>45818</v>
      </c>
      <c r="C1140" s="73">
        <v>202.24418640136719</v>
      </c>
      <c r="D1140" s="73">
        <v>6038.81005859375</v>
      </c>
      <c r="E1140" s="73">
        <v>0.60560219029353046</v>
      </c>
      <c r="F1140" s="73">
        <v>0.54829894076784402</v>
      </c>
    </row>
    <row r="1141" spans="2:6" x14ac:dyDescent="0.45">
      <c r="B1141" s="72">
        <v>45819</v>
      </c>
      <c r="C1141" s="73">
        <v>198.36236572265619</v>
      </c>
      <c r="D1141" s="73">
        <v>6022.240234375</v>
      </c>
      <c r="E1141" s="73">
        <v>-1.9193731833691663</v>
      </c>
      <c r="F1141" s="73">
        <v>-0.27438889546078649</v>
      </c>
    </row>
    <row r="1142" spans="2:6" x14ac:dyDescent="0.45">
      <c r="B1142" s="72">
        <v>45820</v>
      </c>
      <c r="C1142" s="73">
        <v>198.78147888183591</v>
      </c>
      <c r="D1142" s="73">
        <v>6045.259765625</v>
      </c>
      <c r="E1142" s="73">
        <v>0.21128663073401999</v>
      </c>
      <c r="F1142" s="73">
        <v>0.38224199557175265</v>
      </c>
    </row>
    <row r="1143" spans="2:6" x14ac:dyDescent="0.45">
      <c r="B1143" s="72">
        <v>45821</v>
      </c>
      <c r="C1143" s="73">
        <v>196.0372619628906</v>
      </c>
      <c r="D1143" s="73">
        <v>5976.97021484375</v>
      </c>
      <c r="E1143" s="73">
        <v>-1.3805194198080128</v>
      </c>
      <c r="F1143" s="73">
        <v>-1.1296379879250695</v>
      </c>
    </row>
    <row r="1144" spans="2:6" x14ac:dyDescent="0.45">
      <c r="B1144" s="72">
        <v>45824</v>
      </c>
      <c r="C1144" s="73">
        <v>198.00312805175781</v>
      </c>
      <c r="D1144" s="73">
        <v>6033.10986328125</v>
      </c>
      <c r="E1144" s="73">
        <v>1.0028022576847428</v>
      </c>
      <c r="F1144" s="73">
        <v>0.93926598961591168</v>
      </c>
    </row>
    <row r="1145" spans="2:6" x14ac:dyDescent="0.45">
      <c r="B1145" s="72">
        <v>45825</v>
      </c>
      <c r="C1145" s="73">
        <v>195.22895812988281</v>
      </c>
      <c r="D1145" s="73">
        <v>5982.72021484375</v>
      </c>
      <c r="E1145" s="73">
        <v>-1.4010737856372857</v>
      </c>
      <c r="F1145" s="73">
        <v>-0.8352184790166306</v>
      </c>
    </row>
    <row r="1146" spans="2:6" x14ac:dyDescent="0.45">
      <c r="B1146" s="72">
        <v>45826</v>
      </c>
      <c r="C1146" s="73">
        <v>196.16697692871091</v>
      </c>
      <c r="D1146" s="73">
        <v>5980.8701171875</v>
      </c>
      <c r="E1146" s="73">
        <v>0.48047113902234262</v>
      </c>
      <c r="F1146" s="73">
        <v>-3.0924021010703129E-2</v>
      </c>
    </row>
    <row r="1147" spans="2:6" x14ac:dyDescent="0.45">
      <c r="B1147" s="72">
        <v>45828</v>
      </c>
      <c r="C1147" s="73">
        <v>200.57769775390619</v>
      </c>
      <c r="D1147" s="73">
        <v>5967.83984375</v>
      </c>
      <c r="E1147" s="73">
        <v>2.2484522595249024</v>
      </c>
      <c r="F1147" s="73">
        <v>-0.21786584865058911</v>
      </c>
    </row>
    <row r="1148" spans="2:6" x14ac:dyDescent="0.45">
      <c r="B1148" s="72">
        <v>45831</v>
      </c>
      <c r="C1148" s="73">
        <v>201.07666015625</v>
      </c>
      <c r="D1148" s="73">
        <v>6025.169921875</v>
      </c>
      <c r="E1148" s="73">
        <v>0.24876265304232259</v>
      </c>
      <c r="F1148" s="73">
        <v>0.9606504133156335</v>
      </c>
    </row>
    <row r="1149" spans="2:6" x14ac:dyDescent="0.45">
      <c r="B1149" s="72">
        <v>45832</v>
      </c>
      <c r="C1149" s="73">
        <v>199.8791809082031</v>
      </c>
      <c r="D1149" s="73">
        <v>6092.18017578125</v>
      </c>
      <c r="E1149" s="73">
        <v>-0.59553368706063425</v>
      </c>
      <c r="F1149" s="73">
        <v>1.1121720179701811</v>
      </c>
    </row>
    <row r="1150" spans="2:6" x14ac:dyDescent="0.45">
      <c r="B1150" s="72">
        <v>45833</v>
      </c>
      <c r="C1150" s="73">
        <v>201.13653564453119</v>
      </c>
      <c r="D1150" s="73">
        <v>6092.16015625</v>
      </c>
      <c r="E1150" s="73">
        <v>0.62905737887006818</v>
      </c>
      <c r="F1150" s="73">
        <v>-3.2861029504172024E-4</v>
      </c>
    </row>
    <row r="1151" spans="2:6" x14ac:dyDescent="0.45">
      <c r="B1151" s="72">
        <v>45834</v>
      </c>
      <c r="C1151" s="73">
        <v>200.57769775390619</v>
      </c>
      <c r="D1151" s="73">
        <v>6141.02001953125</v>
      </c>
      <c r="E1151" s="73">
        <v>-0.27784006959959973</v>
      </c>
      <c r="F1151" s="73">
        <v>0.80201212752302187</v>
      </c>
    </row>
    <row r="1152" spans="2:6" x14ac:dyDescent="0.45">
      <c r="B1152" s="72">
        <v>45835</v>
      </c>
      <c r="C1152" s="73">
        <v>200.65753173828119</v>
      </c>
      <c r="D1152" s="73">
        <v>6173.06982421875</v>
      </c>
      <c r="E1152" s="73">
        <v>3.9802024486768062E-2</v>
      </c>
      <c r="F1152" s="73">
        <v>0.52189708852221628</v>
      </c>
    </row>
    <row r="1153" spans="2:6" x14ac:dyDescent="0.45">
      <c r="B1153" s="72">
        <v>45838</v>
      </c>
      <c r="C1153" s="73">
        <v>204.73893737792969</v>
      </c>
      <c r="D1153" s="73">
        <v>6204.9501953125</v>
      </c>
      <c r="E1153" s="73">
        <v>2.0340156705265899</v>
      </c>
      <c r="F1153" s="73">
        <v>0.51644274245326027</v>
      </c>
    </row>
    <row r="1154" spans="2:6" x14ac:dyDescent="0.45">
      <c r="B1154" s="72">
        <v>45839</v>
      </c>
      <c r="C1154" s="73">
        <v>207.38337707519531</v>
      </c>
      <c r="D1154" s="73">
        <v>6198.009765625</v>
      </c>
      <c r="E1154" s="73">
        <v>1.291615425542747</v>
      </c>
      <c r="F1154" s="73">
        <v>-0.1118531087121899</v>
      </c>
    </row>
    <row r="1155" spans="2:6" x14ac:dyDescent="0.45">
      <c r="B1155" s="72">
        <v>45840</v>
      </c>
      <c r="C1155" s="73">
        <v>211.99366760253909</v>
      </c>
      <c r="D1155" s="73">
        <v>6227.419921875</v>
      </c>
      <c r="E1155" s="73">
        <v>2.2230762139012317</v>
      </c>
      <c r="F1155" s="73">
        <v>0.47450967910880326</v>
      </c>
    </row>
    <row r="1156" spans="2:6" x14ac:dyDescent="0.45">
      <c r="B1156" s="72">
        <v>45841</v>
      </c>
      <c r="C1156" s="73">
        <v>213.1013488769531</v>
      </c>
      <c r="D1156" s="73">
        <v>6279.35009765625</v>
      </c>
      <c r="E1156" s="73">
        <v>0.52250677434892978</v>
      </c>
      <c r="F1156" s="73">
        <v>0.83389552066073236</v>
      </c>
    </row>
    <row r="1157" spans="2:6" x14ac:dyDescent="0.45">
      <c r="B1157" s="72">
        <v>45845</v>
      </c>
      <c r="C1157" s="73">
        <v>209.50889587402341</v>
      </c>
      <c r="D1157" s="73">
        <v>6229.97998046875</v>
      </c>
      <c r="E1157" s="73">
        <v>-1.6857955249283796</v>
      </c>
      <c r="F1157" s="73">
        <v>-0.78622972791287937</v>
      </c>
    </row>
    <row r="1158" spans="2:6" x14ac:dyDescent="0.45">
      <c r="B1158" s="72">
        <v>45846</v>
      </c>
      <c r="C1158" s="73">
        <v>209.56877136230469</v>
      </c>
      <c r="D1158" s="73">
        <v>6225.52001953125</v>
      </c>
      <c r="E1158" s="73">
        <v>2.8578971805215403E-2</v>
      </c>
      <c r="F1158" s="73">
        <v>-7.1588688109469611E-2</v>
      </c>
    </row>
    <row r="1159" spans="2:6" x14ac:dyDescent="0.45">
      <c r="B1159" s="72">
        <v>45847</v>
      </c>
      <c r="C1159" s="73">
        <v>210.69639587402341</v>
      </c>
      <c r="D1159" s="73">
        <v>6263.259765625</v>
      </c>
      <c r="E1159" s="73">
        <v>0.53806896151014083</v>
      </c>
      <c r="F1159" s="73">
        <v>0.60621034026635545</v>
      </c>
    </row>
    <row r="1160" spans="2:6" x14ac:dyDescent="0.45">
      <c r="B1160" s="72">
        <v>45848</v>
      </c>
      <c r="C1160" s="73">
        <v>211.96372985839841</v>
      </c>
      <c r="D1160" s="73">
        <v>6280.4599609375</v>
      </c>
      <c r="E1160" s="73">
        <v>0.60149770437114558</v>
      </c>
      <c r="F1160" s="73">
        <v>0.27462050044453346</v>
      </c>
    </row>
    <row r="1161" spans="2:6" x14ac:dyDescent="0.45">
      <c r="B1161" s="72">
        <v>45849</v>
      </c>
      <c r="C1161" s="73">
        <v>210.71635437011719</v>
      </c>
      <c r="D1161" s="73">
        <v>6259.75</v>
      </c>
      <c r="E1161" s="73">
        <v>-0.58848534563650245</v>
      </c>
      <c r="F1161" s="73">
        <v>-0.32975229626984737</v>
      </c>
    </row>
    <row r="1162" spans="2:6" x14ac:dyDescent="0.45">
      <c r="B1162" s="72">
        <v>45852</v>
      </c>
      <c r="C1162" s="73">
        <v>208.18168640136719</v>
      </c>
      <c r="D1162" s="73">
        <v>6268.56005859375</v>
      </c>
      <c r="E1162" s="73">
        <v>-1.202881464197092</v>
      </c>
      <c r="F1162" s="73">
        <v>0.1407413809457303</v>
      </c>
    </row>
    <row r="1163" spans="2:6" x14ac:dyDescent="0.45">
      <c r="B1163" s="72">
        <v>45853</v>
      </c>
      <c r="C1163" s="73">
        <v>208.67066955566409</v>
      </c>
      <c r="D1163" s="73">
        <v>6243.759765625</v>
      </c>
      <c r="E1163" s="73">
        <v>0.23488288655426626</v>
      </c>
      <c r="F1163" s="73">
        <v>-0.3956298214731202</v>
      </c>
    </row>
    <row r="1164" spans="2:6" x14ac:dyDescent="0.45">
      <c r="B1164" s="72">
        <v>45854</v>
      </c>
      <c r="C1164" s="73">
        <v>209.7184753417969</v>
      </c>
      <c r="D1164" s="73">
        <v>6263.7001953125</v>
      </c>
      <c r="E1164" s="73">
        <v>0.50213371546847796</v>
      </c>
      <c r="F1164" s="73">
        <v>0.31936574173276888</v>
      </c>
    </row>
    <row r="1165" spans="2:6" x14ac:dyDescent="0.45">
      <c r="B1165" s="72">
        <v>45855</v>
      </c>
      <c r="C1165" s="73">
        <v>209.57875061035159</v>
      </c>
      <c r="D1165" s="73">
        <v>6297.35986328125</v>
      </c>
      <c r="E1165" s="73">
        <v>-6.6624903322221041E-2</v>
      </c>
      <c r="F1165" s="73">
        <v>0.53737674089093801</v>
      </c>
    </row>
    <row r="1166" spans="2:6" x14ac:dyDescent="0.45">
      <c r="B1166" s="72">
        <v>45856</v>
      </c>
      <c r="C1166" s="73">
        <v>210.73631286621091</v>
      </c>
      <c r="D1166" s="73">
        <v>6296.7900390625</v>
      </c>
      <c r="E1166" s="73">
        <v>0.55232806402756296</v>
      </c>
      <c r="F1166" s="73">
        <v>-9.0486208684459335E-3</v>
      </c>
    </row>
    <row r="1167" spans="2:6" x14ac:dyDescent="0.45">
      <c r="B1167" s="72">
        <v>45859</v>
      </c>
      <c r="C1167" s="73">
        <v>212.0335693359375</v>
      </c>
      <c r="D1167" s="73">
        <v>6305.60009765625</v>
      </c>
      <c r="E1167" s="73">
        <v>0.61558278783693243</v>
      </c>
      <c r="F1167" s="73">
        <v>0.13991348828683581</v>
      </c>
    </row>
    <row r="1168" spans="2:6" x14ac:dyDescent="0.45">
      <c r="B1168" s="72">
        <v>45860</v>
      </c>
      <c r="C1168" s="73">
        <v>213.9495544433594</v>
      </c>
      <c r="D1168" s="73">
        <v>6309.6201171875</v>
      </c>
      <c r="E1168" s="73">
        <v>0.90362347501036222</v>
      </c>
      <c r="F1168" s="73">
        <v>6.3753163362578746E-2</v>
      </c>
    </row>
    <row r="1169" spans="2:6" x14ac:dyDescent="0.45">
      <c r="B1169" s="72">
        <v>45861</v>
      </c>
      <c r="C1169" s="73">
        <v>213.7000732421875</v>
      </c>
      <c r="D1169" s="73">
        <v>6358.91015625</v>
      </c>
      <c r="E1169" s="73">
        <v>-0.1166074880693202</v>
      </c>
      <c r="F1169" s="73">
        <v>0.78118869515191314</v>
      </c>
    </row>
    <row r="1170" spans="2:6" x14ac:dyDescent="0.45">
      <c r="B1170" s="72">
        <v>45862</v>
      </c>
      <c r="C1170" s="73">
        <v>213.3108825683594</v>
      </c>
      <c r="D1170" s="73">
        <v>6363.35009765625</v>
      </c>
      <c r="E1170" s="73">
        <v>-0.18212004700017825</v>
      </c>
      <c r="F1170" s="73">
        <v>6.982236416543941E-2</v>
      </c>
    </row>
    <row r="1171" spans="2:6" x14ac:dyDescent="0.45">
      <c r="B1171" s="72">
        <v>45863</v>
      </c>
      <c r="C1171" s="73">
        <v>213.43064880371091</v>
      </c>
      <c r="D1171" s="73">
        <v>6388.64013671875</v>
      </c>
      <c r="E1171" s="73">
        <v>5.6146331546447215E-2</v>
      </c>
      <c r="F1171" s="73">
        <v>0.39743277792958498</v>
      </c>
    </row>
    <row r="1172" spans="2:6" x14ac:dyDescent="0.45">
      <c r="B1172" s="72">
        <v>45866</v>
      </c>
      <c r="C1172" s="73">
        <v>213.60029602050781</v>
      </c>
      <c r="D1172" s="73">
        <v>6389.77001953125</v>
      </c>
      <c r="E1172" s="73">
        <v>7.9485874099050058E-2</v>
      </c>
      <c r="F1172" s="73">
        <v>1.7685810881817865E-2</v>
      </c>
    </row>
    <row r="1173" spans="2:6" x14ac:dyDescent="0.45">
      <c r="B1173" s="72">
        <v>45867</v>
      </c>
      <c r="C1173" s="73">
        <v>210.82612609863281</v>
      </c>
      <c r="D1173" s="73">
        <v>6370.85986328125</v>
      </c>
      <c r="E1173" s="73">
        <v>-1.2987668901023652</v>
      </c>
      <c r="F1173" s="73">
        <v>-0.29594423887242538</v>
      </c>
    </row>
    <row r="1174" spans="2:6" x14ac:dyDescent="0.45">
      <c r="B1174" s="72">
        <v>45868</v>
      </c>
      <c r="C1174" s="73">
        <v>208.61079406738281</v>
      </c>
      <c r="D1174" s="73">
        <v>6362.89990234375</v>
      </c>
      <c r="E1174" s="73">
        <v>-1.0507862911703691</v>
      </c>
      <c r="F1174" s="73">
        <v>-0.12494327466496813</v>
      </c>
    </row>
    <row r="1175" spans="2:6" x14ac:dyDescent="0.45">
      <c r="B1175" s="72">
        <v>45869</v>
      </c>
      <c r="C1175" s="73">
        <v>207.1339111328125</v>
      </c>
      <c r="D1175" s="73">
        <v>6339.39013671875</v>
      </c>
      <c r="E1175" s="73">
        <v>-0.70796093805830518</v>
      </c>
      <c r="F1175" s="73">
        <v>-0.36948193411530106</v>
      </c>
    </row>
    <row r="1176" spans="2:6" x14ac:dyDescent="0.45">
      <c r="B1176" s="72">
        <v>45870</v>
      </c>
      <c r="C1176" s="73">
        <v>201.95481872558591</v>
      </c>
      <c r="D1176" s="73">
        <v>6238.009765625</v>
      </c>
      <c r="E1176" s="73">
        <v>-2.5003594915493088</v>
      </c>
      <c r="F1176" s="73">
        <v>-1.5992133140148468</v>
      </c>
    </row>
    <row r="1177" spans="2:6" x14ac:dyDescent="0.45">
      <c r="B1177" s="72">
        <v>45873</v>
      </c>
      <c r="C1177" s="73">
        <v>202.92277526855469</v>
      </c>
      <c r="D1177" s="73">
        <v>6329.93994140625</v>
      </c>
      <c r="E1177" s="73">
        <v>0.4792936108566126</v>
      </c>
      <c r="F1177" s="73">
        <v>1.473710033091602</v>
      </c>
    </row>
    <row r="1178" spans="2:6" x14ac:dyDescent="0.45">
      <c r="B1178" s="72">
        <v>45874</v>
      </c>
      <c r="C1178" s="73">
        <v>202.49366760253909</v>
      </c>
      <c r="D1178" s="73">
        <v>6299.18994140625</v>
      </c>
      <c r="E1178" s="73">
        <v>-0.21146353111310967</v>
      </c>
      <c r="F1178" s="73">
        <v>-0.48578659963033344</v>
      </c>
    </row>
    <row r="1179" spans="2:6" x14ac:dyDescent="0.45">
      <c r="B1179" s="72">
        <v>45875</v>
      </c>
      <c r="C1179" s="73">
        <v>212.8019714355469</v>
      </c>
      <c r="D1179" s="73">
        <v>6345.06005859375</v>
      </c>
      <c r="E1179" s="73">
        <v>5.0906796025055323</v>
      </c>
      <c r="F1179" s="73">
        <v>0.72819072950924824</v>
      </c>
    </row>
    <row r="1180" spans="2:6" x14ac:dyDescent="0.45">
      <c r="B1180" s="72">
        <v>45876</v>
      </c>
      <c r="C1180" s="73">
        <v>219.5677185058594</v>
      </c>
      <c r="D1180" s="73">
        <v>6340</v>
      </c>
      <c r="E1180" s="73">
        <v>3.1793629657992595</v>
      </c>
      <c r="F1180" s="73">
        <v>-7.9748001548018976E-2</v>
      </c>
    </row>
    <row r="1181" spans="2:6" x14ac:dyDescent="0.45">
      <c r="B1181" s="72">
        <v>45877</v>
      </c>
      <c r="C1181" s="73">
        <v>228.86814880371091</v>
      </c>
      <c r="D1181" s="73">
        <v>6389.4501953125</v>
      </c>
      <c r="E1181" s="73">
        <v>4.2357912907872608</v>
      </c>
      <c r="F1181" s="73">
        <v>0.77997153489748339</v>
      </c>
    </row>
    <row r="1182" spans="2:6" x14ac:dyDescent="0.45">
      <c r="B1182" s="72">
        <v>45880</v>
      </c>
      <c r="C1182" s="73">
        <v>226.95997619628909</v>
      </c>
      <c r="D1182" s="73">
        <v>6373.4501953125</v>
      </c>
      <c r="E1182" s="73">
        <v>-0.83374319117613949</v>
      </c>
      <c r="F1182" s="73">
        <v>-0.25041278217863283</v>
      </c>
    </row>
    <row r="1183" spans="2:6" x14ac:dyDescent="0.45">
      <c r="B1183" s="72">
        <v>45881</v>
      </c>
      <c r="C1183" s="73">
        <v>229.4275817871094</v>
      </c>
      <c r="D1183" s="73">
        <v>6445.759765625</v>
      </c>
      <c r="E1183" s="73">
        <v>1.0872426196794072</v>
      </c>
      <c r="F1183" s="73">
        <v>1.1345435846612739</v>
      </c>
    </row>
    <row r="1184" spans="2:6" x14ac:dyDescent="0.45">
      <c r="B1184" s="72">
        <v>45882</v>
      </c>
      <c r="C1184" s="73">
        <v>233.1040344238281</v>
      </c>
      <c r="D1184" s="73">
        <v>6466.580078125</v>
      </c>
      <c r="E1184" s="73">
        <v>1.6024457949132431</v>
      </c>
      <c r="F1184" s="73">
        <v>0.32300788824048965</v>
      </c>
    </row>
    <row r="1185" spans="2:6" x14ac:dyDescent="0.45">
      <c r="B1185" s="72">
        <v>45883</v>
      </c>
      <c r="C1185" s="73">
        <v>232.5545654296875</v>
      </c>
      <c r="D1185" s="73">
        <v>6468.5400390625</v>
      </c>
      <c r="E1185" s="73">
        <v>-0.23571835446724032</v>
      </c>
      <c r="F1185" s="73">
        <v>3.0309080129242716E-2</v>
      </c>
    </row>
    <row r="1186" spans="2:6" x14ac:dyDescent="0.45">
      <c r="B1186" s="72">
        <v>45884</v>
      </c>
      <c r="C1186" s="73">
        <v>231.36570739746091</v>
      </c>
      <c r="D1186" s="73">
        <v>6449.7998046875</v>
      </c>
      <c r="E1186" s="73">
        <v>-0.51121681057086921</v>
      </c>
      <c r="F1186" s="73">
        <v>-0.28971350972291088</v>
      </c>
    </row>
    <row r="1187" spans="2:6" x14ac:dyDescent="0.45">
      <c r="B1187" s="72">
        <v>45887</v>
      </c>
      <c r="C1187" s="73">
        <v>230.66639709472659</v>
      </c>
      <c r="D1187" s="73">
        <v>6449.14990234375</v>
      </c>
      <c r="E1187" s="73">
        <v>-0.30225322092913842</v>
      </c>
      <c r="F1187" s="73">
        <v>-1.0076318078544588E-2</v>
      </c>
    </row>
    <row r="1188" spans="2:6" x14ac:dyDescent="0.45">
      <c r="B1188" s="72">
        <v>45888</v>
      </c>
      <c r="C1188" s="73">
        <v>230.33671569824219</v>
      </c>
      <c r="D1188" s="73">
        <v>6411.3701171875</v>
      </c>
      <c r="E1188" s="73">
        <v>-0.1429256279357527</v>
      </c>
      <c r="F1188" s="73">
        <v>-0.58581031187567856</v>
      </c>
    </row>
    <row r="1189" spans="2:6" x14ac:dyDescent="0.45">
      <c r="B1189" s="72">
        <v>45889</v>
      </c>
      <c r="C1189" s="73">
        <v>225.7911071777344</v>
      </c>
      <c r="D1189" s="73">
        <v>6395.77978515625</v>
      </c>
      <c r="E1189" s="73">
        <v>-1.9734624185850036</v>
      </c>
      <c r="F1189" s="73">
        <v>-0.24316693228262354</v>
      </c>
    </row>
    <row r="1190" spans="2:6" x14ac:dyDescent="0.45">
      <c r="B1190" s="72">
        <v>45890</v>
      </c>
      <c r="C1190" s="73">
        <v>224.68218994140619</v>
      </c>
      <c r="D1190" s="73">
        <v>6370.169921875</v>
      </c>
      <c r="E1190" s="73">
        <v>-0.49112529283773521</v>
      </c>
      <c r="F1190" s="73">
        <v>-0.40041815293089256</v>
      </c>
    </row>
    <row r="1191" spans="2:6" x14ac:dyDescent="0.45">
      <c r="B1191" s="72">
        <v>45891</v>
      </c>
      <c r="C1191" s="73">
        <v>227.53941345214841</v>
      </c>
      <c r="D1191" s="73">
        <v>6466.91015625</v>
      </c>
      <c r="E1191" s="73">
        <v>1.2716733406806124</v>
      </c>
      <c r="F1191" s="73">
        <v>1.5186444876893468</v>
      </c>
    </row>
    <row r="1192" spans="2:6" x14ac:dyDescent="0.45">
      <c r="B1192" s="72">
        <v>45894</v>
      </c>
      <c r="C1192" s="73">
        <v>226.94000244140619</v>
      </c>
      <c r="D1192" s="73">
        <v>6439.31982421875</v>
      </c>
      <c r="E1192" s="73">
        <v>-0.26343172888079192</v>
      </c>
      <c r="F1192" s="73">
        <v>-0.42663855480634671</v>
      </c>
    </row>
    <row r="1193" spans="2:6" x14ac:dyDescent="0.45">
      <c r="B1193" s="72">
        <v>45895</v>
      </c>
      <c r="C1193" s="73">
        <v>229.0879211425781</v>
      </c>
      <c r="D1193" s="73">
        <v>6465.93994140625</v>
      </c>
      <c r="E1193" s="73">
        <v>0.94646985020918617</v>
      </c>
      <c r="F1193" s="73">
        <v>0.41339951911349981</v>
      </c>
    </row>
    <row r="1194" spans="2:6" x14ac:dyDescent="0.45">
      <c r="B1194" s="72">
        <v>45896</v>
      </c>
      <c r="C1194" s="73">
        <v>230.26678466796881</v>
      </c>
      <c r="D1194" s="73">
        <v>6481.39990234375</v>
      </c>
      <c r="E1194" s="73">
        <v>0.51458999650051407</v>
      </c>
      <c r="F1194" s="73">
        <v>0.23909843081744153</v>
      </c>
    </row>
    <row r="1195" spans="2:6" x14ac:dyDescent="0.45">
      <c r="B1195" s="72">
        <v>45897</v>
      </c>
      <c r="C1195" s="73">
        <v>232.33477783203119</v>
      </c>
      <c r="D1195" s="73">
        <v>6501.85986328125</v>
      </c>
      <c r="E1195" s="73">
        <v>0.89808574304119926</v>
      </c>
      <c r="F1195" s="73">
        <v>0.31567194195349924</v>
      </c>
    </row>
    <row r="1196" spans="2:6" x14ac:dyDescent="0.45">
      <c r="B1196" s="72">
        <v>45898</v>
      </c>
      <c r="C1196" s="73">
        <v>231.91517639160159</v>
      </c>
      <c r="D1196" s="73">
        <v>6460.259765625</v>
      </c>
      <c r="E1196" s="73">
        <v>-0.18060207961330121</v>
      </c>
      <c r="F1196" s="73">
        <v>-0.63981842935716404</v>
      </c>
    </row>
    <row r="1197" spans="2:6" x14ac:dyDescent="0.45">
      <c r="B1197" s="72">
        <v>45902</v>
      </c>
      <c r="C1197" s="73">
        <v>229.4975280761719</v>
      </c>
      <c r="D1197" s="73">
        <v>6415.5400390625</v>
      </c>
      <c r="E1197" s="73">
        <v>-1.0424709383172748</v>
      </c>
      <c r="F1197" s="73">
        <v>-0.6922279936861564</v>
      </c>
    </row>
    <row r="1198" spans="2:6" x14ac:dyDescent="0.45">
      <c r="B1198" s="72">
        <v>45903</v>
      </c>
      <c r="C1198" s="73">
        <v>238.23905944824219</v>
      </c>
      <c r="D1198" s="73">
        <v>6448.259765625</v>
      </c>
      <c r="E1198" s="73">
        <v>3.8089871578786294</v>
      </c>
      <c r="F1198" s="73">
        <v>0.51000736279842585</v>
      </c>
    </row>
    <row r="1199" spans="2:6" x14ac:dyDescent="0.45">
      <c r="B1199" s="72">
        <v>45904</v>
      </c>
      <c r="C1199" s="73">
        <v>239.54777526855469</v>
      </c>
      <c r="D1199" s="73">
        <v>6502.080078125</v>
      </c>
      <c r="E1199" s="73">
        <v>0.54932882263027949</v>
      </c>
      <c r="F1199" s="73">
        <v>0.83464864096993718</v>
      </c>
    </row>
    <row r="1200" spans="2:6" x14ac:dyDescent="0.45">
      <c r="B1200" s="72">
        <v>45905</v>
      </c>
      <c r="C1200" s="73">
        <v>239.45787048339841</v>
      </c>
      <c r="D1200" s="73">
        <v>6481.5</v>
      </c>
      <c r="E1200" s="73">
        <v>-3.7531045761329818E-2</v>
      </c>
      <c r="F1200" s="73">
        <v>-0.31651529783888188</v>
      </c>
    </row>
    <row r="1201" spans="2:6" x14ac:dyDescent="0.45">
      <c r="B1201" s="72">
        <v>45908</v>
      </c>
      <c r="C1201" s="73">
        <v>237.6496276855469</v>
      </c>
      <c r="D1201" s="73">
        <v>6495.14990234375</v>
      </c>
      <c r="E1201" s="73">
        <v>-0.75514026505003606</v>
      </c>
      <c r="F1201" s="73">
        <v>0.21059789159529885</v>
      </c>
    </row>
    <row r="1202" spans="2:6" x14ac:dyDescent="0.45">
      <c r="B1202" s="72">
        <v>45909</v>
      </c>
      <c r="C1202" s="73">
        <v>234.123046875</v>
      </c>
      <c r="D1202" s="73">
        <v>6512.60986328125</v>
      </c>
      <c r="E1202" s="73">
        <v>-1.4839412310012956</v>
      </c>
      <c r="F1202" s="73">
        <v>0.26881536531127015</v>
      </c>
    </row>
    <row r="1203" spans="2:6" x14ac:dyDescent="0.45">
      <c r="B1203" s="72">
        <v>45910</v>
      </c>
      <c r="C1203" s="73">
        <v>226.57035827636719</v>
      </c>
      <c r="D1203" s="73">
        <v>6532.0400390625</v>
      </c>
      <c r="E1203" s="73">
        <v>-3.2259483632404828</v>
      </c>
      <c r="F1203" s="73">
        <v>0.29834699435626888</v>
      </c>
    </row>
    <row r="1204" spans="2:6" x14ac:dyDescent="0.45">
      <c r="B1204" s="72">
        <v>45911</v>
      </c>
      <c r="C1204" s="73">
        <v>229.8072204589844</v>
      </c>
      <c r="D1204" s="73">
        <v>6587.47021484375</v>
      </c>
      <c r="E1204" s="73">
        <v>1.4286344459361944</v>
      </c>
      <c r="F1204" s="73">
        <v>0.84858903879598824</v>
      </c>
    </row>
    <row r="1205" spans="2:6" x14ac:dyDescent="0.45">
      <c r="B1205" s="72">
        <v>45912</v>
      </c>
      <c r="C1205" s="73">
        <v>233.84332275390619</v>
      </c>
      <c r="D1205" s="73">
        <v>6584.2900390625</v>
      </c>
      <c r="E1205" s="73">
        <v>1.7562991653876869</v>
      </c>
      <c r="F1205" s="73">
        <v>-4.8276131466740146E-2</v>
      </c>
    </row>
    <row r="1206" spans="2:6" x14ac:dyDescent="0.45">
      <c r="B1206" s="72">
        <v>45915</v>
      </c>
      <c r="C1206" s="73">
        <v>236.47076416015619</v>
      </c>
      <c r="D1206" s="73">
        <v>6615.27978515625</v>
      </c>
      <c r="E1206" s="73">
        <v>1.1235905200573493</v>
      </c>
      <c r="F1206" s="73">
        <v>0.47066192269626939</v>
      </c>
    </row>
    <row r="1207" spans="2:6" x14ac:dyDescent="0.45">
      <c r="B1207" s="72">
        <v>45916</v>
      </c>
      <c r="C1207" s="73">
        <v>237.91935729980469</v>
      </c>
      <c r="D1207" s="73">
        <v>6606.759765625</v>
      </c>
      <c r="E1207" s="73">
        <v>0.61258868291531599</v>
      </c>
      <c r="F1207" s="73">
        <v>-0.12879303382402618</v>
      </c>
    </row>
    <row r="1208" spans="2:6" x14ac:dyDescent="0.45">
      <c r="B1208" s="72">
        <v>45917</v>
      </c>
      <c r="C1208" s="73">
        <v>238.75856018066409</v>
      </c>
      <c r="D1208" s="73">
        <v>6600.35009765625</v>
      </c>
      <c r="E1208" s="73">
        <v>0.35272576825344792</v>
      </c>
      <c r="F1208" s="73">
        <v>-9.7016816051032073E-2</v>
      </c>
    </row>
    <row r="1209" spans="2:6" x14ac:dyDescent="0.45">
      <c r="B1209" s="72">
        <v>45918</v>
      </c>
      <c r="C1209" s="73">
        <v>237.6496276855469</v>
      </c>
      <c r="D1209" s="73">
        <v>6631.9599609375</v>
      </c>
      <c r="E1209" s="73">
        <v>-0.46445769076429722</v>
      </c>
      <c r="F1209" s="73">
        <v>0.47891191851283654</v>
      </c>
    </row>
    <row r="1210" spans="2:6" x14ac:dyDescent="0.45">
      <c r="B1210" s="72">
        <v>45919</v>
      </c>
      <c r="C1210" s="73">
        <v>245.2622375488281</v>
      </c>
      <c r="D1210" s="73">
        <v>6664.35986328125</v>
      </c>
      <c r="E1210" s="73">
        <v>3.2032913063739565</v>
      </c>
      <c r="F1210" s="73">
        <v>0.48854188708296054</v>
      </c>
    </row>
    <row r="1211" spans="2:6" x14ac:dyDescent="0.45">
      <c r="B1211" s="72">
        <v>45922</v>
      </c>
      <c r="C1211" s="73">
        <v>255.83198547363281</v>
      </c>
      <c r="D1211" s="73">
        <v>6693.75</v>
      </c>
      <c r="E1211" s="73">
        <v>4.3095700465100917</v>
      </c>
      <c r="F1211" s="73">
        <v>0.44100464743330736</v>
      </c>
    </row>
    <row r="1212" spans="2:6" x14ac:dyDescent="0.45">
      <c r="B1212" s="72">
        <v>45923</v>
      </c>
      <c r="C1212" s="73">
        <v>254.18359375</v>
      </c>
      <c r="D1212" s="73">
        <v>6656.919921875</v>
      </c>
      <c r="E1212" s="73">
        <v>-0.64432589247238603</v>
      </c>
      <c r="F1212" s="73">
        <v>-0.55021591970121353</v>
      </c>
    </row>
    <row r="1213" spans="2:6" x14ac:dyDescent="0.45">
      <c r="B1213" s="72">
        <v>45924</v>
      </c>
      <c r="C1213" s="73">
        <v>252.0656433105469</v>
      </c>
      <c r="D1213" s="73">
        <v>6637.97021484375</v>
      </c>
      <c r="E1213" s="73">
        <v>-0.83323648399439287</v>
      </c>
      <c r="F1213" s="73">
        <v>-0.28466178433332878</v>
      </c>
    </row>
    <row r="1214" spans="2:6" x14ac:dyDescent="0.45">
      <c r="B1214" s="72">
        <v>45925</v>
      </c>
      <c r="C1214" s="73">
        <v>256.6212158203125</v>
      </c>
      <c r="D1214" s="73">
        <v>6604.72021484375</v>
      </c>
      <c r="E1214" s="73">
        <v>1.8072960876120314</v>
      </c>
      <c r="F1214" s="73">
        <v>-0.50090613431266195</v>
      </c>
    </row>
    <row r="1215" spans="2:6" x14ac:dyDescent="0.45">
      <c r="B1215" s="72">
        <v>45926</v>
      </c>
      <c r="C1215" s="73">
        <v>255.21260070800781</v>
      </c>
      <c r="D1215" s="73">
        <v>6643.7001953125</v>
      </c>
      <c r="E1215" s="73">
        <v>-0.54890828406448655</v>
      </c>
      <c r="F1215" s="73">
        <v>0.59018367471712629</v>
      </c>
    </row>
    <row r="1216" spans="2:6" x14ac:dyDescent="0.45">
      <c r="B1216" s="72">
        <v>45929</v>
      </c>
      <c r="C1216" s="73">
        <v>254.18359375</v>
      </c>
      <c r="D1216" s="73">
        <v>6661.2099609375</v>
      </c>
      <c r="E1216" s="73">
        <v>-0.40319598450592187</v>
      </c>
      <c r="F1216" s="73">
        <v>0.26355442163621401</v>
      </c>
    </row>
    <row r="1217" spans="2:6" x14ac:dyDescent="0.45">
      <c r="B1217" s="72">
        <v>45930</v>
      </c>
      <c r="C1217" s="73">
        <v>254.38340759277341</v>
      </c>
      <c r="D1217" s="73">
        <v>6688.4599609375</v>
      </c>
      <c r="E1217" s="73">
        <v>7.8610047102389835E-2</v>
      </c>
      <c r="F1217" s="73">
        <v>0.40908483833717035</v>
      </c>
    </row>
    <row r="1218" spans="2:6" x14ac:dyDescent="0.45">
      <c r="B1218" s="72">
        <v>45931</v>
      </c>
      <c r="C1218" s="73">
        <v>255.2026062011719</v>
      </c>
      <c r="D1218" s="73">
        <v>6711.2001953125</v>
      </c>
      <c r="E1218" s="73">
        <v>0.32203303515372372</v>
      </c>
      <c r="F1218" s="73">
        <v>0.33999208349619892</v>
      </c>
    </row>
    <row r="1219" spans="2:6" x14ac:dyDescent="0.45">
      <c r="B1219" s="72">
        <v>45932</v>
      </c>
      <c r="C1219" s="73">
        <v>256.8809814453125</v>
      </c>
      <c r="D1219" s="73">
        <v>6715.35009765625</v>
      </c>
      <c r="E1219" s="73">
        <v>0.65766383389422867</v>
      </c>
      <c r="F1219" s="73">
        <v>6.1835472389115687E-2</v>
      </c>
    </row>
    <row r="1220" spans="2:6" x14ac:dyDescent="0.45">
      <c r="B1220" s="72">
        <v>45933</v>
      </c>
      <c r="C1220" s="73">
        <v>257.77011108398438</v>
      </c>
      <c r="D1220" s="73">
        <v>6715.7900390625</v>
      </c>
      <c r="E1220" s="73">
        <v>0.34612513299712155</v>
      </c>
      <c r="F1220" s="73">
        <v>6.5512802735812059E-3</v>
      </c>
    </row>
    <row r="1221" spans="2:6" x14ac:dyDescent="0.45">
      <c r="B1221" s="72">
        <v>45936</v>
      </c>
      <c r="C1221" s="73">
        <v>256.44140625</v>
      </c>
      <c r="D1221" s="73">
        <v>6740.27978515625</v>
      </c>
      <c r="E1221" s="73">
        <v>-0.51546117135026215</v>
      </c>
      <c r="F1221" s="73">
        <v>0.36465919796933033</v>
      </c>
    </row>
    <row r="1222" spans="2:6" x14ac:dyDescent="0.45">
      <c r="B1222" s="72">
        <v>45937</v>
      </c>
      <c r="C1222" s="73">
        <v>256.23162841796881</v>
      </c>
      <c r="D1222" s="73">
        <v>6714.58984375</v>
      </c>
      <c r="E1222" s="73">
        <v>-8.1803416655223948E-2</v>
      </c>
      <c r="F1222" s="73">
        <v>-0.38114057910215715</v>
      </c>
    </row>
    <row r="1223" spans="2:6" x14ac:dyDescent="0.45">
      <c r="B1223" s="72">
        <v>45938</v>
      </c>
      <c r="C1223" s="73">
        <v>257.81008911132813</v>
      </c>
      <c r="D1223" s="73">
        <v>6753.72021484375</v>
      </c>
      <c r="E1223" s="73">
        <v>0.6160288263806768</v>
      </c>
      <c r="F1223" s="73">
        <v>0.58276636405680815</v>
      </c>
    </row>
    <row r="1224" spans="2:6" x14ac:dyDescent="0.45">
      <c r="B1224" s="72">
        <v>45939</v>
      </c>
      <c r="C1224" s="73">
        <v>253.79396057128909</v>
      </c>
      <c r="D1224" s="73">
        <v>6735.10986328125</v>
      </c>
      <c r="E1224" s="73">
        <v>-1.5577856374367038</v>
      </c>
      <c r="F1224" s="73">
        <v>-0.2755570407195318</v>
      </c>
    </row>
    <row r="1225" spans="2:6" x14ac:dyDescent="0.45">
      <c r="B1225" s="72">
        <v>45940</v>
      </c>
      <c r="C1225" s="73">
        <v>245.032470703125</v>
      </c>
      <c r="D1225" s="73">
        <v>6552.509765625</v>
      </c>
      <c r="E1225" s="73">
        <v>-3.4522058162621438</v>
      </c>
      <c r="F1225" s="73">
        <v>-2.7111673211413612</v>
      </c>
    </row>
    <row r="1226" spans="2:6" x14ac:dyDescent="0.45">
      <c r="B1226" s="72">
        <v>45943</v>
      </c>
      <c r="C1226" s="73">
        <v>247.42015075683591</v>
      </c>
      <c r="D1226" s="73">
        <v>6654.72021484375</v>
      </c>
      <c r="E1226" s="73">
        <v>0.97443414207898371</v>
      </c>
      <c r="F1226" s="73">
        <v>1.5598671787557583</v>
      </c>
    </row>
    <row r="1227" spans="2:6" x14ac:dyDescent="0.45">
      <c r="B1227" s="72">
        <v>45944</v>
      </c>
      <c r="C1227" s="73">
        <v>247.53004455566409</v>
      </c>
      <c r="D1227" s="73">
        <v>6644.31005859375</v>
      </c>
      <c r="E1227" s="73">
        <v>4.4415864468616562E-2</v>
      </c>
      <c r="F1227" s="73">
        <v>-0.15643266604626893</v>
      </c>
    </row>
    <row r="1228" spans="2:6" x14ac:dyDescent="0.45">
      <c r="B1228" s="72">
        <v>45945</v>
      </c>
      <c r="C1228" s="73">
        <v>249.09852600097659</v>
      </c>
      <c r="D1228" s="73">
        <v>6671.06005859375</v>
      </c>
      <c r="E1228" s="73">
        <v>0.63365295640294139</v>
      </c>
      <c r="F1228" s="73">
        <v>0.40260011595036893</v>
      </c>
    </row>
    <row r="1229" spans="2:6" x14ac:dyDescent="0.45">
      <c r="B1229" s="72">
        <v>45946</v>
      </c>
      <c r="C1229" s="73">
        <v>247.2103576660156</v>
      </c>
      <c r="D1229" s="73">
        <v>6629.06982421875</v>
      </c>
      <c r="E1229" s="73">
        <v>-0.7580006053321986</v>
      </c>
      <c r="F1229" s="73">
        <v>-0.62943870998294349</v>
      </c>
    </row>
    <row r="1230" spans="2:6" x14ac:dyDescent="0.45">
      <c r="B1230" s="72">
        <v>45947</v>
      </c>
      <c r="C1230" s="73">
        <v>252.045654296875</v>
      </c>
      <c r="D1230" s="73">
        <v>6664.009765625</v>
      </c>
      <c r="E1230" s="73">
        <v>1.9559441912186948</v>
      </c>
      <c r="F1230" s="73">
        <v>0.52707155502571545</v>
      </c>
    </row>
    <row r="1231" spans="2:6" x14ac:dyDescent="0.45">
      <c r="B1231" s="72">
        <v>45950</v>
      </c>
      <c r="C1231" s="73">
        <v>261.98602294921881</v>
      </c>
      <c r="D1231" s="73">
        <v>6735.1298828125</v>
      </c>
      <c r="E1231" s="73">
        <v>3.9438762315002762</v>
      </c>
      <c r="F1231" s="73">
        <v>1.0672270853256949</v>
      </c>
    </row>
    <row r="1232" spans="2:6" x14ac:dyDescent="0.45">
      <c r="B1232" s="72">
        <v>45951</v>
      </c>
      <c r="C1232" s="73">
        <v>262.5155029296875</v>
      </c>
      <c r="D1232" s="73">
        <v>6735.35009765625</v>
      </c>
      <c r="E1232" s="73">
        <v>0.20210237725977187</v>
      </c>
      <c r="F1232" s="73">
        <v>3.2696450934288634E-3</v>
      </c>
    </row>
    <row r="1233" spans="2:6" x14ac:dyDescent="0.45">
      <c r="B1233" s="72">
        <v>45952</v>
      </c>
      <c r="C1233" s="73">
        <v>258.19970703125</v>
      </c>
      <c r="D1233" s="73">
        <v>6699.39990234375</v>
      </c>
      <c r="E1233" s="73">
        <v>-1.6440156296572916</v>
      </c>
      <c r="F1233" s="73">
        <v>-0.53375392208654393</v>
      </c>
    </row>
    <row r="1234" spans="2:6" x14ac:dyDescent="0.45">
      <c r="B1234" s="72">
        <v>45953</v>
      </c>
      <c r="C1234" s="73">
        <v>259.32858276367188</v>
      </c>
      <c r="D1234" s="73">
        <v>6738.43994140625</v>
      </c>
      <c r="E1234" s="73">
        <v>0.43721030724688248</v>
      </c>
      <c r="F1234" s="73">
        <v>0.58273934429324825</v>
      </c>
    </row>
    <row r="1235" spans="2:6" x14ac:dyDescent="0.45">
      <c r="B1235" s="72">
        <v>45954</v>
      </c>
      <c r="C1235" s="73">
        <v>262.56549072265619</v>
      </c>
      <c r="D1235" s="73">
        <v>6791.68994140625</v>
      </c>
      <c r="E1235" s="73">
        <v>1.2481878875396202</v>
      </c>
      <c r="F1235" s="73">
        <v>0.79024225878738807</v>
      </c>
    </row>
    <row r="1236" spans="2:6" x14ac:dyDescent="0.45">
      <c r="B1236" s="72">
        <v>45957</v>
      </c>
      <c r="C1236" s="73">
        <v>268.54965209960938</v>
      </c>
      <c r="D1236" s="73">
        <v>6875.16015625</v>
      </c>
      <c r="E1236" s="73">
        <v>2.2791119124158543</v>
      </c>
      <c r="F1236" s="73">
        <v>1.2290050865671143</v>
      </c>
    </row>
    <row r="1237" spans="2:6" x14ac:dyDescent="0.45">
      <c r="B1237" s="72">
        <v>45958</v>
      </c>
      <c r="C1237" s="73">
        <v>268.73947143554688</v>
      </c>
      <c r="D1237" s="73">
        <v>6890.89013671875</v>
      </c>
      <c r="E1237" s="73">
        <v>7.068314349076843E-2</v>
      </c>
      <c r="F1237" s="73">
        <v>0.22879438603986557</v>
      </c>
    </row>
    <row r="1238" spans="2:6" x14ac:dyDescent="0.45">
      <c r="B1238" s="72">
        <v>45959</v>
      </c>
      <c r="C1238" s="73">
        <v>269.43881225585938</v>
      </c>
      <c r="D1238" s="73">
        <v>6890.58984375</v>
      </c>
      <c r="E1238" s="73">
        <v>0.26023003490212027</v>
      </c>
      <c r="F1238" s="73">
        <v>-4.3578255173426506E-3</v>
      </c>
    </row>
    <row r="1239" spans="2:6" x14ac:dyDescent="0.45">
      <c r="B1239" s="72">
        <v>45960</v>
      </c>
      <c r="C1239" s="73">
        <v>271.13714599609381</v>
      </c>
      <c r="D1239" s="73">
        <v>6822.33984375</v>
      </c>
      <c r="E1239" s="73">
        <v>0.63032260497857262</v>
      </c>
      <c r="F1239" s="73">
        <v>-0.99048124395192394</v>
      </c>
    </row>
    <row r="1240" spans="2:6" x14ac:dyDescent="0.45">
      <c r="B1240" s="72">
        <v>45961</v>
      </c>
      <c r="C1240" s="73">
        <v>270.108154296875</v>
      </c>
      <c r="D1240" s="73">
        <v>6840.2001953125</v>
      </c>
      <c r="E1240" s="73">
        <v>-0.37950967413135084</v>
      </c>
      <c r="F1240" s="73">
        <v>0.26179217059763005</v>
      </c>
    </row>
    <row r="1241" spans="2:6" x14ac:dyDescent="0.45">
      <c r="B1241" s="72">
        <v>45964</v>
      </c>
      <c r="C1241" s="73">
        <v>268.7894287109375</v>
      </c>
      <c r="D1241" s="73">
        <v>6851.97021484375</v>
      </c>
      <c r="E1241" s="73">
        <v>-0.48822131615030573</v>
      </c>
      <c r="F1241" s="73">
        <v>0.17207127269924793</v>
      </c>
    </row>
    <row r="1242" spans="2:6" x14ac:dyDescent="0.45">
      <c r="B1242" s="72">
        <v>45965</v>
      </c>
      <c r="C1242" s="73">
        <v>269.77847290039063</v>
      </c>
      <c r="D1242" s="73">
        <v>6771.5498046875</v>
      </c>
      <c r="E1242" s="73">
        <v>0.36796245826942187</v>
      </c>
      <c r="F1242" s="73">
        <v>-1.1736830084583816</v>
      </c>
    </row>
    <row r="1243" spans="2:6" x14ac:dyDescent="0.45">
      <c r="B1243" s="72">
        <v>45966</v>
      </c>
      <c r="C1243" s="73">
        <v>269.87838745117188</v>
      </c>
      <c r="D1243" s="73">
        <v>6796.2900390625</v>
      </c>
      <c r="E1243" s="73">
        <v>3.7035775948712768E-2</v>
      </c>
      <c r="F1243" s="73">
        <v>0.36535556982648654</v>
      </c>
    </row>
    <row r="1244" spans="2:6" x14ac:dyDescent="0.45">
      <c r="B1244" s="72">
        <v>45967</v>
      </c>
      <c r="C1244" s="73">
        <v>269.50872802734381</v>
      </c>
      <c r="D1244" s="73">
        <v>6720.31982421875</v>
      </c>
      <c r="E1244" s="73">
        <v>-0.13697259247740234</v>
      </c>
      <c r="F1244" s="73">
        <v>-1.1178189042419073</v>
      </c>
    </row>
    <row r="1245" spans="2:6" x14ac:dyDescent="0.45">
      <c r="B1245" s="72">
        <v>45968</v>
      </c>
      <c r="C1245" s="73">
        <v>268.20999145507813</v>
      </c>
      <c r="D1245" s="73">
        <v>6728.7998046875</v>
      </c>
      <c r="E1245" s="73">
        <v>-0.48189035723322782</v>
      </c>
      <c r="F1245" s="73">
        <v>0.12618418007710464</v>
      </c>
    </row>
    <row r="1246" spans="2:6" x14ac:dyDescent="0.45">
      <c r="B1246" s="72">
        <v>45971</v>
      </c>
      <c r="C1246" s="73">
        <v>269.42999267578119</v>
      </c>
      <c r="D1246" s="73">
        <v>6832.43017578125</v>
      </c>
      <c r="E1246" s="73">
        <v>0.45486792422773092</v>
      </c>
      <c r="F1246" s="73">
        <v>1.540101862170995</v>
      </c>
    </row>
    <row r="1247" spans="2:6" x14ac:dyDescent="0.45">
      <c r="B1247" s="72">
        <v>45972</v>
      </c>
      <c r="C1247" s="73">
        <v>275.25</v>
      </c>
      <c r="D1247" s="73">
        <v>6846.60986328125</v>
      </c>
      <c r="E1247" s="73">
        <v>2.1601185771557008</v>
      </c>
      <c r="F1247" s="73">
        <v>0.20753505173405351</v>
      </c>
    </row>
    <row r="1248" spans="2:6" x14ac:dyDescent="0.45">
      <c r="B1248" s="72">
        <v>45973</v>
      </c>
      <c r="C1248" s="73">
        <v>273.47000122070313</v>
      </c>
      <c r="D1248" s="73">
        <v>6850.919921875</v>
      </c>
      <c r="E1248" s="73">
        <v>-0.64668438848206611</v>
      </c>
      <c r="F1248" s="73">
        <v>6.2951718877179985E-2</v>
      </c>
    </row>
    <row r="1249" spans="2:6" x14ac:dyDescent="0.45">
      <c r="B1249" s="72">
        <v>45974</v>
      </c>
      <c r="C1249" s="73">
        <v>272.95001220703119</v>
      </c>
      <c r="D1249" s="73">
        <v>6737.490234375</v>
      </c>
      <c r="E1249" s="73">
        <v>-0.19014480979662185</v>
      </c>
      <c r="F1249" s="73">
        <v>-1.6556854961596978</v>
      </c>
    </row>
    <row r="1250" spans="2:6" x14ac:dyDescent="0.45">
      <c r="B1250" s="72">
        <v>45975</v>
      </c>
      <c r="C1250" s="73">
        <v>272.41000366210938</v>
      </c>
      <c r="D1250" s="73">
        <v>6734.10986328125</v>
      </c>
      <c r="E1250" s="73">
        <v>-0.19784155368061107</v>
      </c>
      <c r="F1250" s="73">
        <v>-5.0172556488514708E-2</v>
      </c>
    </row>
    <row r="1251" spans="2:6" x14ac:dyDescent="0.45">
      <c r="B1251" s="72">
        <v>45978</v>
      </c>
      <c r="C1251" s="73">
        <v>267.45999145507813</v>
      </c>
      <c r="D1251" s="73">
        <v>6672.41015625</v>
      </c>
      <c r="E1251" s="73">
        <v>-1.8171183658773127</v>
      </c>
      <c r="F1251" s="73">
        <v>-0.91622661768078206</v>
      </c>
    </row>
    <row r="1252" spans="2:6" x14ac:dyDescent="0.45">
      <c r="B1252" s="72">
        <v>45979</v>
      </c>
      <c r="C1252" s="73">
        <v>267.44000244140619</v>
      </c>
      <c r="D1252" s="73">
        <v>6617.31982421875</v>
      </c>
      <c r="E1252" s="73">
        <v>-7.4736462688074212E-3</v>
      </c>
      <c r="F1252" s="73">
        <v>-0.82564366909679832</v>
      </c>
    </row>
    <row r="1253" spans="2:6" x14ac:dyDescent="0.45">
      <c r="B1253" s="72">
        <v>45980</v>
      </c>
      <c r="C1253" s="73">
        <v>268.55999755859381</v>
      </c>
      <c r="D1253" s="73">
        <v>6642.16015625</v>
      </c>
      <c r="E1253" s="73">
        <v>0.41878369240331281</v>
      </c>
      <c r="F1253" s="73">
        <v>0.37538357962292324</v>
      </c>
    </row>
    <row r="1254" spans="2:6" x14ac:dyDescent="0.45">
      <c r="B1254" s="72">
        <v>45981</v>
      </c>
      <c r="C1254" s="73">
        <v>266.25</v>
      </c>
      <c r="D1254" s="73">
        <v>6538.759765625</v>
      </c>
      <c r="E1254" s="73">
        <v>-0.86014208355428279</v>
      </c>
      <c r="F1254" s="73">
        <v>-1.5567283563270418</v>
      </c>
    </row>
    <row r="1255" spans="2:6" x14ac:dyDescent="0.45">
      <c r="B1255" s="72">
        <v>45982</v>
      </c>
      <c r="C1255" s="73">
        <v>271.489990234375</v>
      </c>
      <c r="D1255" s="73">
        <v>6602.990234375</v>
      </c>
      <c r="E1255" s="73">
        <v>1.9680714495305063</v>
      </c>
      <c r="F1255" s="73">
        <v>0.9823035415319481</v>
      </c>
    </row>
    <row r="1256" spans="2:6" x14ac:dyDescent="0.45">
      <c r="B1256" s="72">
        <v>45985</v>
      </c>
      <c r="C1256" s="73">
        <v>275.92001342773438</v>
      </c>
      <c r="D1256" s="73">
        <v>6705.1201171875</v>
      </c>
      <c r="E1256" s="73">
        <v>1.6317445772254802</v>
      </c>
      <c r="F1256" s="73">
        <v>1.5467217001293498</v>
      </c>
    </row>
    <row r="1257" spans="2:6" x14ac:dyDescent="0.45">
      <c r="B1257" s="72">
        <v>45986</v>
      </c>
      <c r="C1257" s="73">
        <v>276.97000122070313</v>
      </c>
      <c r="D1257" s="73">
        <v>6765.8798828125</v>
      </c>
      <c r="E1257" s="73">
        <v>0.38054064289314571</v>
      </c>
      <c r="F1257" s="73">
        <v>0.9061696817220577</v>
      </c>
    </row>
    <row r="1258" spans="2:6" x14ac:dyDescent="0.45">
      <c r="B1258" s="72">
        <v>45987</v>
      </c>
      <c r="C1258" s="73">
        <v>277.54998779296881</v>
      </c>
      <c r="D1258" s="73">
        <v>6812.60986328125</v>
      </c>
      <c r="E1258" s="73">
        <v>0.20940411225385258</v>
      </c>
      <c r="F1258" s="73">
        <v>0.69067115110126309</v>
      </c>
    </row>
    <row r="1259" spans="2:6" x14ac:dyDescent="0.45">
      <c r="B1259" s="72">
        <v>45989</v>
      </c>
      <c r="C1259" s="73">
        <v>278.85000610351563</v>
      </c>
      <c r="D1259" s="73">
        <v>6849.08984375</v>
      </c>
      <c r="E1259" s="73">
        <v>0.46839069274848821</v>
      </c>
      <c r="F1259" s="73">
        <v>0.53547731634202567</v>
      </c>
    </row>
    <row r="1260" spans="2:6" x14ac:dyDescent="0.45">
      <c r="B1260" s="72">
        <v>45992</v>
      </c>
      <c r="C1260" s="73">
        <v>283.10000610351563</v>
      </c>
      <c r="D1260" s="73">
        <v>6812.6298828125</v>
      </c>
      <c r="E1260" s="73">
        <v>1.5241168753721723</v>
      </c>
      <c r="F1260" s="73">
        <v>-0.53233293429156836</v>
      </c>
    </row>
    <row r="1261" spans="2:6" x14ac:dyDescent="0.45">
      <c r="B1261" s="72">
        <v>45993</v>
      </c>
      <c r="C1261" s="73">
        <v>285.50469970703119</v>
      </c>
      <c r="D1261" s="73">
        <v>6812.7099609375</v>
      </c>
      <c r="E1261" s="73">
        <v>0.84941488932228637</v>
      </c>
      <c r="F1261" s="73">
        <v>1.1754363054672368E-3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5DC4-578D-4F51-812E-01233B6759B5}">
  <sheetPr>
    <tabColor rgb="FFFF0000"/>
  </sheetPr>
  <dimension ref="B2:N49"/>
  <sheetViews>
    <sheetView showGridLines="0" workbookViewId="0">
      <selection activeCell="L32" sqref="L32"/>
    </sheetView>
  </sheetViews>
  <sheetFormatPr defaultColWidth="12.86328125" defaultRowHeight="14.25" x14ac:dyDescent="0.45"/>
  <cols>
    <col min="1" max="1" width="2.86328125" customWidth="1"/>
    <col min="2" max="2" width="21.1328125" customWidth="1"/>
    <col min="3" max="3" width="2.86328125" customWidth="1"/>
  </cols>
  <sheetData>
    <row r="2" spans="2:14" ht="21" x14ac:dyDescent="0.45">
      <c r="B2" s="15" t="s">
        <v>110</v>
      </c>
      <c r="C2" s="14"/>
      <c r="D2" s="14"/>
      <c r="E2" s="14"/>
      <c r="F2" s="14"/>
      <c r="G2" s="14"/>
      <c r="H2" s="14"/>
      <c r="I2" s="14"/>
      <c r="J2" s="14"/>
    </row>
    <row r="3" spans="2:14" ht="16.5" x14ac:dyDescent="0.6">
      <c r="B3" s="1"/>
      <c r="C3" s="1"/>
      <c r="D3" s="1"/>
      <c r="E3" s="1"/>
      <c r="F3" s="1"/>
      <c r="G3" s="2"/>
      <c r="H3" s="1"/>
      <c r="I3" s="1"/>
      <c r="J3" s="1"/>
    </row>
    <row r="4" spans="2:14" ht="16.5" x14ac:dyDescent="0.6">
      <c r="B4" s="17" t="s">
        <v>0</v>
      </c>
      <c r="C4" s="16"/>
      <c r="D4" s="16"/>
      <c r="E4" s="16"/>
      <c r="F4" s="1"/>
      <c r="G4" s="17" t="s">
        <v>1</v>
      </c>
      <c r="H4" s="16"/>
      <c r="I4" s="16"/>
      <c r="J4" s="16"/>
    </row>
    <row r="5" spans="2:14" ht="16.5" x14ac:dyDescent="0.6">
      <c r="B5" s="3" t="s">
        <v>2</v>
      </c>
      <c r="C5" s="1"/>
      <c r="D5" s="1"/>
      <c r="E5" s="31" t="s">
        <v>3</v>
      </c>
      <c r="F5" s="1"/>
      <c r="G5" s="1" t="s">
        <v>4</v>
      </c>
      <c r="H5" s="1"/>
      <c r="I5" s="1"/>
      <c r="J5" s="29">
        <v>46022</v>
      </c>
    </row>
    <row r="6" spans="2:14" ht="16.5" x14ac:dyDescent="0.6">
      <c r="B6" s="3" t="s">
        <v>5</v>
      </c>
      <c r="C6" s="1"/>
      <c r="D6" s="1"/>
      <c r="E6" s="32" t="s">
        <v>3</v>
      </c>
      <c r="F6" s="1"/>
      <c r="G6" s="3" t="s">
        <v>6</v>
      </c>
      <c r="H6" s="1"/>
      <c r="I6" s="1"/>
      <c r="J6" s="25">
        <v>0.02</v>
      </c>
    </row>
    <row r="7" spans="2:14" ht="16.5" x14ac:dyDescent="0.6">
      <c r="B7" s="3" t="s">
        <v>7</v>
      </c>
      <c r="C7" s="1"/>
      <c r="D7" s="1"/>
      <c r="E7" s="32" t="s">
        <v>3</v>
      </c>
      <c r="F7" s="1"/>
      <c r="G7" s="3" t="s">
        <v>8</v>
      </c>
      <c r="H7" s="1"/>
      <c r="I7" s="1"/>
      <c r="J7" s="26" t="s">
        <v>3</v>
      </c>
      <c r="L7" s="54" t="s">
        <v>62</v>
      </c>
      <c r="M7" s="55"/>
      <c r="N7" s="55"/>
    </row>
    <row r="8" spans="2:14" ht="16.5" x14ac:dyDescent="0.6">
      <c r="B8" s="3" t="s">
        <v>9</v>
      </c>
      <c r="C8" s="1"/>
      <c r="D8" s="1"/>
      <c r="E8" s="33" t="e">
        <f>E7+(E5*E6)</f>
        <v>#VALUE!</v>
      </c>
      <c r="F8" s="1"/>
      <c r="G8" s="3" t="s">
        <v>10</v>
      </c>
      <c r="H8" s="1"/>
      <c r="I8" s="1"/>
      <c r="J8" s="27" t="s">
        <v>3</v>
      </c>
    </row>
    <row r="9" spans="2:14" ht="16.5" x14ac:dyDescent="0.6">
      <c r="B9" s="3" t="s">
        <v>11</v>
      </c>
      <c r="C9" s="1"/>
      <c r="D9" s="1"/>
      <c r="E9" s="33" t="e">
        <f>J10/SUM(J10:J11)</f>
        <v>#VALUE!</v>
      </c>
      <c r="F9" s="1"/>
      <c r="G9" s="3" t="s">
        <v>12</v>
      </c>
      <c r="H9" s="1"/>
      <c r="I9" s="1"/>
      <c r="J9" s="28" t="s">
        <v>3</v>
      </c>
    </row>
    <row r="10" spans="2:14" ht="16.5" x14ac:dyDescent="0.6">
      <c r="B10" s="3" t="s">
        <v>13</v>
      </c>
      <c r="C10" s="1"/>
      <c r="D10" s="1"/>
      <c r="E10" s="34" t="s">
        <v>3</v>
      </c>
      <c r="F10" s="1"/>
      <c r="G10" s="3" t="s">
        <v>14</v>
      </c>
      <c r="H10" s="1"/>
      <c r="I10" s="1"/>
      <c r="J10" s="30" t="e">
        <f>J8*J9</f>
        <v>#VALUE!</v>
      </c>
    </row>
    <row r="11" spans="2:14" ht="16.5" x14ac:dyDescent="0.6">
      <c r="B11" s="5" t="s">
        <v>15</v>
      </c>
      <c r="C11" s="1"/>
      <c r="D11" s="1"/>
      <c r="E11" s="33" t="e">
        <f>E10*(1-E13)</f>
        <v>#VALUE!</v>
      </c>
      <c r="F11" s="1"/>
      <c r="G11" s="3" t="s">
        <v>16</v>
      </c>
      <c r="H11" s="1"/>
      <c r="I11" s="1"/>
      <c r="J11" s="27"/>
    </row>
    <row r="12" spans="2:14" ht="16.5" x14ac:dyDescent="0.6">
      <c r="B12" s="3" t="s">
        <v>17</v>
      </c>
      <c r="C12" s="1"/>
      <c r="D12" s="1"/>
      <c r="E12" s="35" t="e">
        <f>1-E9</f>
        <v>#VALUE!</v>
      </c>
      <c r="F12" s="1"/>
      <c r="G12" s="1" t="s">
        <v>18</v>
      </c>
      <c r="H12" s="1"/>
      <c r="I12" s="1"/>
      <c r="J12" s="45"/>
    </row>
    <row r="13" spans="2:14" ht="16.5" x14ac:dyDescent="0.6">
      <c r="B13" s="3" t="s">
        <v>19</v>
      </c>
      <c r="C13" s="1"/>
      <c r="D13" s="1"/>
      <c r="E13" s="36" t="s">
        <v>3</v>
      </c>
      <c r="F13" s="1"/>
      <c r="G13" s="1"/>
      <c r="H13" s="1"/>
      <c r="I13" s="1"/>
      <c r="J13" s="1"/>
    </row>
    <row r="14" spans="2:14" ht="16.899999999999999" thickBot="1" x14ac:dyDescent="0.65">
      <c r="B14" s="6" t="s">
        <v>20</v>
      </c>
      <c r="C14" s="6"/>
      <c r="D14" s="6"/>
      <c r="E14" s="47" t="e">
        <f>(E9*E8)+(E11*E12)</f>
        <v>#VALUE!</v>
      </c>
      <c r="F14" s="1"/>
      <c r="G14" s="1"/>
      <c r="H14" s="1"/>
      <c r="I14" s="1"/>
      <c r="J14" s="1"/>
    </row>
    <row r="15" spans="2:14" ht="14.65" thickTop="1" x14ac:dyDescent="0.45"/>
    <row r="16" spans="2:14" ht="16.5" x14ac:dyDescent="0.6">
      <c r="B16" s="18" t="s">
        <v>21</v>
      </c>
      <c r="C16" s="19"/>
      <c r="D16" s="19" t="s">
        <v>55</v>
      </c>
      <c r="E16" s="19" t="s">
        <v>54</v>
      </c>
      <c r="F16" s="19" t="s">
        <v>53</v>
      </c>
      <c r="G16" s="19" t="s">
        <v>52</v>
      </c>
      <c r="H16" s="19" t="s">
        <v>56</v>
      </c>
      <c r="I16" s="19" t="s">
        <v>61</v>
      </c>
      <c r="J16" s="19" t="s">
        <v>60</v>
      </c>
      <c r="K16" s="19" t="s">
        <v>59</v>
      </c>
      <c r="L16" s="19" t="s">
        <v>58</v>
      </c>
      <c r="M16" s="19" t="s">
        <v>57</v>
      </c>
    </row>
    <row r="17" spans="2:13" ht="16.5" x14ac:dyDescent="0.6">
      <c r="B17" s="3" t="s">
        <v>24</v>
      </c>
      <c r="C17" s="1"/>
      <c r="D17" s="1" t="s">
        <v>25</v>
      </c>
      <c r="E17" s="1" t="s">
        <v>25</v>
      </c>
      <c r="F17" s="1" t="s">
        <v>25</v>
      </c>
      <c r="G17" s="1" t="s">
        <v>25</v>
      </c>
      <c r="H17" s="1">
        <f>SUM(D17:G17)</f>
        <v>0</v>
      </c>
      <c r="I17" s="1" t="s">
        <v>26</v>
      </c>
      <c r="J17" s="1" t="s">
        <v>26</v>
      </c>
      <c r="K17" s="1" t="s">
        <v>26</v>
      </c>
      <c r="L17" s="1" t="s">
        <v>26</v>
      </c>
      <c r="M17" s="1">
        <f>SUM(I17:L17)</f>
        <v>0</v>
      </c>
    </row>
    <row r="18" spans="2:13" ht="16.5" x14ac:dyDescent="0.6">
      <c r="B18" s="38" t="s">
        <v>27</v>
      </c>
      <c r="C18" s="1"/>
      <c r="D18" s="1"/>
      <c r="E18" s="53" t="str">
        <f t="shared" ref="E18:G18" si="0">IFERROR(E17/D17-1,"")</f>
        <v/>
      </c>
      <c r="F18" s="53" t="str">
        <f t="shared" si="0"/>
        <v/>
      </c>
      <c r="G18" s="53" t="str">
        <f t="shared" si="0"/>
        <v/>
      </c>
      <c r="H18" s="1"/>
      <c r="I18" s="1" t="e">
        <f t="shared" ref="I18:L18" si="1">I17/H17-1</f>
        <v>#VALUE!</v>
      </c>
      <c r="J18" s="1" t="e">
        <f t="shared" si="1"/>
        <v>#VALUE!</v>
      </c>
      <c r="K18" s="1" t="e">
        <f t="shared" si="1"/>
        <v>#VALUE!</v>
      </c>
      <c r="L18" s="1" t="e">
        <f t="shared" si="1"/>
        <v>#VALUE!</v>
      </c>
      <c r="M18" s="1"/>
    </row>
    <row r="19" spans="2:13" ht="16.5" x14ac:dyDescent="0.6">
      <c r="B19" s="3" t="s">
        <v>28</v>
      </c>
      <c r="C19" s="1"/>
      <c r="D19" s="1" t="s">
        <v>25</v>
      </c>
      <c r="E19" s="1" t="s">
        <v>25</v>
      </c>
      <c r="F19" s="1" t="s">
        <v>25</v>
      </c>
      <c r="G19" s="1" t="s">
        <v>25</v>
      </c>
      <c r="H19" s="1">
        <f>SUM(D19:G19)</f>
        <v>0</v>
      </c>
      <c r="I19" s="1"/>
      <c r="J19" s="1"/>
      <c r="K19" s="1"/>
      <c r="L19" s="1"/>
      <c r="M19" s="1">
        <f>SUM(I19:L19)</f>
        <v>0</v>
      </c>
    </row>
    <row r="20" spans="2:13" ht="16.5" x14ac:dyDescent="0.6">
      <c r="B20" s="8" t="s">
        <v>29</v>
      </c>
      <c r="C20" s="23"/>
      <c r="D20" s="23" t="e">
        <f>D17+D19</f>
        <v>#VALUE!</v>
      </c>
      <c r="E20" s="23" t="e">
        <f t="shared" ref="E20:M20" si="2">E17+E19</f>
        <v>#VALUE!</v>
      </c>
      <c r="F20" s="23" t="e">
        <f t="shared" si="2"/>
        <v>#VALUE!</v>
      </c>
      <c r="G20" s="23" t="e">
        <f t="shared" si="2"/>
        <v>#VALUE!</v>
      </c>
      <c r="H20" s="23">
        <f t="shared" si="2"/>
        <v>0</v>
      </c>
      <c r="I20" s="23" t="e">
        <f t="shared" si="2"/>
        <v>#VALUE!</v>
      </c>
      <c r="J20" s="23" t="e">
        <f t="shared" si="2"/>
        <v>#VALUE!</v>
      </c>
      <c r="K20" s="23" t="e">
        <f t="shared" si="2"/>
        <v>#VALUE!</v>
      </c>
      <c r="L20" s="23" t="e">
        <f t="shared" si="2"/>
        <v>#VALUE!</v>
      </c>
      <c r="M20" s="23">
        <f t="shared" si="2"/>
        <v>0</v>
      </c>
    </row>
    <row r="21" spans="2:13" ht="16.5" x14ac:dyDescent="0.6">
      <c r="B21" s="38" t="s">
        <v>30</v>
      </c>
      <c r="C21" s="1"/>
      <c r="D21" s="20" t="e">
        <f>D19/D17</f>
        <v>#VALUE!</v>
      </c>
      <c r="E21" s="20" t="e">
        <f t="shared" ref="E21:M21" si="3">E19/E17</f>
        <v>#VALUE!</v>
      </c>
      <c r="F21" s="20" t="e">
        <f t="shared" si="3"/>
        <v>#VALUE!</v>
      </c>
      <c r="G21" s="20" t="e">
        <f t="shared" si="3"/>
        <v>#VALUE!</v>
      </c>
      <c r="H21" s="20" t="e">
        <f t="shared" si="3"/>
        <v>#DIV/0!</v>
      </c>
      <c r="I21" s="20" t="e">
        <f t="shared" si="3"/>
        <v>#VALUE!</v>
      </c>
      <c r="J21" s="20" t="e">
        <f t="shared" si="3"/>
        <v>#VALUE!</v>
      </c>
      <c r="K21" s="20" t="e">
        <f t="shared" si="3"/>
        <v>#VALUE!</v>
      </c>
      <c r="L21" s="20" t="e">
        <f t="shared" si="3"/>
        <v>#VALUE!</v>
      </c>
      <c r="M21" s="20" t="e">
        <f t="shared" si="3"/>
        <v>#DIV/0!</v>
      </c>
    </row>
    <row r="22" spans="2:13" ht="16.5" x14ac:dyDescent="0.6">
      <c r="B22" s="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2:13" ht="16.5" x14ac:dyDescent="0.6">
      <c r="B23" s="3" t="s">
        <v>31</v>
      </c>
      <c r="C23" s="1"/>
      <c r="D23" s="1" t="s">
        <v>25</v>
      </c>
      <c r="E23" s="1" t="s">
        <v>25</v>
      </c>
      <c r="F23" s="1" t="s">
        <v>25</v>
      </c>
      <c r="G23" s="1" t="s">
        <v>25</v>
      </c>
      <c r="H23" s="1">
        <f>SUM(D23:G23)</f>
        <v>0</v>
      </c>
      <c r="I23" s="1" t="s">
        <v>26</v>
      </c>
      <c r="J23" s="1" t="s">
        <v>26</v>
      </c>
      <c r="K23" s="1" t="s">
        <v>26</v>
      </c>
      <c r="L23" s="1" t="s">
        <v>26</v>
      </c>
      <c r="M23" s="1">
        <f>SUM(I23:L23)</f>
        <v>0</v>
      </c>
    </row>
    <row r="24" spans="2:13" ht="16.5" x14ac:dyDescent="0.6">
      <c r="B24" s="9" t="s">
        <v>32</v>
      </c>
      <c r="C24" s="23"/>
      <c r="D24" s="23" t="e">
        <f>D20+D23</f>
        <v>#VALUE!</v>
      </c>
      <c r="E24" s="23" t="e">
        <f t="shared" ref="E24:M24" si="4">E20+E23</f>
        <v>#VALUE!</v>
      </c>
      <c r="F24" s="23" t="e">
        <f t="shared" si="4"/>
        <v>#VALUE!</v>
      </c>
      <c r="G24" s="23" t="e">
        <f t="shared" si="4"/>
        <v>#VALUE!</v>
      </c>
      <c r="H24" s="23">
        <f t="shared" si="4"/>
        <v>0</v>
      </c>
      <c r="I24" s="23" t="e">
        <f t="shared" si="4"/>
        <v>#VALUE!</v>
      </c>
      <c r="J24" s="23" t="e">
        <f t="shared" si="4"/>
        <v>#VALUE!</v>
      </c>
      <c r="K24" s="23" t="e">
        <f t="shared" si="4"/>
        <v>#VALUE!</v>
      </c>
      <c r="L24" s="23" t="e">
        <f t="shared" si="4"/>
        <v>#VALUE!</v>
      </c>
      <c r="M24" s="23">
        <f t="shared" si="4"/>
        <v>0</v>
      </c>
    </row>
    <row r="25" spans="2:13" ht="16.5" x14ac:dyDescent="0.6">
      <c r="B25" s="7" t="s">
        <v>33</v>
      </c>
      <c r="C25" s="1"/>
      <c r="D25" s="53" t="e">
        <f>D24/D17</f>
        <v>#VALUE!</v>
      </c>
      <c r="E25" s="53" t="e">
        <f t="shared" ref="E25:G25" si="5">E24/E17</f>
        <v>#VALUE!</v>
      </c>
      <c r="F25" s="53" t="e">
        <f t="shared" si="5"/>
        <v>#VALUE!</v>
      </c>
      <c r="G25" s="53" t="e">
        <f t="shared" si="5"/>
        <v>#VALUE!</v>
      </c>
      <c r="H25" s="20" t="e">
        <f t="shared" ref="H25:M25" si="6">H23/H17</f>
        <v>#DIV/0!</v>
      </c>
      <c r="I25" s="20" t="e">
        <f t="shared" si="6"/>
        <v>#VALUE!</v>
      </c>
      <c r="J25" s="20" t="e">
        <f t="shared" si="6"/>
        <v>#VALUE!</v>
      </c>
      <c r="K25" s="20" t="e">
        <f t="shared" si="6"/>
        <v>#VALUE!</v>
      </c>
      <c r="L25" s="20" t="e">
        <f t="shared" si="6"/>
        <v>#VALUE!</v>
      </c>
      <c r="M25" s="20" t="e">
        <f t="shared" si="6"/>
        <v>#DIV/0!</v>
      </c>
    </row>
    <row r="26" spans="2:13" ht="16.5" x14ac:dyDescent="0.6"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3" ht="16.5" x14ac:dyDescent="0.6">
      <c r="B27" s="10" t="s">
        <v>34</v>
      </c>
      <c r="C27" s="1"/>
      <c r="D27" s="48" t="e">
        <f>D24*(1-$E$13)</f>
        <v>#VALUE!</v>
      </c>
      <c r="E27" s="48" t="e">
        <f t="shared" ref="E27:M27" si="7">E24*(1-$E$13)</f>
        <v>#VALUE!</v>
      </c>
      <c r="F27" s="48" t="e">
        <f t="shared" si="7"/>
        <v>#VALUE!</v>
      </c>
      <c r="G27" s="48" t="e">
        <f t="shared" si="7"/>
        <v>#VALUE!</v>
      </c>
      <c r="H27" s="48" t="e">
        <f t="shared" si="7"/>
        <v>#VALUE!</v>
      </c>
      <c r="I27" s="48" t="e">
        <f t="shared" si="7"/>
        <v>#VALUE!</v>
      </c>
      <c r="J27" s="48" t="e">
        <f t="shared" si="7"/>
        <v>#VALUE!</v>
      </c>
      <c r="K27" s="48" t="e">
        <f t="shared" si="7"/>
        <v>#VALUE!</v>
      </c>
      <c r="L27" s="48" t="e">
        <f t="shared" si="7"/>
        <v>#VALUE!</v>
      </c>
      <c r="M27" s="48" t="e">
        <f t="shared" si="7"/>
        <v>#VALUE!</v>
      </c>
    </row>
    <row r="28" spans="2:13" ht="16.5" x14ac:dyDescent="0.6">
      <c r="B28" s="3" t="s">
        <v>35</v>
      </c>
      <c r="C28" s="1"/>
      <c r="D28" s="1" t="s">
        <v>25</v>
      </c>
      <c r="E28" s="1" t="s">
        <v>25</v>
      </c>
      <c r="F28" s="1" t="s">
        <v>25</v>
      </c>
      <c r="G28" s="1" t="s">
        <v>25</v>
      </c>
      <c r="H28" s="1">
        <f>SUM(D28:G28)</f>
        <v>0</v>
      </c>
      <c r="I28" s="1" t="s">
        <v>26</v>
      </c>
      <c r="J28" s="1" t="s">
        <v>26</v>
      </c>
      <c r="K28" s="1" t="s">
        <v>26</v>
      </c>
      <c r="L28" s="1" t="s">
        <v>26</v>
      </c>
      <c r="M28" s="1">
        <f>SUM(I28:L28)</f>
        <v>0</v>
      </c>
    </row>
    <row r="29" spans="2:13" ht="16.5" x14ac:dyDescent="0.6">
      <c r="B29" s="3" t="s">
        <v>36</v>
      </c>
      <c r="C29" s="1"/>
      <c r="D29" s="1" t="s">
        <v>25</v>
      </c>
      <c r="E29" s="1" t="s">
        <v>25</v>
      </c>
      <c r="F29" s="1" t="s">
        <v>25</v>
      </c>
      <c r="G29" s="1" t="s">
        <v>25</v>
      </c>
      <c r="H29" s="1">
        <f>SUM(D29:G29)</f>
        <v>0</v>
      </c>
      <c r="I29" s="1" t="s">
        <v>26</v>
      </c>
      <c r="J29" s="1" t="s">
        <v>26</v>
      </c>
      <c r="K29" s="1" t="s">
        <v>26</v>
      </c>
      <c r="L29" s="1" t="s">
        <v>26</v>
      </c>
      <c r="M29" s="1">
        <f>SUM(I29:L29)</f>
        <v>0</v>
      </c>
    </row>
    <row r="30" spans="2:13" ht="16.5" x14ac:dyDescent="0.6">
      <c r="B30" s="3" t="s">
        <v>37</v>
      </c>
      <c r="C30" s="1"/>
      <c r="D30" s="1" t="s">
        <v>25</v>
      </c>
      <c r="E30" s="1" t="s">
        <v>25</v>
      </c>
      <c r="F30" s="1" t="s">
        <v>25</v>
      </c>
      <c r="G30" s="1" t="s">
        <v>25</v>
      </c>
      <c r="H30" s="1">
        <f>SUM(D30:G30)</f>
        <v>0</v>
      </c>
      <c r="I30" s="1" t="s">
        <v>26</v>
      </c>
      <c r="J30" s="1" t="s">
        <v>26</v>
      </c>
      <c r="K30" s="1" t="s">
        <v>26</v>
      </c>
      <c r="L30" s="1" t="s">
        <v>26</v>
      </c>
      <c r="M30" s="1">
        <f>SUM(I30:L30)</f>
        <v>0</v>
      </c>
    </row>
    <row r="31" spans="2:13" ht="16.5" x14ac:dyDescent="0.6">
      <c r="B31" s="9" t="s">
        <v>38</v>
      </c>
      <c r="C31" s="23"/>
      <c r="D31" s="24" t="e">
        <f>D27+D28+D29+D30</f>
        <v>#VALUE!</v>
      </c>
      <c r="E31" s="24" t="e">
        <f t="shared" ref="E31:M31" si="8">E27+E28+E29+E30</f>
        <v>#VALUE!</v>
      </c>
      <c r="F31" s="24" t="e">
        <f t="shared" si="8"/>
        <v>#VALUE!</v>
      </c>
      <c r="G31" s="24" t="e">
        <f t="shared" si="8"/>
        <v>#VALUE!</v>
      </c>
      <c r="H31" s="24" t="e">
        <f t="shared" si="8"/>
        <v>#VALUE!</v>
      </c>
      <c r="I31" s="24" t="e">
        <f t="shared" si="8"/>
        <v>#VALUE!</v>
      </c>
      <c r="J31" s="24" t="e">
        <f t="shared" si="8"/>
        <v>#VALUE!</v>
      </c>
      <c r="K31" s="24" t="e">
        <f t="shared" si="8"/>
        <v>#VALUE!</v>
      </c>
      <c r="L31" s="24" t="e">
        <f t="shared" si="8"/>
        <v>#VALUE!</v>
      </c>
      <c r="M31" s="24" t="e">
        <f t="shared" si="8"/>
        <v>#VALUE!</v>
      </c>
    </row>
    <row r="32" spans="2:13" ht="16.5" x14ac:dyDescent="0.6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ht="16.5" x14ac:dyDescent="0.6">
      <c r="B33" s="17" t="s">
        <v>39</v>
      </c>
      <c r="C33" s="19"/>
      <c r="D33" s="19"/>
      <c r="E33" s="19"/>
      <c r="F33" s="19"/>
      <c r="G33" s="19"/>
      <c r="H33" s="19"/>
      <c r="I33" s="19" t="s">
        <v>23</v>
      </c>
      <c r="J33" s="19" t="s">
        <v>23</v>
      </c>
      <c r="K33" s="19" t="s">
        <v>23</v>
      </c>
      <c r="L33" s="19" t="s">
        <v>23</v>
      </c>
      <c r="M33" s="19" t="s">
        <v>23</v>
      </c>
    </row>
    <row r="34" spans="2:13" ht="16.5" x14ac:dyDescent="0.6">
      <c r="B34" s="3" t="s">
        <v>40</v>
      </c>
      <c r="C34" s="1"/>
      <c r="D34" s="1"/>
      <c r="E34" s="1"/>
      <c r="F34" s="1"/>
      <c r="G34" s="1"/>
      <c r="H34" s="1"/>
      <c r="I34" s="49">
        <f ca="1">YEARFRAC(TODAY(),$J$5)</f>
        <v>7.7777777777777779E-2</v>
      </c>
      <c r="J34" s="49">
        <f ca="1">I34+0.25</f>
        <v>0.32777777777777778</v>
      </c>
      <c r="K34" s="49">
        <f t="shared" ref="K34:L34" ca="1" si="9">J34+0.25</f>
        <v>0.57777777777777772</v>
      </c>
      <c r="L34" s="49">
        <f t="shared" ca="1" si="9"/>
        <v>0.82777777777777772</v>
      </c>
      <c r="M34" s="49"/>
    </row>
    <row r="35" spans="2:13" ht="16.5" x14ac:dyDescent="0.6">
      <c r="B35" s="3" t="s">
        <v>41</v>
      </c>
      <c r="C35" s="1"/>
      <c r="D35" s="1"/>
      <c r="E35" s="1"/>
      <c r="F35" s="1"/>
      <c r="G35" s="1"/>
      <c r="H35" s="1"/>
      <c r="I35" s="50" t="e">
        <f ca="1">(1/(1+$E$14))^I34</f>
        <v>#VALUE!</v>
      </c>
      <c r="J35" s="50" t="e">
        <f t="shared" ref="J35:L35" ca="1" si="10">(1/(1+$E$14))^J34</f>
        <v>#VALUE!</v>
      </c>
      <c r="K35" s="50" t="e">
        <f t="shared" ca="1" si="10"/>
        <v>#VALUE!</v>
      </c>
      <c r="L35" s="50" t="e">
        <f t="shared" ca="1" si="10"/>
        <v>#VALUE!</v>
      </c>
      <c r="M35" s="50"/>
    </row>
    <row r="36" spans="2:13" ht="16.5" x14ac:dyDescent="0.6"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ht="16.5" x14ac:dyDescent="0.6">
      <c r="B37" s="11" t="s">
        <v>42</v>
      </c>
      <c r="C37" s="1"/>
      <c r="D37" s="1"/>
      <c r="E37" s="1"/>
      <c r="F37" s="1"/>
      <c r="G37" s="1"/>
      <c r="H37" s="1"/>
      <c r="I37" s="1" t="e">
        <f ca="1">I31*I35</f>
        <v>#VALUE!</v>
      </c>
      <c r="J37" s="1" t="e">
        <f t="shared" ref="J37:L37" ca="1" si="11">J31*J35</f>
        <v>#VALUE!</v>
      </c>
      <c r="K37" s="1" t="e">
        <f t="shared" ca="1" si="11"/>
        <v>#VALUE!</v>
      </c>
      <c r="L37" s="1" t="e">
        <f t="shared" ca="1" si="11"/>
        <v>#VALUE!</v>
      </c>
      <c r="M37" s="1" t="e">
        <f ca="1">SUM(I37:L37)</f>
        <v>#VALUE!</v>
      </c>
    </row>
    <row r="38" spans="2:13" ht="16.5" x14ac:dyDescent="0.6">
      <c r="B38" s="12" t="s">
        <v>43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22" t="e">
        <f ca="1">SUM(M37)</f>
        <v>#VALUE!</v>
      </c>
    </row>
    <row r="39" spans="2:13" ht="16.5" x14ac:dyDescent="0.6">
      <c r="B39" s="1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ht="16.5" x14ac:dyDescent="0.6">
      <c r="B40" s="11" t="s">
        <v>44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51" t="e">
        <f>(M31*(1+J6))/(E14-F2)</f>
        <v>#VALUE!</v>
      </c>
    </row>
    <row r="41" spans="2:13" ht="16.5" x14ac:dyDescent="0.6">
      <c r="B41" s="12" t="s">
        <v>45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40" t="e">
        <f>M40*M35</f>
        <v>#VALUE!</v>
      </c>
    </row>
    <row r="42" spans="2:13" ht="16.5" x14ac:dyDescent="0.6">
      <c r="B42" s="12"/>
      <c r="C42" s="1"/>
      <c r="D42" s="1"/>
      <c r="E42" s="1"/>
      <c r="F42" s="1"/>
      <c r="G42" s="1"/>
      <c r="H42" s="1"/>
      <c r="I42" s="1"/>
      <c r="J42" s="1"/>
      <c r="K42" s="1"/>
      <c r="L42" s="1"/>
      <c r="M42" s="41"/>
    </row>
    <row r="43" spans="2:13" ht="16.5" x14ac:dyDescent="0.6">
      <c r="B43" s="12" t="s">
        <v>46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41" t="e">
        <f ca="1">M38+M41</f>
        <v>#VALUE!</v>
      </c>
    </row>
    <row r="44" spans="2:13" ht="16.5" x14ac:dyDescent="0.6">
      <c r="B44" s="11" t="s">
        <v>47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52" t="e">
        <f>-($J$11-$J$7)</f>
        <v>#VALUE!</v>
      </c>
    </row>
    <row r="45" spans="2:13" ht="16.5" x14ac:dyDescent="0.6">
      <c r="B45" s="13" t="s">
        <v>48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42" t="e">
        <f ca="1">M43+M44</f>
        <v>#VALUE!</v>
      </c>
    </row>
    <row r="46" spans="2:13" ht="16.5" x14ac:dyDescent="0.6">
      <c r="B46" s="12"/>
      <c r="C46" s="1"/>
      <c r="D46" s="1"/>
      <c r="E46" s="1"/>
      <c r="F46" s="1"/>
      <c r="G46" s="1"/>
      <c r="H46" s="1"/>
      <c r="I46" s="1"/>
      <c r="J46" s="1"/>
      <c r="K46" s="1"/>
      <c r="L46" s="1"/>
      <c r="M46" s="41"/>
    </row>
    <row r="47" spans="2:13" ht="16.5" x14ac:dyDescent="0.6">
      <c r="B47" s="11" t="s">
        <v>49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43" t="str">
        <f>J8</f>
        <v>#</v>
      </c>
    </row>
    <row r="48" spans="2:13" ht="16.5" x14ac:dyDescent="0.6">
      <c r="B48" s="37" t="s">
        <v>50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44" t="e">
        <f ca="1">M45/M47</f>
        <v>#VALUE!</v>
      </c>
    </row>
    <row r="49" spans="2:13" ht="16.5" x14ac:dyDescent="0.6">
      <c r="B49" s="39" t="s">
        <v>51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41" t="e">
        <f ca="1">M48/J9-1</f>
        <v>#VALUE!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4126-FB43-42AF-8BE8-2B5926DA1D8C}">
  <sheetPr>
    <tabColor rgb="FFFF0000"/>
  </sheetPr>
  <dimension ref="A2:T84"/>
  <sheetViews>
    <sheetView showGridLines="0" topLeftCell="D1" workbookViewId="0">
      <selection activeCell="C7" sqref="C7"/>
    </sheetView>
  </sheetViews>
  <sheetFormatPr defaultRowHeight="14.25" x14ac:dyDescent="0.45"/>
  <cols>
    <col min="1" max="1" width="2.86328125" customWidth="1"/>
    <col min="2" max="2" width="51.6640625" bestFit="1" customWidth="1"/>
    <col min="3" max="3" width="2.86328125" customWidth="1"/>
    <col min="4" max="12" width="12.86328125" customWidth="1"/>
    <col min="15" max="15" width="17.796875" bestFit="1" customWidth="1"/>
  </cols>
  <sheetData>
    <row r="2" spans="1:20" ht="21.6" customHeight="1" x14ac:dyDescent="0.6">
      <c r="A2" s="1"/>
      <c r="B2" s="15" t="s">
        <v>95</v>
      </c>
      <c r="C2" s="14"/>
      <c r="D2" s="14"/>
      <c r="E2" s="14"/>
      <c r="F2" s="14"/>
      <c r="G2" s="14"/>
      <c r="H2" s="14"/>
      <c r="I2" s="14"/>
      <c r="J2" s="14"/>
      <c r="K2" s="19"/>
      <c r="L2" s="19"/>
      <c r="M2" s="57"/>
    </row>
    <row r="4" spans="1:20" ht="21" x14ac:dyDescent="0.75">
      <c r="B4" s="61" t="s">
        <v>99</v>
      </c>
      <c r="C4" s="61"/>
      <c r="D4" s="61"/>
      <c r="E4" s="61"/>
      <c r="F4" s="61"/>
      <c r="G4" s="61"/>
      <c r="H4" s="61"/>
      <c r="I4" s="61"/>
      <c r="J4" s="61"/>
      <c r="K4" s="62"/>
      <c r="L4" s="63"/>
      <c r="M4" s="63"/>
    </row>
    <row r="5" spans="1:20" ht="16.5" x14ac:dyDescent="0.6">
      <c r="B5" s="17"/>
      <c r="C5" s="16"/>
      <c r="D5" s="19" t="s">
        <v>55</v>
      </c>
      <c r="E5" s="19" t="s">
        <v>54</v>
      </c>
      <c r="F5" s="19" t="s">
        <v>53</v>
      </c>
      <c r="G5" s="19" t="s">
        <v>52</v>
      </c>
      <c r="H5" s="19" t="s">
        <v>56</v>
      </c>
      <c r="I5" s="19" t="s">
        <v>61</v>
      </c>
      <c r="J5" s="19" t="s">
        <v>60</v>
      </c>
      <c r="K5" s="19" t="s">
        <v>59</v>
      </c>
      <c r="L5" s="19" t="s">
        <v>58</v>
      </c>
      <c r="M5" s="19" t="s">
        <v>57</v>
      </c>
      <c r="O5" s="58" t="s">
        <v>130</v>
      </c>
      <c r="P5" s="58" t="s">
        <v>131</v>
      </c>
      <c r="Q5" s="58" t="s">
        <v>132</v>
      </c>
    </row>
    <row r="6" spans="1:20" x14ac:dyDescent="0.45">
      <c r="B6" t="s">
        <v>66</v>
      </c>
      <c r="O6" t="s">
        <v>24</v>
      </c>
      <c r="P6" t="s">
        <v>133</v>
      </c>
      <c r="Q6" s="67">
        <v>0.02</v>
      </c>
      <c r="R6" s="68">
        <v>0.04</v>
      </c>
      <c r="S6" s="68">
        <v>0.03</v>
      </c>
    </row>
    <row r="7" spans="1:20" x14ac:dyDescent="0.45">
      <c r="B7" t="s">
        <v>66</v>
      </c>
      <c r="O7" t="s">
        <v>134</v>
      </c>
      <c r="P7" t="s">
        <v>135</v>
      </c>
      <c r="Q7" s="69">
        <v>5.0000000000000001E-3</v>
      </c>
    </row>
    <row r="8" spans="1:20" x14ac:dyDescent="0.45">
      <c r="B8" t="s">
        <v>101</v>
      </c>
      <c r="O8" t="s">
        <v>136</v>
      </c>
      <c r="P8" t="s">
        <v>135</v>
      </c>
      <c r="Q8" s="69">
        <v>7.4999999999999997E-3</v>
      </c>
    </row>
    <row r="9" spans="1:20" x14ac:dyDescent="0.45">
      <c r="B9" s="59" t="s">
        <v>100</v>
      </c>
      <c r="O9" t="s">
        <v>137</v>
      </c>
      <c r="P9" t="s">
        <v>133</v>
      </c>
      <c r="R9" t="s">
        <v>138</v>
      </c>
    </row>
    <row r="10" spans="1:20" x14ac:dyDescent="0.45">
      <c r="B10" t="s">
        <v>66</v>
      </c>
      <c r="O10" t="s">
        <v>19</v>
      </c>
      <c r="P10" t="s">
        <v>139</v>
      </c>
      <c r="Q10" s="68">
        <v>0.21</v>
      </c>
      <c r="R10" s="68"/>
      <c r="S10" s="68"/>
    </row>
    <row r="11" spans="1:20" x14ac:dyDescent="0.45">
      <c r="B11" t="s">
        <v>66</v>
      </c>
      <c r="O11" t="s">
        <v>140</v>
      </c>
      <c r="P11" t="s">
        <v>133</v>
      </c>
      <c r="Q11" s="68">
        <v>0.06</v>
      </c>
      <c r="R11" s="68">
        <v>0.05</v>
      </c>
      <c r="S11" s="68">
        <v>0.04</v>
      </c>
      <c r="T11" s="68">
        <v>7.0000000000000007E-2</v>
      </c>
    </row>
    <row r="12" spans="1:20" x14ac:dyDescent="0.45">
      <c r="B12" t="s">
        <v>102</v>
      </c>
    </row>
    <row r="13" spans="1:20" x14ac:dyDescent="0.45">
      <c r="B13" s="59" t="s">
        <v>103</v>
      </c>
    </row>
    <row r="14" spans="1:20" x14ac:dyDescent="0.45">
      <c r="B14" t="s">
        <v>66</v>
      </c>
    </row>
    <row r="15" spans="1:20" x14ac:dyDescent="0.45">
      <c r="B15" t="s">
        <v>104</v>
      </c>
    </row>
    <row r="16" spans="1:20" x14ac:dyDescent="0.45">
      <c r="B16" t="s">
        <v>105</v>
      </c>
    </row>
    <row r="17" spans="2:13" x14ac:dyDescent="0.45">
      <c r="B17" t="s">
        <v>106</v>
      </c>
    </row>
    <row r="18" spans="2:13" x14ac:dyDescent="0.45">
      <c r="B18" s="59" t="s">
        <v>107</v>
      </c>
    </row>
    <row r="19" spans="2:13" x14ac:dyDescent="0.45">
      <c r="B19" t="s">
        <v>108</v>
      </c>
    </row>
    <row r="21" spans="2:13" ht="21" x14ac:dyDescent="0.75">
      <c r="B21" s="61" t="s">
        <v>96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</row>
    <row r="22" spans="2:13" ht="16.5" x14ac:dyDescent="0.6">
      <c r="B22" s="17" t="s">
        <v>81</v>
      </c>
      <c r="C22" s="16"/>
      <c r="D22" s="19" t="s">
        <v>55</v>
      </c>
      <c r="E22" s="19" t="s">
        <v>54</v>
      </c>
      <c r="F22" s="19" t="s">
        <v>53</v>
      </c>
      <c r="G22" s="19" t="s">
        <v>52</v>
      </c>
      <c r="H22" s="19" t="s">
        <v>56</v>
      </c>
      <c r="I22" s="19" t="s">
        <v>61</v>
      </c>
      <c r="J22" s="19" t="s">
        <v>60</v>
      </c>
      <c r="K22" s="19" t="s">
        <v>59</v>
      </c>
      <c r="L22" s="19" t="s">
        <v>58</v>
      </c>
      <c r="M22" s="19" t="s">
        <v>57</v>
      </c>
    </row>
    <row r="23" spans="2:13" x14ac:dyDescent="0.45">
      <c r="B23" t="s">
        <v>66</v>
      </c>
    </row>
    <row r="24" spans="2:13" x14ac:dyDescent="0.45">
      <c r="B24" t="s">
        <v>67</v>
      </c>
    </row>
    <row r="25" spans="2:13" x14ac:dyDescent="0.45">
      <c r="B25" s="59" t="s">
        <v>68</v>
      </c>
    </row>
    <row r="26" spans="2:13" x14ac:dyDescent="0.45">
      <c r="B26" t="s">
        <v>66</v>
      </c>
    </row>
    <row r="27" spans="2:13" x14ac:dyDescent="0.45">
      <c r="B27" t="s">
        <v>66</v>
      </c>
    </row>
    <row r="28" spans="2:13" x14ac:dyDescent="0.45">
      <c r="B28" t="s">
        <v>66</v>
      </c>
    </row>
    <row r="29" spans="2:13" x14ac:dyDescent="0.45">
      <c r="B29" t="s">
        <v>67</v>
      </c>
    </row>
    <row r="30" spans="2:13" x14ac:dyDescent="0.45">
      <c r="B30" s="59" t="s">
        <v>69</v>
      </c>
    </row>
    <row r="32" spans="2:13" ht="16.5" x14ac:dyDescent="0.6">
      <c r="B32" s="17" t="s">
        <v>79</v>
      </c>
      <c r="C32" s="16"/>
      <c r="D32" s="16"/>
      <c r="E32" s="16"/>
      <c r="F32" s="57"/>
      <c r="G32" s="57"/>
      <c r="H32" s="57"/>
      <c r="I32" s="57"/>
      <c r="J32" s="57"/>
      <c r="K32" s="57"/>
      <c r="L32" s="57"/>
      <c r="M32" s="57"/>
    </row>
    <row r="33" spans="2:13" x14ac:dyDescent="0.45">
      <c r="B33" t="s">
        <v>66</v>
      </c>
    </row>
    <row r="34" spans="2:13" x14ac:dyDescent="0.45">
      <c r="B34" t="s">
        <v>66</v>
      </c>
    </row>
    <row r="35" spans="2:13" x14ac:dyDescent="0.45">
      <c r="B35" t="s">
        <v>66</v>
      </c>
    </row>
    <row r="36" spans="2:13" x14ac:dyDescent="0.45">
      <c r="B36" t="s">
        <v>66</v>
      </c>
    </row>
    <row r="37" spans="2:13" x14ac:dyDescent="0.45">
      <c r="B37" s="59" t="s">
        <v>70</v>
      </c>
    </row>
    <row r="38" spans="2:13" x14ac:dyDescent="0.45">
      <c r="B38" t="s">
        <v>66</v>
      </c>
    </row>
    <row r="39" spans="2:13" x14ac:dyDescent="0.45">
      <c r="B39" t="s">
        <v>66</v>
      </c>
    </row>
    <row r="40" spans="2:13" x14ac:dyDescent="0.45">
      <c r="B40" s="59" t="s">
        <v>71</v>
      </c>
    </row>
    <row r="42" spans="2:13" ht="16.5" x14ac:dyDescent="0.6">
      <c r="B42" s="17" t="s">
        <v>78</v>
      </c>
      <c r="C42" s="16"/>
      <c r="D42" s="16"/>
      <c r="E42" s="16"/>
      <c r="F42" s="57"/>
      <c r="G42" s="57"/>
      <c r="H42" s="57"/>
      <c r="I42" s="57"/>
      <c r="J42" s="57"/>
      <c r="K42" s="57"/>
      <c r="L42" s="57"/>
      <c r="M42" s="57"/>
    </row>
    <row r="43" spans="2:13" x14ac:dyDescent="0.45">
      <c r="B43" t="s">
        <v>66</v>
      </c>
    </row>
    <row r="44" spans="2:13" x14ac:dyDescent="0.45">
      <c r="B44" t="s">
        <v>66</v>
      </c>
    </row>
    <row r="45" spans="2:13" x14ac:dyDescent="0.45">
      <c r="B45" t="s">
        <v>66</v>
      </c>
    </row>
    <row r="46" spans="2:13" x14ac:dyDescent="0.45">
      <c r="B46" t="s">
        <v>66</v>
      </c>
    </row>
    <row r="47" spans="2:13" x14ac:dyDescent="0.45">
      <c r="B47" t="s">
        <v>66</v>
      </c>
    </row>
    <row r="48" spans="2:13" x14ac:dyDescent="0.45">
      <c r="B48" s="59" t="s">
        <v>72</v>
      </c>
    </row>
    <row r="49" spans="2:13" x14ac:dyDescent="0.45">
      <c r="B49" s="59" t="s">
        <v>73</v>
      </c>
    </row>
    <row r="51" spans="2:13" ht="21" x14ac:dyDescent="0.75">
      <c r="B51" s="61" t="s">
        <v>98</v>
      </c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</row>
    <row r="52" spans="2:13" ht="16.5" x14ac:dyDescent="0.6">
      <c r="B52" s="17" t="s">
        <v>82</v>
      </c>
      <c r="C52" s="16"/>
      <c r="D52" s="19" t="s">
        <v>55</v>
      </c>
      <c r="E52" s="19" t="s">
        <v>54</v>
      </c>
      <c r="F52" s="19" t="s">
        <v>53</v>
      </c>
      <c r="G52" s="19" t="s">
        <v>52</v>
      </c>
      <c r="H52" s="19" t="s">
        <v>56</v>
      </c>
      <c r="I52" s="19" t="s">
        <v>61</v>
      </c>
      <c r="J52" s="19" t="s">
        <v>60</v>
      </c>
      <c r="K52" s="19" t="s">
        <v>59</v>
      </c>
      <c r="L52" s="19" t="s">
        <v>58</v>
      </c>
      <c r="M52" s="19" t="s">
        <v>57</v>
      </c>
    </row>
    <row r="53" spans="2:13" x14ac:dyDescent="0.45">
      <c r="B53" t="s">
        <v>66</v>
      </c>
    </row>
    <row r="54" spans="2:13" x14ac:dyDescent="0.45">
      <c r="B54" t="s">
        <v>67</v>
      </c>
    </row>
    <row r="55" spans="2:13" x14ac:dyDescent="0.45">
      <c r="B55" t="s">
        <v>68</v>
      </c>
    </row>
    <row r="56" spans="2:13" x14ac:dyDescent="0.45">
      <c r="B56" t="s">
        <v>66</v>
      </c>
    </row>
    <row r="57" spans="2:13" x14ac:dyDescent="0.45">
      <c r="B57" t="s">
        <v>66</v>
      </c>
    </row>
    <row r="58" spans="2:13" x14ac:dyDescent="0.45">
      <c r="B58" t="s">
        <v>66</v>
      </c>
    </row>
    <row r="59" spans="2:13" x14ac:dyDescent="0.45">
      <c r="B59" t="s">
        <v>67</v>
      </c>
    </row>
    <row r="60" spans="2:13" x14ac:dyDescent="0.45">
      <c r="B60" s="59" t="s">
        <v>85</v>
      </c>
    </row>
    <row r="62" spans="2:13" ht="16.5" x14ac:dyDescent="0.6">
      <c r="B62" s="17" t="s">
        <v>83</v>
      </c>
      <c r="C62" s="16"/>
      <c r="D62" s="16"/>
      <c r="E62" s="16"/>
      <c r="F62" s="57"/>
      <c r="G62" s="57"/>
      <c r="H62" s="57"/>
      <c r="I62" s="57"/>
      <c r="J62" s="57"/>
      <c r="K62" s="57"/>
      <c r="L62" s="57"/>
      <c r="M62" s="57"/>
    </row>
    <row r="63" spans="2:13" x14ac:dyDescent="0.45">
      <c r="B63" t="s">
        <v>66</v>
      </c>
    </row>
    <row r="64" spans="2:13" x14ac:dyDescent="0.45">
      <c r="B64" t="s">
        <v>66</v>
      </c>
    </row>
    <row r="65" spans="2:13" x14ac:dyDescent="0.45">
      <c r="B65" t="s">
        <v>66</v>
      </c>
    </row>
    <row r="66" spans="2:13" x14ac:dyDescent="0.45">
      <c r="B66" t="s">
        <v>66</v>
      </c>
    </row>
    <row r="67" spans="2:13" x14ac:dyDescent="0.45">
      <c r="B67" t="s">
        <v>70</v>
      </c>
    </row>
    <row r="68" spans="2:13" x14ac:dyDescent="0.45">
      <c r="B68" t="s">
        <v>66</v>
      </c>
    </row>
    <row r="69" spans="2:13" x14ac:dyDescent="0.45">
      <c r="B69" t="s">
        <v>66</v>
      </c>
    </row>
    <row r="70" spans="2:13" x14ac:dyDescent="0.45">
      <c r="B70" s="59" t="s">
        <v>86</v>
      </c>
    </row>
    <row r="72" spans="2:13" ht="16.5" x14ac:dyDescent="0.6">
      <c r="B72" s="17" t="s">
        <v>84</v>
      </c>
      <c r="C72" s="16"/>
      <c r="D72" s="16"/>
      <c r="E72" s="16"/>
      <c r="F72" s="57"/>
      <c r="G72" s="57"/>
      <c r="H72" s="57"/>
      <c r="I72" s="57"/>
      <c r="J72" s="57"/>
      <c r="K72" s="57"/>
      <c r="L72" s="57"/>
      <c r="M72" s="57"/>
    </row>
    <row r="73" spans="2:13" x14ac:dyDescent="0.45">
      <c r="B73" t="s">
        <v>66</v>
      </c>
    </row>
    <row r="74" spans="2:13" x14ac:dyDescent="0.45">
      <c r="B74" t="s">
        <v>66</v>
      </c>
    </row>
    <row r="75" spans="2:13" x14ac:dyDescent="0.45">
      <c r="B75" t="s">
        <v>66</v>
      </c>
    </row>
    <row r="76" spans="2:13" x14ac:dyDescent="0.45">
      <c r="B76" t="s">
        <v>66</v>
      </c>
    </row>
    <row r="77" spans="2:13" x14ac:dyDescent="0.45">
      <c r="B77" t="s">
        <v>66</v>
      </c>
    </row>
    <row r="78" spans="2:13" x14ac:dyDescent="0.45">
      <c r="B78" s="59" t="s">
        <v>87</v>
      </c>
    </row>
    <row r="79" spans="2:13" x14ac:dyDescent="0.45">
      <c r="B79" t="s">
        <v>88</v>
      </c>
    </row>
    <row r="80" spans="2:13" x14ac:dyDescent="0.45">
      <c r="B80" s="59" t="s">
        <v>89</v>
      </c>
    </row>
    <row r="82" spans="2:2" x14ac:dyDescent="0.45">
      <c r="B82" s="60" t="s">
        <v>90</v>
      </c>
    </row>
    <row r="83" spans="2:2" x14ac:dyDescent="0.45">
      <c r="B83" t="s">
        <v>89</v>
      </c>
    </row>
    <row r="84" spans="2:2" x14ac:dyDescent="0.45">
      <c r="B84" s="58" t="s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4833-8081-453B-A372-E618393DD568}">
  <dimension ref="A2:M31"/>
  <sheetViews>
    <sheetView showGridLines="0" workbookViewId="0">
      <selection activeCell="D4" sqref="D4:M4"/>
    </sheetView>
  </sheetViews>
  <sheetFormatPr defaultRowHeight="14.25" x14ac:dyDescent="0.45"/>
  <cols>
    <col min="1" max="1" width="2.86328125" customWidth="1"/>
    <col min="2" max="2" width="51.6640625" bestFit="1" customWidth="1"/>
    <col min="3" max="3" width="2.86328125" customWidth="1"/>
    <col min="4" max="13" width="12.86328125" customWidth="1"/>
  </cols>
  <sheetData>
    <row r="2" spans="1:13" ht="17.100000000000001" customHeight="1" x14ac:dyDescent="0.6">
      <c r="A2" s="1"/>
      <c r="B2" s="15" t="s">
        <v>80</v>
      </c>
      <c r="C2" s="14"/>
      <c r="D2" s="14"/>
      <c r="E2" s="14"/>
      <c r="F2" s="14"/>
      <c r="G2" s="14"/>
      <c r="H2" s="14"/>
      <c r="I2" s="14"/>
      <c r="J2" s="14"/>
      <c r="K2" s="19"/>
      <c r="L2" s="19"/>
      <c r="M2" s="57"/>
    </row>
    <row r="4" spans="1:13" ht="16.5" x14ac:dyDescent="0.6">
      <c r="B4" s="17" t="s">
        <v>75</v>
      </c>
      <c r="C4" s="16"/>
      <c r="D4" s="19" t="s">
        <v>55</v>
      </c>
      <c r="E4" s="19" t="s">
        <v>54</v>
      </c>
      <c r="F4" s="19" t="s">
        <v>53</v>
      </c>
      <c r="G4" s="19" t="s">
        <v>52</v>
      </c>
      <c r="H4" s="19" t="s">
        <v>56</v>
      </c>
      <c r="I4" s="19" t="s">
        <v>61</v>
      </c>
      <c r="J4" s="19" t="s">
        <v>60</v>
      </c>
      <c r="K4" s="19" t="s">
        <v>59</v>
      </c>
      <c r="L4" s="19" t="s">
        <v>58</v>
      </c>
      <c r="M4" s="19" t="s">
        <v>57</v>
      </c>
    </row>
    <row r="5" spans="1:13" x14ac:dyDescent="0.45">
      <c r="B5" t="s">
        <v>66</v>
      </c>
    </row>
    <row r="6" spans="1:13" x14ac:dyDescent="0.45">
      <c r="B6" t="s">
        <v>67</v>
      </c>
    </row>
    <row r="7" spans="1:13" x14ac:dyDescent="0.45">
      <c r="B7" s="59" t="s">
        <v>68</v>
      </c>
    </row>
    <row r="8" spans="1:13" x14ac:dyDescent="0.45">
      <c r="B8" t="s">
        <v>66</v>
      </c>
    </row>
    <row r="9" spans="1:13" x14ac:dyDescent="0.45">
      <c r="B9" t="s">
        <v>66</v>
      </c>
    </row>
    <row r="10" spans="1:13" x14ac:dyDescent="0.45">
      <c r="B10" t="s">
        <v>66</v>
      </c>
    </row>
    <row r="11" spans="1:13" x14ac:dyDescent="0.45">
      <c r="B11" t="s">
        <v>67</v>
      </c>
    </row>
    <row r="12" spans="1:13" x14ac:dyDescent="0.45">
      <c r="B12" s="59" t="s">
        <v>69</v>
      </c>
    </row>
    <row r="14" spans="1:13" ht="16.5" x14ac:dyDescent="0.6">
      <c r="B14" s="17" t="s">
        <v>76</v>
      </c>
      <c r="C14" s="16"/>
      <c r="D14" s="16"/>
      <c r="E14" s="16"/>
      <c r="F14" s="57"/>
      <c r="G14" s="57"/>
      <c r="H14" s="57"/>
      <c r="I14" s="57"/>
      <c r="J14" s="57"/>
      <c r="K14" s="57"/>
      <c r="L14" s="57"/>
      <c r="M14" s="57"/>
    </row>
    <row r="15" spans="1:13" x14ac:dyDescent="0.45">
      <c r="B15" t="s">
        <v>66</v>
      </c>
    </row>
    <row r="16" spans="1:13" x14ac:dyDescent="0.45">
      <c r="B16" t="s">
        <v>66</v>
      </c>
    </row>
    <row r="17" spans="2:13" x14ac:dyDescent="0.45">
      <c r="B17" t="s">
        <v>66</v>
      </c>
    </row>
    <row r="18" spans="2:13" x14ac:dyDescent="0.45">
      <c r="B18" t="s">
        <v>66</v>
      </c>
    </row>
    <row r="19" spans="2:13" x14ac:dyDescent="0.45">
      <c r="B19" s="59" t="s">
        <v>70</v>
      </c>
    </row>
    <row r="20" spans="2:13" x14ac:dyDescent="0.45">
      <c r="B20" t="s">
        <v>66</v>
      </c>
    </row>
    <row r="21" spans="2:13" x14ac:dyDescent="0.45">
      <c r="B21" t="s">
        <v>66</v>
      </c>
    </row>
    <row r="22" spans="2:13" x14ac:dyDescent="0.45">
      <c r="B22" s="59" t="s">
        <v>71</v>
      </c>
    </row>
    <row r="24" spans="2:13" ht="16.5" x14ac:dyDescent="0.6">
      <c r="B24" s="17" t="s">
        <v>77</v>
      </c>
      <c r="C24" s="16"/>
      <c r="D24" s="16"/>
      <c r="E24" s="16"/>
      <c r="F24" s="57"/>
      <c r="G24" s="57"/>
      <c r="H24" s="57"/>
      <c r="I24" s="57"/>
      <c r="J24" s="57"/>
      <c r="K24" s="57"/>
      <c r="L24" s="57"/>
      <c r="M24" s="57"/>
    </row>
    <row r="25" spans="2:13" x14ac:dyDescent="0.45">
      <c r="B25" t="s">
        <v>66</v>
      </c>
    </row>
    <row r="26" spans="2:13" x14ac:dyDescent="0.45">
      <c r="B26" t="s">
        <v>66</v>
      </c>
    </row>
    <row r="27" spans="2:13" x14ac:dyDescent="0.45">
      <c r="B27" t="s">
        <v>66</v>
      </c>
    </row>
    <row r="28" spans="2:13" x14ac:dyDescent="0.45">
      <c r="B28" t="s">
        <v>66</v>
      </c>
    </row>
    <row r="29" spans="2:13" x14ac:dyDescent="0.45">
      <c r="B29" t="s">
        <v>66</v>
      </c>
    </row>
    <row r="30" spans="2:13" x14ac:dyDescent="0.45">
      <c r="B30" s="59" t="s">
        <v>72</v>
      </c>
    </row>
    <row r="31" spans="2:13" x14ac:dyDescent="0.45">
      <c r="B31" s="59" t="s">
        <v>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FE19-23AC-4250-B7F8-EE0FC2DCDE85}">
  <dimension ref="A2:L36"/>
  <sheetViews>
    <sheetView showGridLines="0" workbookViewId="0">
      <selection activeCell="B14" sqref="B14"/>
    </sheetView>
  </sheetViews>
  <sheetFormatPr defaultRowHeight="14.25" x14ac:dyDescent="0.45"/>
  <cols>
    <col min="1" max="1" width="2.86328125" customWidth="1"/>
    <col min="2" max="2" width="66" bestFit="1" customWidth="1"/>
    <col min="3" max="3" width="2.86328125" customWidth="1"/>
    <col min="4" max="12" width="12.86328125" customWidth="1"/>
  </cols>
  <sheetData>
    <row r="2" spans="1:12" ht="17.100000000000001" customHeight="1" x14ac:dyDescent="0.6">
      <c r="A2" s="1"/>
      <c r="B2" s="15" t="s">
        <v>74</v>
      </c>
      <c r="C2" s="14"/>
      <c r="D2" s="14"/>
      <c r="E2" s="14"/>
      <c r="F2" s="14"/>
      <c r="G2" s="14"/>
      <c r="H2" s="14"/>
      <c r="I2" s="14"/>
      <c r="J2" s="14"/>
      <c r="K2" s="1"/>
      <c r="L2" s="1"/>
    </row>
    <row r="4" spans="1:12" ht="16.5" x14ac:dyDescent="0.6">
      <c r="B4" s="17" t="s">
        <v>82</v>
      </c>
      <c r="C4" s="16"/>
      <c r="D4" s="19" t="s">
        <v>22</v>
      </c>
      <c r="E4" s="19" t="s">
        <v>22</v>
      </c>
      <c r="F4" s="19" t="s">
        <v>22</v>
      </c>
      <c r="G4" s="19" t="s">
        <v>22</v>
      </c>
      <c r="H4" s="19" t="s">
        <v>22</v>
      </c>
      <c r="I4" s="19" t="s">
        <v>23</v>
      </c>
      <c r="J4" s="19" t="s">
        <v>23</v>
      </c>
    </row>
    <row r="5" spans="1:12" x14ac:dyDescent="0.45">
      <c r="B5" t="s">
        <v>66</v>
      </c>
    </row>
    <row r="6" spans="1:12" x14ac:dyDescent="0.45">
      <c r="B6" t="s">
        <v>67</v>
      </c>
    </row>
    <row r="7" spans="1:12" x14ac:dyDescent="0.45">
      <c r="B7" t="s">
        <v>68</v>
      </c>
    </row>
    <row r="8" spans="1:12" x14ac:dyDescent="0.45">
      <c r="B8" t="s">
        <v>66</v>
      </c>
    </row>
    <row r="9" spans="1:12" x14ac:dyDescent="0.45">
      <c r="B9" t="s">
        <v>66</v>
      </c>
    </row>
    <row r="10" spans="1:12" x14ac:dyDescent="0.45">
      <c r="B10" t="s">
        <v>66</v>
      </c>
    </row>
    <row r="11" spans="1:12" x14ac:dyDescent="0.45">
      <c r="B11" t="s">
        <v>67</v>
      </c>
    </row>
    <row r="12" spans="1:12" x14ac:dyDescent="0.45">
      <c r="B12" s="59" t="s">
        <v>85</v>
      </c>
    </row>
    <row r="14" spans="1:12" ht="16.5" x14ac:dyDescent="0.6">
      <c r="B14" s="17" t="s">
        <v>83</v>
      </c>
      <c r="C14" s="16"/>
      <c r="D14" s="16"/>
      <c r="E14" s="16"/>
      <c r="F14" s="57"/>
      <c r="G14" s="57"/>
      <c r="H14" s="57"/>
      <c r="I14" s="57"/>
      <c r="J14" s="57"/>
    </row>
    <row r="15" spans="1:12" x14ac:dyDescent="0.45">
      <c r="B15" t="s">
        <v>66</v>
      </c>
    </row>
    <row r="16" spans="1:12" x14ac:dyDescent="0.45">
      <c r="B16" t="s">
        <v>66</v>
      </c>
    </row>
    <row r="17" spans="2:10" x14ac:dyDescent="0.45">
      <c r="B17" t="s">
        <v>66</v>
      </c>
    </row>
    <row r="18" spans="2:10" x14ac:dyDescent="0.45">
      <c r="B18" t="s">
        <v>66</v>
      </c>
    </row>
    <row r="19" spans="2:10" x14ac:dyDescent="0.45">
      <c r="B19" t="s">
        <v>70</v>
      </c>
    </row>
    <row r="20" spans="2:10" x14ac:dyDescent="0.45">
      <c r="B20" t="s">
        <v>66</v>
      </c>
    </row>
    <row r="21" spans="2:10" x14ac:dyDescent="0.45">
      <c r="B21" t="s">
        <v>66</v>
      </c>
    </row>
    <row r="22" spans="2:10" x14ac:dyDescent="0.45">
      <c r="B22" s="59" t="s">
        <v>86</v>
      </c>
    </row>
    <row r="24" spans="2:10" ht="16.5" x14ac:dyDescent="0.6">
      <c r="B24" s="17" t="s">
        <v>84</v>
      </c>
      <c r="C24" s="16"/>
      <c r="D24" s="16"/>
      <c r="E24" s="16"/>
      <c r="F24" s="57"/>
      <c r="G24" s="57"/>
      <c r="H24" s="57"/>
      <c r="I24" s="57"/>
      <c r="J24" s="57"/>
    </row>
    <row r="25" spans="2:10" x14ac:dyDescent="0.45">
      <c r="B25" t="s">
        <v>66</v>
      </c>
    </row>
    <row r="26" spans="2:10" x14ac:dyDescent="0.45">
      <c r="B26" t="s">
        <v>66</v>
      </c>
    </row>
    <row r="27" spans="2:10" x14ac:dyDescent="0.45">
      <c r="B27" t="s">
        <v>66</v>
      </c>
    </row>
    <row r="28" spans="2:10" x14ac:dyDescent="0.45">
      <c r="B28" t="s">
        <v>66</v>
      </c>
    </row>
    <row r="29" spans="2:10" x14ac:dyDescent="0.45">
      <c r="B29" t="s">
        <v>66</v>
      </c>
    </row>
    <row r="30" spans="2:10" x14ac:dyDescent="0.45">
      <c r="B30" s="59" t="s">
        <v>87</v>
      </c>
    </row>
    <row r="31" spans="2:10" x14ac:dyDescent="0.45">
      <c r="B31" t="s">
        <v>88</v>
      </c>
    </row>
    <row r="32" spans="2:10" x14ac:dyDescent="0.45">
      <c r="B32" s="59" t="s">
        <v>89</v>
      </c>
    </row>
    <row r="34" spans="2:2" x14ac:dyDescent="0.45">
      <c r="B34" s="60" t="s">
        <v>90</v>
      </c>
    </row>
    <row r="35" spans="2:2" x14ac:dyDescent="0.45">
      <c r="B35" t="s">
        <v>89</v>
      </c>
    </row>
    <row r="36" spans="2:2" x14ac:dyDescent="0.45">
      <c r="B36" s="58" t="s">
        <v>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9C09-51EF-464E-A056-B7881EFD9088}">
  <dimension ref="A2:M36"/>
  <sheetViews>
    <sheetView showGridLines="0" workbookViewId="0">
      <selection activeCell="D32" sqref="D32"/>
    </sheetView>
  </sheetViews>
  <sheetFormatPr defaultRowHeight="14.25" x14ac:dyDescent="0.45"/>
  <cols>
    <col min="1" max="1" width="2.86328125" customWidth="1"/>
    <col min="2" max="2" width="66" bestFit="1" customWidth="1"/>
    <col min="3" max="3" width="2.86328125" customWidth="1"/>
    <col min="4" max="12" width="12.86328125" customWidth="1"/>
  </cols>
  <sheetData>
    <row r="2" spans="1:13" ht="17.100000000000001" customHeight="1" x14ac:dyDescent="0.6">
      <c r="A2" s="1"/>
      <c r="B2" s="15" t="s">
        <v>74</v>
      </c>
      <c r="C2" s="14"/>
      <c r="D2" s="14"/>
      <c r="E2" s="14"/>
      <c r="F2" s="14"/>
      <c r="G2" s="14"/>
      <c r="H2" s="14"/>
      <c r="I2" s="14"/>
      <c r="J2" s="14"/>
      <c r="K2" s="19"/>
      <c r="L2" s="19"/>
      <c r="M2" s="57"/>
    </row>
    <row r="4" spans="1:13" ht="16.5" x14ac:dyDescent="0.6">
      <c r="B4" s="17" t="s">
        <v>82</v>
      </c>
      <c r="C4" s="16"/>
      <c r="D4" s="19" t="s">
        <v>55</v>
      </c>
      <c r="E4" s="19" t="s">
        <v>54</v>
      </c>
      <c r="F4" s="19" t="s">
        <v>53</v>
      </c>
      <c r="G4" s="19" t="s">
        <v>52</v>
      </c>
      <c r="H4" s="19" t="s">
        <v>56</v>
      </c>
      <c r="I4" s="19" t="s">
        <v>61</v>
      </c>
      <c r="J4" s="19" t="s">
        <v>60</v>
      </c>
      <c r="K4" s="19" t="s">
        <v>59</v>
      </c>
      <c r="L4" s="19" t="s">
        <v>58</v>
      </c>
      <c r="M4" s="19" t="s">
        <v>57</v>
      </c>
    </row>
    <row r="5" spans="1:13" x14ac:dyDescent="0.45">
      <c r="B5" t="s">
        <v>66</v>
      </c>
    </row>
    <row r="6" spans="1:13" x14ac:dyDescent="0.45">
      <c r="B6" t="s">
        <v>67</v>
      </c>
    </row>
    <row r="7" spans="1:13" x14ac:dyDescent="0.45">
      <c r="B7" t="s">
        <v>68</v>
      </c>
    </row>
    <row r="8" spans="1:13" x14ac:dyDescent="0.45">
      <c r="B8" t="s">
        <v>66</v>
      </c>
    </row>
    <row r="9" spans="1:13" x14ac:dyDescent="0.45">
      <c r="B9" t="s">
        <v>66</v>
      </c>
    </row>
    <row r="10" spans="1:13" x14ac:dyDescent="0.45">
      <c r="B10" t="s">
        <v>66</v>
      </c>
    </row>
    <row r="11" spans="1:13" x14ac:dyDescent="0.45">
      <c r="B11" t="s">
        <v>67</v>
      </c>
    </row>
    <row r="12" spans="1:13" x14ac:dyDescent="0.45">
      <c r="B12" s="59" t="s">
        <v>85</v>
      </c>
    </row>
    <row r="14" spans="1:13" ht="16.5" x14ac:dyDescent="0.6">
      <c r="B14" s="17" t="s">
        <v>83</v>
      </c>
      <c r="C14" s="16"/>
      <c r="D14" s="16"/>
      <c r="E14" s="16"/>
      <c r="F14" s="57"/>
      <c r="G14" s="57"/>
      <c r="H14" s="57"/>
      <c r="I14" s="57"/>
      <c r="J14" s="57"/>
      <c r="K14" s="57"/>
      <c r="L14" s="57"/>
      <c r="M14" s="57"/>
    </row>
    <row r="15" spans="1:13" x14ac:dyDescent="0.45">
      <c r="B15" t="s">
        <v>66</v>
      </c>
    </row>
    <row r="16" spans="1:13" x14ac:dyDescent="0.45">
      <c r="B16" t="s">
        <v>66</v>
      </c>
    </row>
    <row r="17" spans="2:13" x14ac:dyDescent="0.45">
      <c r="B17" t="s">
        <v>66</v>
      </c>
    </row>
    <row r="18" spans="2:13" x14ac:dyDescent="0.45">
      <c r="B18" t="s">
        <v>66</v>
      </c>
    </row>
    <row r="19" spans="2:13" x14ac:dyDescent="0.45">
      <c r="B19" t="s">
        <v>70</v>
      </c>
    </row>
    <row r="20" spans="2:13" x14ac:dyDescent="0.45">
      <c r="B20" t="s">
        <v>66</v>
      </c>
    </row>
    <row r="21" spans="2:13" x14ac:dyDescent="0.45">
      <c r="B21" t="s">
        <v>66</v>
      </c>
    </row>
    <row r="22" spans="2:13" x14ac:dyDescent="0.45">
      <c r="B22" s="59" t="s">
        <v>86</v>
      </c>
    </row>
    <row r="24" spans="2:13" ht="16.5" x14ac:dyDescent="0.6">
      <c r="B24" s="17" t="s">
        <v>84</v>
      </c>
      <c r="C24" s="16"/>
      <c r="D24" s="16"/>
      <c r="E24" s="16"/>
      <c r="F24" s="57"/>
      <c r="G24" s="57"/>
      <c r="H24" s="57"/>
      <c r="I24" s="57"/>
      <c r="J24" s="57"/>
      <c r="K24" s="57"/>
      <c r="L24" s="57"/>
      <c r="M24" s="57"/>
    </row>
    <row r="25" spans="2:13" x14ac:dyDescent="0.45">
      <c r="B25" t="s">
        <v>66</v>
      </c>
    </row>
    <row r="26" spans="2:13" x14ac:dyDescent="0.45">
      <c r="B26" t="s">
        <v>66</v>
      </c>
    </row>
    <row r="27" spans="2:13" x14ac:dyDescent="0.45">
      <c r="B27" t="s">
        <v>66</v>
      </c>
    </row>
    <row r="28" spans="2:13" x14ac:dyDescent="0.45">
      <c r="B28" t="s">
        <v>66</v>
      </c>
    </row>
    <row r="29" spans="2:13" x14ac:dyDescent="0.45">
      <c r="B29" t="s">
        <v>66</v>
      </c>
    </row>
    <row r="30" spans="2:13" x14ac:dyDescent="0.45">
      <c r="B30" s="59" t="s">
        <v>87</v>
      </c>
    </row>
    <row r="31" spans="2:13" x14ac:dyDescent="0.45">
      <c r="B31" t="s">
        <v>88</v>
      </c>
    </row>
    <row r="32" spans="2:13" x14ac:dyDescent="0.45">
      <c r="B32" s="59" t="s">
        <v>89</v>
      </c>
    </row>
    <row r="34" spans="2:2" x14ac:dyDescent="0.45">
      <c r="B34" s="60" t="s">
        <v>90</v>
      </c>
    </row>
    <row r="35" spans="2:2" x14ac:dyDescent="0.45">
      <c r="B35" t="s">
        <v>89</v>
      </c>
    </row>
    <row r="36" spans="2:2" x14ac:dyDescent="0.45">
      <c r="B36" s="58" t="s">
        <v>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be32f68-c72d-420d-b5bd-750c63a268e4}" enabled="0" method="" siteId="{abe32f68-c72d-420d-b5bd-750c63a268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 Sheet</vt:lpstr>
      <vt:lpstr>Summary</vt:lpstr>
      <vt:lpstr>DCF Base</vt:lpstr>
      <vt:lpstr>DCF Bear</vt:lpstr>
      <vt:lpstr>DCF Bull</vt:lpstr>
      <vt:lpstr>3 Statement</vt:lpstr>
      <vt:lpstr>RV</vt:lpstr>
      <vt:lpstr>Beta Data</vt:lpstr>
      <vt:lpstr>DCF Q</vt:lpstr>
      <vt:lpstr>3-STMT Q</vt:lpstr>
      <vt:lpstr>3-STMT Quarterly</vt:lpstr>
      <vt:lpstr>CF STMT Annual </vt:lpstr>
      <vt:lpstr>CF STMT Quarterly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Guiter, Sophia</dc:creator>
  <cp:keywords/>
  <dc:description/>
  <cp:lastModifiedBy>Samuel Brooks</cp:lastModifiedBy>
  <cp:revision/>
  <dcterms:created xsi:type="dcterms:W3CDTF">2025-11-09T23:58:11Z</dcterms:created>
  <dcterms:modified xsi:type="dcterms:W3CDTF">2025-12-03T23:05:42Z</dcterms:modified>
  <cp:category/>
  <cp:contentStatus/>
</cp:coreProperties>
</file>